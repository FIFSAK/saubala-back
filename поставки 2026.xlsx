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alseitkubashev/Desktop/таблицы/"/>
    </mc:Choice>
  </mc:AlternateContent>
  <xr:revisionPtr revIDLastSave="0" documentId="13_ncr:2001_{79C4311D-2858-E546-A16A-20245177A2C9}" xr6:coauthVersionLast="47" xr6:coauthVersionMax="47" xr10:uidLastSave="{00000000-0000-0000-0000-000000000000}"/>
  <bookViews>
    <workbookView xWindow="0" yWindow="580" windowWidth="25600" windowHeight="16060" firstSheet="5" activeTab="12" xr2:uid="{0CF7812E-4EB2-504C-AD86-45818EAC65BC}"/>
  </bookViews>
  <sheets>
    <sheet name="молочные смеси" sheetId="1" r:id="rId1"/>
    <sheet name="Алматы" sheetId="3" r:id="rId2"/>
    <sheet name="Алматинская область" sheetId="18" r:id="rId3"/>
    <sheet name="Астана, Караганда, Темиртау" sheetId="5" r:id="rId4"/>
    <sheet name="Семей, Оскемен, Риддер," sheetId="10" r:id="rId5"/>
    <sheet name="Актобе и область" sheetId="4" r:id="rId6"/>
    <sheet name="Орал, Кызылорда" sheetId="19" r:id="rId7"/>
    <sheet name="Атырау, Актау, Жанаозен" sheetId="13" r:id="rId8"/>
    <sheet name="Костанай" sheetId="14" r:id="rId9"/>
    <sheet name="Павлодар, Актогай, Петропавл" sheetId="2" r:id="rId10"/>
    <sheet name="Шымкент" sheetId="8" r:id="rId11"/>
    <sheet name="Тараз, Кордай" sheetId="12" r:id="rId12"/>
    <sheet name="Онко" sheetId="11" r:id="rId13"/>
    <sheet name="шымкент узо - нуржан" sheetId="20" r:id="rId14"/>
    <sheet name="Балгабек" sheetId="9" r:id="rId15"/>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68" i="11" l="1"/>
  <c r="G268" i="11"/>
  <c r="J265" i="11"/>
  <c r="G265" i="11"/>
  <c r="G340"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273" i="11"/>
  <c r="J262" i="11"/>
  <c r="G262" i="11"/>
  <c r="M29" i="11"/>
  <c r="M28" i="11"/>
  <c r="M27" i="11"/>
  <c r="M26" i="11"/>
  <c r="M25" i="11"/>
  <c r="M24" i="11"/>
  <c r="M23" i="11"/>
  <c r="M22" i="11"/>
  <c r="M21" i="11"/>
  <c r="M20" i="11"/>
  <c r="M19" i="11"/>
  <c r="M18" i="11"/>
  <c r="M17" i="11"/>
  <c r="M16" i="11"/>
  <c r="M15" i="11"/>
  <c r="M14" i="11"/>
  <c r="M13" i="11"/>
  <c r="M12" i="11"/>
  <c r="M11" i="11"/>
  <c r="M10" i="11"/>
  <c r="M9" i="11"/>
  <c r="M8" i="11"/>
  <c r="M7" i="11"/>
  <c r="M6" i="11"/>
  <c r="M5" i="11"/>
  <c r="M4" i="11"/>
  <c r="M3" i="11"/>
  <c r="S254" i="11"/>
  <c r="S253" i="11"/>
  <c r="S252" i="11"/>
  <c r="S251" i="11"/>
  <c r="S250" i="11"/>
  <c r="S249" i="11"/>
  <c r="S248" i="11"/>
  <c r="S247" i="11"/>
  <c r="S246" i="11"/>
  <c r="S245" i="11"/>
  <c r="S244" i="11"/>
  <c r="S243" i="11"/>
  <c r="S242" i="11"/>
  <c r="S241" i="11"/>
  <c r="S240" i="11"/>
  <c r="P254" i="11"/>
  <c r="P253" i="11"/>
  <c r="P252" i="11"/>
  <c r="P251" i="11"/>
  <c r="P250" i="11"/>
  <c r="P249" i="11"/>
  <c r="P248" i="11"/>
  <c r="P247" i="11"/>
  <c r="P246" i="11"/>
  <c r="P245" i="11"/>
  <c r="P244" i="11"/>
  <c r="P243" i="11"/>
  <c r="P242" i="11"/>
  <c r="P241" i="11"/>
  <c r="P240" i="11"/>
  <c r="P255" i="11" s="1"/>
  <c r="M254" i="11"/>
  <c r="M253" i="11"/>
  <c r="M252" i="11"/>
  <c r="M251" i="11"/>
  <c r="M250" i="11"/>
  <c r="M249" i="11"/>
  <c r="M248" i="11"/>
  <c r="M247" i="11"/>
  <c r="M246" i="11"/>
  <c r="M245" i="11"/>
  <c r="M244" i="11"/>
  <c r="M243" i="11"/>
  <c r="M242" i="11"/>
  <c r="M241" i="11"/>
  <c r="M240" i="11"/>
  <c r="G240" i="11"/>
  <c r="J240" i="11"/>
  <c r="G241" i="11"/>
  <c r="J241" i="11"/>
  <c r="G242" i="11"/>
  <c r="J242" i="11"/>
  <c r="G243" i="11"/>
  <c r="G255" i="11" s="1"/>
  <c r="J243" i="11"/>
  <c r="G244" i="11"/>
  <c r="J244" i="11"/>
  <c r="G245" i="11"/>
  <c r="J245" i="11"/>
  <c r="G246" i="11"/>
  <c r="J246" i="11"/>
  <c r="G247" i="11"/>
  <c r="J247" i="11"/>
  <c r="G248" i="11"/>
  <c r="J248" i="11"/>
  <c r="G249" i="11"/>
  <c r="J249" i="11"/>
  <c r="G250" i="11"/>
  <c r="J250" i="11"/>
  <c r="G251" i="11"/>
  <c r="J251" i="11"/>
  <c r="G252" i="11"/>
  <c r="J252" i="11"/>
  <c r="G253" i="11"/>
  <c r="J253" i="11"/>
  <c r="G254" i="11"/>
  <c r="J254" i="11"/>
  <c r="M30" i="11" l="1"/>
  <c r="S255" i="11"/>
  <c r="M255" i="11"/>
  <c r="J255" i="11"/>
  <c r="M723" i="3"/>
  <c r="M722" i="3"/>
  <c r="M721" i="3"/>
  <c r="M720" i="3"/>
  <c r="M719" i="3"/>
  <c r="M718" i="3"/>
  <c r="P709" i="3"/>
  <c r="P708" i="3"/>
  <c r="P707" i="3"/>
  <c r="P706" i="3"/>
  <c r="P705" i="3"/>
  <c r="P704" i="3"/>
  <c r="P703" i="3"/>
  <c r="P702" i="3"/>
  <c r="P701" i="3"/>
  <c r="P700" i="3"/>
  <c r="P699" i="3"/>
  <c r="P698" i="3"/>
  <c r="P697" i="3"/>
  <c r="P696" i="3"/>
  <c r="P695" i="3"/>
  <c r="P694" i="3"/>
  <c r="P693" i="3"/>
  <c r="P692" i="3"/>
  <c r="P691" i="3"/>
  <c r="P690" i="3"/>
  <c r="P689" i="3"/>
  <c r="P688" i="3"/>
  <c r="P687" i="3"/>
  <c r="P686" i="3"/>
  <c r="P685" i="3"/>
  <c r="P684" i="3"/>
  <c r="P683" i="3"/>
  <c r="P682" i="3"/>
  <c r="P681" i="3"/>
  <c r="P680" i="3"/>
  <c r="P679" i="3"/>
  <c r="P678" i="3"/>
  <c r="P677" i="3"/>
  <c r="P676" i="3"/>
  <c r="P675" i="3"/>
  <c r="P674" i="3"/>
  <c r="P673" i="3"/>
  <c r="P672" i="3"/>
  <c r="AB245" i="3"/>
  <c r="AB244" i="3"/>
  <c r="AB243" i="3"/>
  <c r="AB242" i="3"/>
  <c r="AB241" i="3"/>
  <c r="AB240" i="3"/>
  <c r="AB239" i="3"/>
  <c r="AB238" i="3"/>
  <c r="AB237" i="3"/>
  <c r="AB236" i="3"/>
  <c r="AB235" i="3"/>
  <c r="AB234" i="3"/>
  <c r="AB233" i="3"/>
  <c r="AB232" i="3"/>
  <c r="AB231" i="3"/>
  <c r="AB230" i="3"/>
  <c r="AB229" i="3"/>
  <c r="AB228" i="3"/>
  <c r="AB227" i="3"/>
  <c r="AB226" i="3"/>
  <c r="AB225" i="3"/>
  <c r="AB224" i="3"/>
  <c r="AB223" i="3"/>
  <c r="AB222" i="3"/>
  <c r="AB221" i="3"/>
  <c r="AB220" i="3"/>
  <c r="AB219" i="3"/>
  <c r="AB218" i="3"/>
  <c r="AB217" i="3"/>
  <c r="AB216" i="3"/>
  <c r="AB215" i="3"/>
  <c r="AB214" i="3"/>
  <c r="AB213" i="3"/>
  <c r="AB212" i="3"/>
  <c r="AB211" i="3"/>
  <c r="AB210" i="3"/>
  <c r="AB209" i="3"/>
  <c r="AB208" i="3"/>
  <c r="AB207" i="3"/>
  <c r="AB206" i="3"/>
  <c r="AB205" i="3"/>
  <c r="AB204" i="3"/>
  <c r="AB203" i="3"/>
  <c r="AB202" i="3"/>
  <c r="AB201" i="3"/>
  <c r="AB200" i="3"/>
  <c r="AB199" i="3"/>
  <c r="AB198" i="3"/>
  <c r="AB197" i="3"/>
  <c r="AB196" i="3"/>
  <c r="AB195" i="3"/>
  <c r="AB194" i="3"/>
  <c r="AB193" i="3"/>
  <c r="AB192" i="3"/>
  <c r="AB191" i="3"/>
  <c r="AB190" i="3"/>
  <c r="AB189" i="3"/>
  <c r="AB188" i="3"/>
  <c r="AH185" i="3"/>
  <c r="AH184" i="3"/>
  <c r="AH183" i="3"/>
  <c r="AH182" i="3"/>
  <c r="AH181" i="3"/>
  <c r="AH180" i="3"/>
  <c r="AH179" i="3"/>
  <c r="AH178" i="3"/>
  <c r="AH177" i="3"/>
  <c r="AH176" i="3"/>
  <c r="AH175" i="3"/>
  <c r="AH174" i="3"/>
  <c r="AH173" i="3"/>
  <c r="AH172" i="3"/>
  <c r="AH171" i="3"/>
  <c r="AH170" i="3"/>
  <c r="AH169" i="3"/>
  <c r="AH168" i="3"/>
  <c r="AH167" i="3"/>
  <c r="AH166" i="3"/>
  <c r="AH165" i="3"/>
  <c r="AH164" i="3"/>
  <c r="AH163" i="3"/>
  <c r="AH162" i="3"/>
  <c r="AH161" i="3"/>
  <c r="AH160" i="3"/>
  <c r="AH159" i="3"/>
  <c r="AH158" i="3"/>
  <c r="AH157" i="3"/>
  <c r="AH156" i="3"/>
  <c r="AH155" i="3"/>
  <c r="AH154" i="3"/>
  <c r="AH153" i="3"/>
  <c r="AH152" i="3"/>
  <c r="AH151" i="3"/>
  <c r="AH150" i="3"/>
  <c r="AH149" i="3"/>
  <c r="AH148" i="3"/>
  <c r="AH147" i="3"/>
  <c r="AH146" i="3"/>
  <c r="AH145" i="3"/>
  <c r="AH144" i="3"/>
  <c r="AH143" i="3"/>
  <c r="AH142" i="3"/>
  <c r="AH141" i="3"/>
  <c r="AH140" i="3"/>
  <c r="AH139" i="3"/>
  <c r="AH138" i="3"/>
  <c r="AH137" i="3"/>
  <c r="AH136" i="3"/>
  <c r="AH135" i="3"/>
  <c r="AH134" i="3"/>
  <c r="AH133" i="3"/>
  <c r="AH132" i="3"/>
  <c r="AH131" i="3"/>
  <c r="P59" i="8"/>
  <c r="P58" i="8"/>
  <c r="P57" i="8"/>
  <c r="P56" i="8"/>
  <c r="P55" i="8"/>
  <c r="P54" i="8"/>
  <c r="P53" i="8"/>
  <c r="P52" i="8"/>
  <c r="P51" i="8"/>
  <c r="P50" i="8"/>
  <c r="P49" i="8"/>
  <c r="P48" i="8"/>
  <c r="P47" i="8"/>
  <c r="P46" i="8"/>
  <c r="P45" i="8"/>
  <c r="P44" i="8"/>
  <c r="P43" i="8"/>
  <c r="P42" i="8"/>
  <c r="P41" i="8"/>
  <c r="P40" i="8"/>
  <c r="P39" i="8"/>
  <c r="P38" i="8"/>
  <c r="P37" i="8"/>
  <c r="P36" i="8"/>
  <c r="P35" i="8"/>
  <c r="P34" i="8"/>
  <c r="P33" i="8"/>
  <c r="P32" i="8"/>
  <c r="P31" i="8"/>
  <c r="P30" i="8"/>
  <c r="P29" i="8"/>
  <c r="P28" i="8"/>
  <c r="M724" i="3" l="1"/>
  <c r="P710" i="3"/>
  <c r="AB246" i="3"/>
  <c r="AH186" i="3"/>
  <c r="P60" i="8"/>
  <c r="S67" i="1"/>
  <c r="Q66" i="1"/>
  <c r="S66" i="1"/>
  <c r="J82" i="1"/>
  <c r="J83" i="1" s="1"/>
  <c r="J81" i="1"/>
  <c r="J134" i="1"/>
  <c r="J133" i="1"/>
  <c r="J132" i="1"/>
  <c r="S68" i="1" l="1"/>
  <c r="J135" i="1"/>
  <c r="G178" i="1" l="1"/>
  <c r="G177" i="1"/>
  <c r="G176" i="1"/>
  <c r="G58" i="12"/>
  <c r="M55" i="12"/>
  <c r="G6" i="4"/>
  <c r="G173" i="1"/>
  <c r="G206" i="13"/>
  <c r="G205" i="13"/>
  <c r="G204" i="13"/>
  <c r="G170" i="19"/>
  <c r="G170" i="1"/>
  <c r="G168" i="1"/>
  <c r="G169" i="1"/>
  <c r="G167" i="1"/>
  <c r="G514"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479" i="3"/>
  <c r="G475" i="3"/>
  <c r="G476" i="3"/>
  <c r="G474" i="3"/>
  <c r="G477" i="3" s="1"/>
  <c r="G178" i="4"/>
  <c r="G179" i="4" s="1"/>
  <c r="G177" i="4"/>
  <c r="G167" i="19"/>
  <c r="G453" i="3"/>
  <c r="G454" i="3"/>
  <c r="G455" i="3"/>
  <c r="G456" i="3"/>
  <c r="G457" i="3"/>
  <c r="G458" i="3"/>
  <c r="G459" i="3"/>
  <c r="G460" i="3"/>
  <c r="G461" i="3"/>
  <c r="G462" i="3"/>
  <c r="G463" i="3"/>
  <c r="G464" i="3"/>
  <c r="G465" i="3"/>
  <c r="G466" i="3"/>
  <c r="G467" i="3"/>
  <c r="G468" i="3"/>
  <c r="G469" i="3"/>
  <c r="G470" i="3"/>
  <c r="G471" i="3"/>
  <c r="G452" i="3"/>
  <c r="G793" i="3"/>
  <c r="G794" i="3"/>
  <c r="G795" i="3"/>
  <c r="G796" i="3"/>
  <c r="G797" i="3"/>
  <c r="G798" i="3"/>
  <c r="G799" i="3"/>
  <c r="G800" i="3"/>
  <c r="G801" i="3"/>
  <c r="G792" i="3"/>
  <c r="J449" i="3"/>
  <c r="J448" i="3"/>
  <c r="J447" i="3"/>
  <c r="J446" i="3"/>
  <c r="J445" i="3"/>
  <c r="J444" i="3"/>
  <c r="J443" i="3"/>
  <c r="J442" i="3"/>
  <c r="J441" i="3"/>
  <c r="J440" i="3"/>
  <c r="J439" i="3"/>
  <c r="J438" i="3"/>
  <c r="J437" i="3"/>
  <c r="J436" i="3"/>
  <c r="J435" i="3"/>
  <c r="J434" i="3"/>
  <c r="J433" i="3"/>
  <c r="J432" i="3"/>
  <c r="J431" i="3"/>
  <c r="J430" i="3"/>
  <c r="J429" i="3"/>
  <c r="J428" i="3"/>
  <c r="G429" i="3"/>
  <c r="G430" i="3"/>
  <c r="G431" i="3"/>
  <c r="G432" i="3"/>
  <c r="G433" i="3"/>
  <c r="G434" i="3"/>
  <c r="G435" i="3"/>
  <c r="G436" i="3"/>
  <c r="G437" i="3"/>
  <c r="G438" i="3"/>
  <c r="G439" i="3"/>
  <c r="G440" i="3"/>
  <c r="G441" i="3"/>
  <c r="G442" i="3"/>
  <c r="G443" i="3"/>
  <c r="G444" i="3"/>
  <c r="G445" i="3"/>
  <c r="G446" i="3"/>
  <c r="G447" i="3"/>
  <c r="G448" i="3"/>
  <c r="G449" i="3"/>
  <c r="G428" i="3"/>
  <c r="G64" i="3"/>
  <c r="G63" i="3"/>
  <c r="G45" i="3"/>
  <c r="G46" i="3"/>
  <c r="G47" i="3"/>
  <c r="G48" i="3"/>
  <c r="G49" i="3"/>
  <c r="G50" i="3"/>
  <c r="G51" i="3"/>
  <c r="G52" i="3"/>
  <c r="G53" i="3"/>
  <c r="G54" i="3"/>
  <c r="G55" i="3"/>
  <c r="G56" i="3"/>
  <c r="G57" i="3"/>
  <c r="G58" i="3"/>
  <c r="G59" i="3"/>
  <c r="G60" i="3"/>
  <c r="G44" i="3"/>
  <c r="G41"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2" i="3"/>
  <c r="G164" i="1"/>
  <c r="J153" i="1"/>
  <c r="G802" i="3" l="1"/>
  <c r="G450" i="3"/>
  <c r="J450" i="3"/>
  <c r="G472" i="3"/>
  <c r="G65" i="3"/>
  <c r="G61" i="3"/>
  <c r="G39" i="3"/>
  <c r="Y245" i="3"/>
  <c r="Y244" i="3"/>
  <c r="Y243" i="3"/>
  <c r="Y242" i="3"/>
  <c r="Y241" i="3"/>
  <c r="Y240" i="3"/>
  <c r="Y239" i="3"/>
  <c r="Y238" i="3"/>
  <c r="Y237" i="3"/>
  <c r="Y236" i="3"/>
  <c r="Y235" i="3"/>
  <c r="Y234" i="3"/>
  <c r="Y233" i="3"/>
  <c r="Y232" i="3"/>
  <c r="Y231" i="3"/>
  <c r="Y230" i="3"/>
  <c r="Y229" i="3"/>
  <c r="Y228" i="3"/>
  <c r="Y227" i="3"/>
  <c r="Y226" i="3"/>
  <c r="Y225" i="3"/>
  <c r="Y224" i="3"/>
  <c r="Y223" i="3"/>
  <c r="Y222" i="3"/>
  <c r="Y221" i="3"/>
  <c r="Y220" i="3"/>
  <c r="Y219" i="3"/>
  <c r="Y218" i="3"/>
  <c r="Y217"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246" i="3" l="1"/>
  <c r="AE185" i="3"/>
  <c r="AE184" i="3"/>
  <c r="AE183" i="3"/>
  <c r="AE182" i="3"/>
  <c r="AE181" i="3"/>
  <c r="AE180" i="3"/>
  <c r="AE179" i="3"/>
  <c r="AE178" i="3"/>
  <c r="AE177" i="3"/>
  <c r="AE176" i="3"/>
  <c r="AE175" i="3"/>
  <c r="AE174" i="3"/>
  <c r="AE173" i="3"/>
  <c r="AE172" i="3"/>
  <c r="AE171" i="3"/>
  <c r="AE170" i="3"/>
  <c r="AE169" i="3"/>
  <c r="AE168" i="3"/>
  <c r="AE167" i="3"/>
  <c r="AE166" i="3"/>
  <c r="AE165" i="3"/>
  <c r="AE164" i="3"/>
  <c r="AE163" i="3"/>
  <c r="AE162" i="3"/>
  <c r="AE161" i="3"/>
  <c r="AE160" i="3"/>
  <c r="AE159" i="3"/>
  <c r="AE158" i="3"/>
  <c r="AE157" i="3"/>
  <c r="AE156" i="3"/>
  <c r="AE155" i="3"/>
  <c r="AE154" i="3"/>
  <c r="AE153" i="3"/>
  <c r="AE152" i="3"/>
  <c r="AE151" i="3"/>
  <c r="AE150" i="3"/>
  <c r="AE149" i="3"/>
  <c r="AE148" i="3"/>
  <c r="AE147" i="3"/>
  <c r="AE146" i="3"/>
  <c r="AE145" i="3"/>
  <c r="AE144" i="3"/>
  <c r="AE143" i="3"/>
  <c r="AE142" i="3"/>
  <c r="AE141" i="3"/>
  <c r="AE140" i="3"/>
  <c r="AE139" i="3"/>
  <c r="AE138" i="3"/>
  <c r="AE137" i="3"/>
  <c r="AE136" i="3"/>
  <c r="AE135" i="3"/>
  <c r="AE134" i="3"/>
  <c r="AE133" i="3"/>
  <c r="AE132" i="3"/>
  <c r="AE131" i="3"/>
  <c r="V245" i="3"/>
  <c r="V244" i="3"/>
  <c r="V243" i="3"/>
  <c r="V242" i="3"/>
  <c r="V241" i="3"/>
  <c r="V240" i="3"/>
  <c r="V239" i="3"/>
  <c r="V238" i="3"/>
  <c r="V237" i="3"/>
  <c r="V236" i="3"/>
  <c r="V235" i="3"/>
  <c r="V234" i="3"/>
  <c r="V233" i="3"/>
  <c r="V232" i="3"/>
  <c r="V231" i="3"/>
  <c r="V230" i="3"/>
  <c r="V229" i="3"/>
  <c r="V228" i="3"/>
  <c r="V227" i="3"/>
  <c r="V226" i="3"/>
  <c r="V225" i="3"/>
  <c r="V224" i="3"/>
  <c r="V223" i="3"/>
  <c r="V222" i="3"/>
  <c r="V221" i="3"/>
  <c r="V220" i="3"/>
  <c r="V219" i="3"/>
  <c r="V218" i="3"/>
  <c r="V217" i="3"/>
  <c r="V216" i="3"/>
  <c r="V215" i="3"/>
  <c r="V214" i="3"/>
  <c r="V213" i="3"/>
  <c r="V212" i="3"/>
  <c r="V211" i="3"/>
  <c r="V210" i="3"/>
  <c r="V209" i="3"/>
  <c r="V208" i="3"/>
  <c r="V207" i="3"/>
  <c r="V206" i="3"/>
  <c r="V205" i="3"/>
  <c r="V204" i="3"/>
  <c r="V203" i="3"/>
  <c r="V202" i="3"/>
  <c r="V201" i="3"/>
  <c r="V200" i="3"/>
  <c r="V199" i="3"/>
  <c r="V198" i="3"/>
  <c r="V197" i="3"/>
  <c r="V196" i="3"/>
  <c r="V195" i="3"/>
  <c r="V194" i="3"/>
  <c r="V193" i="3"/>
  <c r="V192" i="3"/>
  <c r="V191" i="3"/>
  <c r="V190" i="3"/>
  <c r="V189" i="3"/>
  <c r="V188" i="3"/>
  <c r="AB185" i="3"/>
  <c r="AB184" i="3"/>
  <c r="AB183" i="3"/>
  <c r="AB182" i="3"/>
  <c r="AB181" i="3"/>
  <c r="AB180" i="3"/>
  <c r="AB179" i="3"/>
  <c r="AB178" i="3"/>
  <c r="AB177" i="3"/>
  <c r="AB176" i="3"/>
  <c r="AB175" i="3"/>
  <c r="AB174" i="3"/>
  <c r="AB173" i="3"/>
  <c r="AB172" i="3"/>
  <c r="AB171" i="3"/>
  <c r="AB170" i="3"/>
  <c r="AB169" i="3"/>
  <c r="AB168" i="3"/>
  <c r="AB167" i="3"/>
  <c r="AB166" i="3"/>
  <c r="AB165" i="3"/>
  <c r="AB164" i="3"/>
  <c r="AB163" i="3"/>
  <c r="AB162" i="3"/>
  <c r="AB161" i="3"/>
  <c r="AB160" i="3"/>
  <c r="AB159" i="3"/>
  <c r="AB158" i="3"/>
  <c r="AB157" i="3"/>
  <c r="AB156" i="3"/>
  <c r="AB155" i="3"/>
  <c r="AB154" i="3"/>
  <c r="AB153" i="3"/>
  <c r="AB152" i="3"/>
  <c r="AB151" i="3"/>
  <c r="AB150" i="3"/>
  <c r="AB149" i="3"/>
  <c r="AB148" i="3"/>
  <c r="AB147" i="3"/>
  <c r="AB146" i="3"/>
  <c r="AB145" i="3"/>
  <c r="AB144" i="3"/>
  <c r="AB143" i="3"/>
  <c r="AB142" i="3"/>
  <c r="AB141" i="3"/>
  <c r="AB140" i="3"/>
  <c r="AB139" i="3"/>
  <c r="AB138" i="3"/>
  <c r="AB137" i="3"/>
  <c r="AB136" i="3"/>
  <c r="AB135" i="3"/>
  <c r="AB134" i="3"/>
  <c r="AB133" i="3"/>
  <c r="AB132" i="3"/>
  <c r="AB131" i="3"/>
  <c r="S245" i="3"/>
  <c r="S244" i="3"/>
  <c r="S243" i="3"/>
  <c r="S242" i="3"/>
  <c r="S241" i="3"/>
  <c r="S240" i="3"/>
  <c r="S239" i="3"/>
  <c r="S238" i="3"/>
  <c r="S237" i="3"/>
  <c r="S236" i="3"/>
  <c r="S235" i="3"/>
  <c r="S234" i="3"/>
  <c r="S233" i="3"/>
  <c r="S232" i="3"/>
  <c r="S231" i="3"/>
  <c r="S230" i="3"/>
  <c r="S229" i="3"/>
  <c r="S228" i="3"/>
  <c r="S227" i="3"/>
  <c r="S226" i="3"/>
  <c r="S225" i="3"/>
  <c r="S224" i="3"/>
  <c r="S223" i="3"/>
  <c r="S222" i="3"/>
  <c r="S221" i="3"/>
  <c r="S220" i="3"/>
  <c r="S219" i="3"/>
  <c r="S218" i="3"/>
  <c r="S217" i="3"/>
  <c r="S216" i="3"/>
  <c r="S215" i="3"/>
  <c r="S214" i="3"/>
  <c r="S213" i="3"/>
  <c r="S212" i="3"/>
  <c r="S211" i="3"/>
  <c r="S210" i="3"/>
  <c r="S209" i="3"/>
  <c r="S208" i="3"/>
  <c r="S207" i="3"/>
  <c r="S206" i="3"/>
  <c r="S205" i="3"/>
  <c r="S204" i="3"/>
  <c r="S203" i="3"/>
  <c r="S202" i="3"/>
  <c r="S201" i="3"/>
  <c r="S200" i="3"/>
  <c r="S199" i="3"/>
  <c r="S198" i="3"/>
  <c r="S197" i="3"/>
  <c r="S196" i="3"/>
  <c r="S195" i="3"/>
  <c r="S194" i="3"/>
  <c r="S193" i="3"/>
  <c r="S192" i="3"/>
  <c r="S191" i="3"/>
  <c r="S190" i="3"/>
  <c r="S189" i="3"/>
  <c r="S188" i="3"/>
  <c r="AE186" i="3" l="1"/>
  <c r="V246" i="3"/>
  <c r="AB186" i="3"/>
  <c r="S246" i="3"/>
  <c r="P245" i="3"/>
  <c r="P244" i="3"/>
  <c r="P243" i="3"/>
  <c r="P242" i="3"/>
  <c r="P241" i="3"/>
  <c r="P240" i="3"/>
  <c r="P239" i="3"/>
  <c r="P238" i="3"/>
  <c r="P237" i="3"/>
  <c r="P236" i="3"/>
  <c r="P235" i="3"/>
  <c r="P234" i="3"/>
  <c r="P233" i="3"/>
  <c r="P232" i="3"/>
  <c r="P231" i="3"/>
  <c r="P230" i="3"/>
  <c r="P229" i="3"/>
  <c r="P228" i="3"/>
  <c r="P227" i="3"/>
  <c r="P226" i="3"/>
  <c r="P225" i="3"/>
  <c r="P224" i="3"/>
  <c r="P223" i="3"/>
  <c r="P222" i="3"/>
  <c r="P221" i="3"/>
  <c r="P220" i="3"/>
  <c r="P219" i="3"/>
  <c r="P218" i="3"/>
  <c r="P217" i="3"/>
  <c r="P216" i="3"/>
  <c r="P215" i="3"/>
  <c r="P214" i="3"/>
  <c r="P213" i="3"/>
  <c r="P212" i="3"/>
  <c r="P211" i="3"/>
  <c r="P210" i="3"/>
  <c r="P209" i="3"/>
  <c r="P208" i="3"/>
  <c r="P207" i="3"/>
  <c r="P206" i="3"/>
  <c r="P205" i="3"/>
  <c r="P204" i="3"/>
  <c r="P203" i="3"/>
  <c r="P202" i="3"/>
  <c r="P201" i="3"/>
  <c r="P200" i="3"/>
  <c r="P199" i="3"/>
  <c r="P198" i="3"/>
  <c r="P197" i="3"/>
  <c r="P196" i="3"/>
  <c r="P195" i="3"/>
  <c r="P194" i="3"/>
  <c r="P193" i="3"/>
  <c r="P192" i="3"/>
  <c r="P191" i="3"/>
  <c r="P190" i="3"/>
  <c r="P189" i="3"/>
  <c r="P188" i="3"/>
  <c r="P246" i="3" l="1"/>
  <c r="Y185" i="3"/>
  <c r="Y184" i="3"/>
  <c r="Y183" i="3"/>
  <c r="Y182" i="3"/>
  <c r="Y181" i="3"/>
  <c r="Y180" i="3"/>
  <c r="Y179" i="3"/>
  <c r="Y178" i="3"/>
  <c r="Y177" i="3"/>
  <c r="Y176" i="3"/>
  <c r="Y175" i="3"/>
  <c r="Y174" i="3"/>
  <c r="Y173" i="3"/>
  <c r="Y172" i="3"/>
  <c r="Y171" i="3"/>
  <c r="Y170" i="3"/>
  <c r="Y169" i="3"/>
  <c r="Y168" i="3"/>
  <c r="Y167" i="3"/>
  <c r="Y166" i="3"/>
  <c r="Y165" i="3"/>
  <c r="Y164" i="3"/>
  <c r="Y163" i="3"/>
  <c r="Y162" i="3"/>
  <c r="Y161" i="3"/>
  <c r="Y160" i="3"/>
  <c r="Y159" i="3"/>
  <c r="Y158" i="3"/>
  <c r="Y157" i="3"/>
  <c r="Y156" i="3"/>
  <c r="Y155" i="3"/>
  <c r="Y154" i="3"/>
  <c r="Y153" i="3"/>
  <c r="Y152" i="3"/>
  <c r="Y151" i="3"/>
  <c r="Y150" i="3"/>
  <c r="Y149" i="3"/>
  <c r="Y148" i="3"/>
  <c r="Y147" i="3"/>
  <c r="Y146" i="3"/>
  <c r="Y145" i="3"/>
  <c r="Y144" i="3"/>
  <c r="Y143" i="3"/>
  <c r="Y142" i="3"/>
  <c r="Y141" i="3"/>
  <c r="Y140" i="3"/>
  <c r="Y139" i="3"/>
  <c r="Y138" i="3"/>
  <c r="Y137" i="3"/>
  <c r="Y136" i="3"/>
  <c r="Y135" i="3"/>
  <c r="Y134" i="3"/>
  <c r="Y133" i="3"/>
  <c r="Y132" i="3"/>
  <c r="Y131" i="3"/>
  <c r="Y186" i="3" l="1"/>
  <c r="V185" i="3"/>
  <c r="V184" i="3"/>
  <c r="V183" i="3"/>
  <c r="V182" i="3"/>
  <c r="V181" i="3"/>
  <c r="V180" i="3"/>
  <c r="V179" i="3"/>
  <c r="V178" i="3"/>
  <c r="V177" i="3"/>
  <c r="V176" i="3"/>
  <c r="V175" i="3"/>
  <c r="V174" i="3"/>
  <c r="V173" i="3"/>
  <c r="V172" i="3"/>
  <c r="V171" i="3"/>
  <c r="V170" i="3"/>
  <c r="V169" i="3"/>
  <c r="V168" i="3"/>
  <c r="V167" i="3"/>
  <c r="V166" i="3"/>
  <c r="V165" i="3"/>
  <c r="V164" i="3"/>
  <c r="V163" i="3"/>
  <c r="V162" i="3"/>
  <c r="V161" i="3"/>
  <c r="V160" i="3"/>
  <c r="V159" i="3"/>
  <c r="V158" i="3"/>
  <c r="V157" i="3"/>
  <c r="V156" i="3"/>
  <c r="V155" i="3"/>
  <c r="V154" i="3"/>
  <c r="V153" i="3"/>
  <c r="V152" i="3"/>
  <c r="V151" i="3"/>
  <c r="V150" i="3"/>
  <c r="V149" i="3"/>
  <c r="V148" i="3"/>
  <c r="V147" i="3"/>
  <c r="V146" i="3"/>
  <c r="V145" i="3"/>
  <c r="V144" i="3"/>
  <c r="V143" i="3"/>
  <c r="V142" i="3"/>
  <c r="V141" i="3"/>
  <c r="V140" i="3"/>
  <c r="V139" i="3"/>
  <c r="V138" i="3"/>
  <c r="V137" i="3"/>
  <c r="V136" i="3"/>
  <c r="V135" i="3"/>
  <c r="V134" i="3"/>
  <c r="V133" i="3"/>
  <c r="V132" i="3"/>
  <c r="V131" i="3"/>
  <c r="V186" i="3" l="1"/>
  <c r="S185" i="3" l="1"/>
  <c r="S184" i="3"/>
  <c r="S183" i="3"/>
  <c r="S182" i="3"/>
  <c r="S181" i="3"/>
  <c r="S180" i="3"/>
  <c r="S179" i="3"/>
  <c r="S178" i="3"/>
  <c r="S177" i="3"/>
  <c r="S176" i="3"/>
  <c r="S175" i="3"/>
  <c r="S174" i="3"/>
  <c r="S173" i="3"/>
  <c r="S172" i="3"/>
  <c r="S171" i="3"/>
  <c r="S170" i="3"/>
  <c r="S169" i="3"/>
  <c r="S168" i="3"/>
  <c r="S167" i="3"/>
  <c r="S166" i="3"/>
  <c r="S165" i="3"/>
  <c r="S164" i="3"/>
  <c r="S163" i="3"/>
  <c r="S162" i="3"/>
  <c r="S161" i="3"/>
  <c r="S160" i="3"/>
  <c r="S159" i="3"/>
  <c r="S158" i="3"/>
  <c r="S157" i="3"/>
  <c r="S156" i="3"/>
  <c r="S155" i="3"/>
  <c r="S154" i="3"/>
  <c r="S153" i="3"/>
  <c r="S152" i="3"/>
  <c r="S151" i="3"/>
  <c r="S150" i="3"/>
  <c r="S149" i="3"/>
  <c r="S148" i="3"/>
  <c r="S147" i="3"/>
  <c r="S146" i="3"/>
  <c r="S145" i="3"/>
  <c r="S144" i="3"/>
  <c r="S143" i="3"/>
  <c r="S142" i="3"/>
  <c r="S141" i="3"/>
  <c r="S140" i="3"/>
  <c r="S139" i="3"/>
  <c r="S138" i="3"/>
  <c r="S137" i="3"/>
  <c r="S136" i="3"/>
  <c r="S135" i="3"/>
  <c r="S134" i="3"/>
  <c r="S133" i="3"/>
  <c r="S132" i="3"/>
  <c r="S131" i="3"/>
  <c r="S186" i="3" l="1"/>
  <c r="P107" i="13"/>
  <c r="P11" i="4" l="1"/>
  <c r="P10" i="4"/>
  <c r="P9" i="4"/>
  <c r="S135" i="19"/>
  <c r="S134" i="19"/>
  <c r="S133" i="19"/>
  <c r="S132" i="19"/>
  <c r="S136" i="19" s="1"/>
  <c r="M547" i="3"/>
  <c r="M546" i="3"/>
  <c r="M545" i="3"/>
  <c r="V566" i="3"/>
  <c r="V565" i="3"/>
  <c r="V564" i="3"/>
  <c r="V563" i="3"/>
  <c r="V562" i="3"/>
  <c r="V561" i="3"/>
  <c r="V560" i="3"/>
  <c r="V559" i="3"/>
  <c r="V558" i="3"/>
  <c r="V557" i="3"/>
  <c r="M552" i="3"/>
  <c r="M551" i="3"/>
  <c r="M550" i="3"/>
  <c r="S163" i="19"/>
  <c r="S162" i="19"/>
  <c r="S161" i="19"/>
  <c r="S160" i="19"/>
  <c r="S159" i="19"/>
  <c r="S158" i="19"/>
  <c r="S157" i="19"/>
  <c r="S156" i="19"/>
  <c r="S155" i="19"/>
  <c r="S154" i="19"/>
  <c r="S153" i="19"/>
  <c r="S152" i="19"/>
  <c r="S151" i="19"/>
  <c r="S150" i="19"/>
  <c r="S149" i="19"/>
  <c r="S148" i="19"/>
  <c r="S147" i="19"/>
  <c r="S146" i="19"/>
  <c r="M548" i="3" l="1"/>
  <c r="P12" i="4"/>
  <c r="V567" i="3"/>
  <c r="M553" i="3"/>
  <c r="S164" i="19"/>
  <c r="J174" i="4"/>
  <c r="J173" i="4"/>
  <c r="J172" i="4"/>
  <c r="J171" i="4"/>
  <c r="J170" i="4"/>
  <c r="J169" i="4"/>
  <c r="J168" i="4"/>
  <c r="J175" i="4" s="1"/>
  <c r="G175" i="4"/>
  <c r="G169" i="4"/>
  <c r="G170" i="4"/>
  <c r="G171" i="4"/>
  <c r="G172" i="4"/>
  <c r="G173" i="4"/>
  <c r="G174" i="4"/>
  <c r="G168" i="4"/>
  <c r="I259" i="11"/>
  <c r="I258" i="11"/>
  <c r="G192" i="11"/>
  <c r="J192" i="11"/>
  <c r="G193" i="11"/>
  <c r="J193" i="11"/>
  <c r="G194" i="11"/>
  <c r="J194" i="11"/>
  <c r="G195" i="11"/>
  <c r="J195" i="11"/>
  <c r="G196" i="11"/>
  <c r="J196" i="11"/>
  <c r="G197" i="11"/>
  <c r="J197" i="11"/>
  <c r="G198" i="11"/>
  <c r="J198" i="11"/>
  <c r="G199" i="11"/>
  <c r="J199" i="11"/>
  <c r="G200" i="11"/>
  <c r="J200" i="11"/>
  <c r="G201" i="11"/>
  <c r="J201" i="11"/>
  <c r="G202" i="11"/>
  <c r="J202" i="11"/>
  <c r="G203" i="11"/>
  <c r="J203" i="11"/>
  <c r="G204" i="11"/>
  <c r="J204" i="11"/>
  <c r="G205" i="11"/>
  <c r="J205" i="11"/>
  <c r="G206" i="11"/>
  <c r="J206" i="11"/>
  <c r="G207" i="11"/>
  <c r="J207" i="11"/>
  <c r="G208" i="11"/>
  <c r="J208" i="11"/>
  <c r="G209" i="11"/>
  <c r="J209" i="11"/>
  <c r="G210" i="11"/>
  <c r="J210" i="11"/>
  <c r="G211" i="11"/>
  <c r="J211" i="11"/>
  <c r="G212" i="11"/>
  <c r="J212" i="11"/>
  <c r="G213" i="11"/>
  <c r="J213" i="11"/>
  <c r="G214" i="11"/>
  <c r="J214" i="11"/>
  <c r="G215" i="11"/>
  <c r="J215" i="11"/>
  <c r="G216" i="11"/>
  <c r="J216" i="11"/>
  <c r="G217" i="11"/>
  <c r="J217" i="11"/>
  <c r="G218" i="11"/>
  <c r="J218" i="11"/>
  <c r="G219" i="11"/>
  <c r="J219" i="11"/>
  <c r="G220" i="11"/>
  <c r="J220" i="11"/>
  <c r="G221" i="11"/>
  <c r="J221" i="11"/>
  <c r="G222" i="11"/>
  <c r="J222" i="11"/>
  <c r="G223" i="11"/>
  <c r="J223" i="11"/>
  <c r="G224" i="11"/>
  <c r="J224" i="11"/>
  <c r="G225" i="11"/>
  <c r="J225" i="11"/>
  <c r="G226" i="11"/>
  <c r="J226" i="11"/>
  <c r="G227" i="11"/>
  <c r="J227" i="11"/>
  <c r="G228" i="11"/>
  <c r="J228" i="11"/>
  <c r="G229" i="11"/>
  <c r="J229" i="11"/>
  <c r="G230" i="11"/>
  <c r="J230" i="11"/>
  <c r="G231" i="11"/>
  <c r="J231" i="11"/>
  <c r="G232" i="11"/>
  <c r="J232" i="11"/>
  <c r="G233" i="11"/>
  <c r="J233" i="11"/>
  <c r="G234" i="11"/>
  <c r="J234" i="11"/>
  <c r="G235" i="11"/>
  <c r="J235" i="11"/>
  <c r="G236" i="11"/>
  <c r="J236" i="11"/>
  <c r="G85" i="11"/>
  <c r="J85" i="11"/>
  <c r="G86" i="11"/>
  <c r="J86" i="11"/>
  <c r="G87" i="11"/>
  <c r="J87" i="11"/>
  <c r="G88" i="11"/>
  <c r="J88" i="11"/>
  <c r="G89" i="11"/>
  <c r="J89" i="11"/>
  <c r="G90" i="11"/>
  <c r="J90" i="11"/>
  <c r="G91" i="11"/>
  <c r="J91" i="11"/>
  <c r="G92" i="11"/>
  <c r="J92" i="11"/>
  <c r="G93" i="11"/>
  <c r="J93" i="11"/>
  <c r="G94" i="11"/>
  <c r="J94" i="11"/>
  <c r="G95" i="11"/>
  <c r="J95" i="11"/>
  <c r="G96" i="11"/>
  <c r="J96" i="11"/>
  <c r="G97" i="11"/>
  <c r="J97" i="11"/>
  <c r="G98" i="11"/>
  <c r="J98" i="11"/>
  <c r="G99" i="11"/>
  <c r="J99" i="11"/>
  <c r="G100" i="11"/>
  <c r="J100" i="11"/>
  <c r="G101" i="11"/>
  <c r="J101" i="11"/>
  <c r="G102" i="11"/>
  <c r="J102" i="11"/>
  <c r="G103" i="11"/>
  <c r="J103" i="11"/>
  <c r="G104" i="11"/>
  <c r="J104" i="11"/>
  <c r="G105" i="11"/>
  <c r="J105" i="11"/>
  <c r="G106" i="11"/>
  <c r="J106" i="11"/>
  <c r="G107" i="11"/>
  <c r="J107" i="11"/>
  <c r="G108" i="11"/>
  <c r="J108" i="11"/>
  <c r="G109" i="11"/>
  <c r="J109" i="11"/>
  <c r="G110" i="11"/>
  <c r="J110" i="11"/>
  <c r="G111" i="11"/>
  <c r="J111" i="11"/>
  <c r="G112" i="11"/>
  <c r="J112" i="11"/>
  <c r="G113" i="11"/>
  <c r="J113" i="11"/>
  <c r="G114" i="11"/>
  <c r="J114" i="11"/>
  <c r="G115" i="11"/>
  <c r="J115" i="11"/>
  <c r="G116" i="11"/>
  <c r="J116" i="11"/>
  <c r="G117" i="11"/>
  <c r="J117" i="11"/>
  <c r="G118" i="11"/>
  <c r="J118" i="11"/>
  <c r="G119" i="11"/>
  <c r="J119" i="11"/>
  <c r="G120" i="11"/>
  <c r="J120" i="11"/>
  <c r="G121" i="11"/>
  <c r="J121" i="11"/>
  <c r="G122" i="11"/>
  <c r="J122" i="11"/>
  <c r="G123" i="11"/>
  <c r="J123" i="11"/>
  <c r="G124" i="11"/>
  <c r="J124" i="11"/>
  <c r="G125" i="11"/>
  <c r="J125" i="11"/>
  <c r="G126" i="11"/>
  <c r="J126" i="11"/>
  <c r="G127" i="11"/>
  <c r="J127" i="11"/>
  <c r="G128" i="11"/>
  <c r="J128" i="11"/>
  <c r="G129" i="11"/>
  <c r="J129" i="11"/>
  <c r="G130" i="11"/>
  <c r="J130" i="11"/>
  <c r="G131" i="11"/>
  <c r="J131" i="11"/>
  <c r="G132" i="11"/>
  <c r="J132" i="11"/>
  <c r="G133" i="11"/>
  <c r="J133" i="11"/>
  <c r="G134" i="11"/>
  <c r="J134" i="11"/>
  <c r="G135" i="11"/>
  <c r="J135" i="11"/>
  <c r="G136" i="11"/>
  <c r="J136" i="11"/>
  <c r="G137" i="11"/>
  <c r="J137" i="11"/>
  <c r="G138" i="11"/>
  <c r="J138" i="11"/>
  <c r="G139" i="11"/>
  <c r="J139" i="11"/>
  <c r="G140" i="11"/>
  <c r="J140" i="11"/>
  <c r="G141" i="11"/>
  <c r="J141" i="11"/>
  <c r="G142" i="11"/>
  <c r="J142" i="11"/>
  <c r="G143" i="11"/>
  <c r="J143" i="11"/>
  <c r="G144" i="11"/>
  <c r="J144" i="11"/>
  <c r="G145" i="11"/>
  <c r="J145" i="11"/>
  <c r="G146" i="11"/>
  <c r="J146" i="11"/>
  <c r="G147" i="11"/>
  <c r="J147" i="11"/>
  <c r="G148" i="11"/>
  <c r="J148" i="11"/>
  <c r="G149" i="11"/>
  <c r="J149" i="11"/>
  <c r="G150" i="11"/>
  <c r="J150" i="11"/>
  <c r="G151" i="11"/>
  <c r="J151" i="11"/>
  <c r="G152" i="11"/>
  <c r="J152" i="11"/>
  <c r="G153" i="11"/>
  <c r="J153" i="11"/>
  <c r="G154" i="11"/>
  <c r="J154" i="11"/>
  <c r="G155" i="11"/>
  <c r="J155" i="11"/>
  <c r="G156" i="11"/>
  <c r="J156" i="11"/>
  <c r="G157" i="11"/>
  <c r="J157" i="11"/>
  <c r="G158" i="11"/>
  <c r="J158" i="11"/>
  <c r="G159" i="11"/>
  <c r="J159" i="11"/>
  <c r="G160" i="11"/>
  <c r="J160" i="11"/>
  <c r="G161" i="11"/>
  <c r="J161" i="11"/>
  <c r="G162" i="11"/>
  <c r="J162" i="11"/>
  <c r="G163" i="11"/>
  <c r="J163" i="11"/>
  <c r="G164" i="11"/>
  <c r="J164" i="11"/>
  <c r="G165" i="11"/>
  <c r="J165" i="11"/>
  <c r="G166" i="11"/>
  <c r="J166" i="11"/>
  <c r="G167" i="11"/>
  <c r="J167" i="11"/>
  <c r="G168" i="11"/>
  <c r="J168" i="11"/>
  <c r="G169" i="11"/>
  <c r="J169" i="11"/>
  <c r="G170" i="11"/>
  <c r="J170" i="11"/>
  <c r="G171" i="11"/>
  <c r="J171" i="11"/>
  <c r="G172" i="11"/>
  <c r="J172" i="11"/>
  <c r="G173" i="11"/>
  <c r="J173" i="11"/>
  <c r="G174" i="11"/>
  <c r="J174" i="11"/>
  <c r="G175" i="11"/>
  <c r="J175" i="11"/>
  <c r="G176" i="11"/>
  <c r="J176" i="11"/>
  <c r="G177" i="11"/>
  <c r="J177" i="11"/>
  <c r="G178" i="11"/>
  <c r="J178" i="11"/>
  <c r="G179" i="11"/>
  <c r="J179" i="11"/>
  <c r="G180" i="11"/>
  <c r="J180" i="11"/>
  <c r="G181" i="11"/>
  <c r="J181" i="11"/>
  <c r="G182" i="11"/>
  <c r="J182" i="11"/>
  <c r="G183" i="11"/>
  <c r="J183" i="11"/>
  <c r="G184" i="11"/>
  <c r="J184" i="11"/>
  <c r="G237" i="11" l="1"/>
  <c r="K131" i="11"/>
  <c r="G185" i="11"/>
  <c r="J237" i="11"/>
  <c r="I260" i="11"/>
  <c r="J185" i="11"/>
  <c r="M129" i="12"/>
  <c r="M128" i="12"/>
  <c r="M127" i="12"/>
  <c r="M126" i="12"/>
  <c r="M125" i="12"/>
  <c r="M124" i="12"/>
  <c r="M123" i="12"/>
  <c r="M122" i="12"/>
  <c r="M121" i="12"/>
  <c r="M120" i="12"/>
  <c r="M119" i="12"/>
  <c r="M118" i="12"/>
  <c r="M117" i="12"/>
  <c r="M116" i="12"/>
  <c r="M115" i="12"/>
  <c r="M114" i="12"/>
  <c r="M113" i="12"/>
  <c r="M112" i="12"/>
  <c r="M111" i="12"/>
  <c r="M35" i="12"/>
  <c r="M34" i="12"/>
  <c r="M33" i="12"/>
  <c r="M32" i="12"/>
  <c r="M31" i="12"/>
  <c r="M30" i="12"/>
  <c r="M29" i="12"/>
  <c r="M28" i="12"/>
  <c r="M27" i="12"/>
  <c r="M26" i="12"/>
  <c r="M25" i="12"/>
  <c r="M24" i="12"/>
  <c r="M23" i="12"/>
  <c r="M22" i="12"/>
  <c r="M21" i="12"/>
  <c r="M20" i="12"/>
  <c r="M19" i="12"/>
  <c r="M18" i="12"/>
  <c r="M17" i="12"/>
  <c r="M16" i="12"/>
  <c r="M15" i="12"/>
  <c r="M14" i="12"/>
  <c r="M13" i="12"/>
  <c r="M12" i="12"/>
  <c r="M11" i="12"/>
  <c r="M10" i="12"/>
  <c r="M9" i="12"/>
  <c r="M8" i="12"/>
  <c r="M7" i="12"/>
  <c r="M6" i="12"/>
  <c r="M5" i="12"/>
  <c r="M4" i="12"/>
  <c r="M3" i="12"/>
  <c r="P71" i="1"/>
  <c r="P129" i="1"/>
  <c r="J126" i="1"/>
  <c r="P104" i="12"/>
  <c r="P103" i="12"/>
  <c r="P102" i="12"/>
  <c r="P101" i="12"/>
  <c r="P100" i="12"/>
  <c r="P99" i="12"/>
  <c r="P98" i="12"/>
  <c r="P97" i="12"/>
  <c r="P96" i="12"/>
  <c r="P95" i="12"/>
  <c r="P94" i="12"/>
  <c r="P93" i="12"/>
  <c r="P92" i="12"/>
  <c r="P91" i="12"/>
  <c r="P90" i="12"/>
  <c r="P89" i="12"/>
  <c r="P88" i="12"/>
  <c r="P87" i="12"/>
  <c r="P86" i="12"/>
  <c r="M83" i="12"/>
  <c r="M80" i="12"/>
  <c r="M79" i="12"/>
  <c r="M78" i="12"/>
  <c r="M74" i="12"/>
  <c r="M71" i="12"/>
  <c r="M66" i="12"/>
  <c r="M65" i="12"/>
  <c r="M64" i="12"/>
  <c r="M63" i="12"/>
  <c r="J160" i="1"/>
  <c r="G160" i="1"/>
  <c r="M130" i="12" l="1"/>
  <c r="M36" i="12"/>
  <c r="P105" i="12"/>
  <c r="M81" i="12"/>
  <c r="M67" i="12"/>
  <c r="M129" i="1"/>
  <c r="S566" i="3" l="1"/>
  <c r="S565" i="3"/>
  <c r="S564" i="3"/>
  <c r="S563" i="3"/>
  <c r="S562" i="3"/>
  <c r="S561" i="3"/>
  <c r="S560" i="3"/>
  <c r="S559" i="3"/>
  <c r="S558" i="3"/>
  <c r="S557" i="3"/>
  <c r="J552" i="3"/>
  <c r="J551" i="3"/>
  <c r="J550" i="3"/>
  <c r="S567" i="3" l="1"/>
  <c r="J553" i="3"/>
  <c r="J329" i="3" l="1"/>
  <c r="J328" i="3"/>
  <c r="J327" i="3"/>
  <c r="J326" i="3"/>
  <c r="J325" i="3"/>
  <c r="J324" i="3"/>
  <c r="J323" i="3"/>
  <c r="J322" i="3"/>
  <c r="J321" i="3"/>
  <c r="J320" i="3"/>
  <c r="J319" i="3"/>
  <c r="J318" i="3"/>
  <c r="J317" i="3"/>
  <c r="J316" i="3"/>
  <c r="J315" i="3"/>
  <c r="J314" i="3"/>
  <c r="J313" i="3"/>
  <c r="J312" i="3"/>
  <c r="J311" i="3"/>
  <c r="M535" i="3"/>
  <c r="M534" i="3"/>
  <c r="M533" i="3"/>
  <c r="M532" i="3"/>
  <c r="M531" i="3"/>
  <c r="M530" i="3"/>
  <c r="M529" i="3"/>
  <c r="M528" i="3"/>
  <c r="M527" i="3"/>
  <c r="M526" i="3"/>
  <c r="M525" i="3"/>
  <c r="M524" i="3"/>
  <c r="M523" i="3"/>
  <c r="M522" i="3"/>
  <c r="M521" i="3"/>
  <c r="M520" i="3"/>
  <c r="M519" i="3"/>
  <c r="M518" i="3"/>
  <c r="M517" i="3"/>
  <c r="M516" i="3"/>
  <c r="J212" i="18"/>
  <c r="J213" i="18" s="1"/>
  <c r="J211" i="18"/>
  <c r="G213" i="18"/>
  <c r="G212" i="18"/>
  <c r="G211" i="18"/>
  <c r="J669" i="3"/>
  <c r="G70" i="14"/>
  <c r="J64" i="14"/>
  <c r="J65" i="14"/>
  <c r="J70" i="14" s="1"/>
  <c r="J66" i="14"/>
  <c r="J67" i="14"/>
  <c r="J68" i="14"/>
  <c r="J69" i="14"/>
  <c r="J63" i="14"/>
  <c r="G64" i="14"/>
  <c r="G65" i="14"/>
  <c r="G66" i="14"/>
  <c r="G67" i="14"/>
  <c r="G68" i="14"/>
  <c r="G69" i="14"/>
  <c r="G63" i="14"/>
  <c r="M55" i="14"/>
  <c r="M54" i="14"/>
  <c r="M53" i="14"/>
  <c r="M52" i="14"/>
  <c r="M51" i="14"/>
  <c r="M50" i="14"/>
  <c r="M49" i="14"/>
  <c r="M48" i="14"/>
  <c r="M47" i="14"/>
  <c r="M46" i="14"/>
  <c r="M45" i="14"/>
  <c r="P74" i="1"/>
  <c r="G202" i="13"/>
  <c r="J202" i="13"/>
  <c r="J189" i="13"/>
  <c r="J190" i="13"/>
  <c r="J191" i="13"/>
  <c r="J192" i="13"/>
  <c r="J193" i="13"/>
  <c r="J194" i="13"/>
  <c r="J195" i="13"/>
  <c r="J196" i="13"/>
  <c r="J197" i="13"/>
  <c r="J198" i="13"/>
  <c r="J199" i="13"/>
  <c r="J200" i="13"/>
  <c r="J201" i="13"/>
  <c r="J188" i="13"/>
  <c r="G189" i="13"/>
  <c r="G190" i="13"/>
  <c r="G191" i="13"/>
  <c r="G192" i="13"/>
  <c r="G193" i="13"/>
  <c r="G194" i="13"/>
  <c r="G195" i="13"/>
  <c r="G196" i="13"/>
  <c r="G197" i="13"/>
  <c r="G198" i="13"/>
  <c r="G199" i="13"/>
  <c r="G200" i="13"/>
  <c r="G201" i="13"/>
  <c r="G188" i="13"/>
  <c r="J330" i="3" l="1"/>
  <c r="M536" i="3"/>
  <c r="M56" i="14"/>
  <c r="M185" i="13" l="1"/>
  <c r="M184" i="13"/>
  <c r="M183" i="13"/>
  <c r="M182" i="13"/>
  <c r="M181" i="13"/>
  <c r="M180" i="13"/>
  <c r="M179" i="13"/>
  <c r="M178" i="13"/>
  <c r="M175" i="13"/>
  <c r="M176" i="13" s="1"/>
  <c r="M174" i="13"/>
  <c r="M173" i="13"/>
  <c r="M113" i="1"/>
  <c r="J110" i="1"/>
  <c r="J248" i="3"/>
  <c r="J268" i="3"/>
  <c r="J267" i="3"/>
  <c r="J266" i="3"/>
  <c r="J265" i="3"/>
  <c r="J264" i="3"/>
  <c r="J263" i="3"/>
  <c r="J262" i="3"/>
  <c r="J261" i="3"/>
  <c r="J260" i="3"/>
  <c r="J259" i="3"/>
  <c r="J258" i="3"/>
  <c r="J257" i="3"/>
  <c r="J255" i="3"/>
  <c r="J254" i="3"/>
  <c r="J253" i="3"/>
  <c r="J252" i="3"/>
  <c r="J251" i="3"/>
  <c r="P70" i="5"/>
  <c r="P69" i="5"/>
  <c r="P68" i="5"/>
  <c r="P67" i="5"/>
  <c r="P66" i="5"/>
  <c r="P77" i="5"/>
  <c r="P76" i="5"/>
  <c r="P75" i="5"/>
  <c r="P74" i="5"/>
  <c r="P73" i="5"/>
  <c r="M83" i="5"/>
  <c r="M82" i="5"/>
  <c r="M84" i="5" s="1"/>
  <c r="P67" i="1"/>
  <c r="P66" i="1"/>
  <c r="V35" i="1"/>
  <c r="V34" i="1"/>
  <c r="V33" i="1"/>
  <c r="V32" i="1"/>
  <c r="J269" i="3" l="1"/>
  <c r="V36" i="1"/>
  <c r="M186" i="13"/>
  <c r="P71" i="5"/>
  <c r="P78" i="5"/>
  <c r="P68" i="1"/>
  <c r="G79"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47" i="2"/>
  <c r="M41" i="14" l="1"/>
  <c r="M40" i="14"/>
  <c r="J13" i="19"/>
  <c r="J12" i="19"/>
  <c r="J11" i="19"/>
  <c r="J10" i="19"/>
  <c r="J9" i="19"/>
  <c r="J8" i="19"/>
  <c r="J7" i="19"/>
  <c r="J6" i="19"/>
  <c r="J5" i="19"/>
  <c r="J4" i="19"/>
  <c r="J3" i="19"/>
  <c r="M42" i="14" l="1"/>
  <c r="J14" i="19"/>
  <c r="J141" i="1"/>
  <c r="J207" i="18" l="1"/>
  <c r="J206" i="18"/>
  <c r="J205" i="18"/>
  <c r="J204" i="18"/>
  <c r="J203" i="18"/>
  <c r="J202" i="18"/>
  <c r="J201" i="18"/>
  <c r="J200" i="18"/>
  <c r="J199" i="18"/>
  <c r="J198" i="18"/>
  <c r="J197" i="18"/>
  <c r="J196" i="18"/>
  <c r="J195" i="18"/>
  <c r="J194" i="18"/>
  <c r="J193" i="18"/>
  <c r="J192" i="18"/>
  <c r="J191" i="18"/>
  <c r="J190" i="18"/>
  <c r="G424" i="3"/>
  <c r="G425" i="3"/>
  <c r="G423" i="3"/>
  <c r="G48" i="13"/>
  <c r="G46" i="13"/>
  <c r="G47" i="13"/>
  <c r="G45" i="13"/>
  <c r="G132" i="13"/>
  <c r="G130" i="13"/>
  <c r="G129" i="13"/>
  <c r="G133" i="13" s="1"/>
  <c r="G131" i="13"/>
  <c r="J157" i="1"/>
  <c r="J158" i="1" s="1"/>
  <c r="J156" i="1"/>
  <c r="G157" i="1"/>
  <c r="G158" i="1" s="1"/>
  <c r="G156" i="1"/>
  <c r="G426" i="3" l="1"/>
  <c r="J208" i="18"/>
  <c r="G208" i="18"/>
  <c r="G191" i="18"/>
  <c r="G192" i="18"/>
  <c r="G193" i="18"/>
  <c r="G194" i="18"/>
  <c r="G195" i="18"/>
  <c r="G196" i="18"/>
  <c r="G197" i="18"/>
  <c r="G198" i="18"/>
  <c r="G199" i="18"/>
  <c r="G200" i="18"/>
  <c r="G201" i="18"/>
  <c r="G202" i="18"/>
  <c r="G203" i="18"/>
  <c r="G204" i="18"/>
  <c r="G205" i="18"/>
  <c r="G206" i="18"/>
  <c r="G207" i="18"/>
  <c r="G190" i="18"/>
  <c r="M74" i="19" l="1"/>
  <c r="M73" i="19"/>
  <c r="M72" i="19"/>
  <c r="M71" i="19"/>
  <c r="M70" i="19"/>
  <c r="M69" i="19"/>
  <c r="M68" i="19"/>
  <c r="M67" i="19"/>
  <c r="M66" i="19"/>
  <c r="M65" i="19"/>
  <c r="M64" i="19"/>
  <c r="M63" i="19"/>
  <c r="M62" i="19"/>
  <c r="M61" i="19"/>
  <c r="M60" i="19"/>
  <c r="M59" i="19"/>
  <c r="M58" i="19"/>
  <c r="M57" i="19"/>
  <c r="M56" i="19"/>
  <c r="M55" i="19"/>
  <c r="M54" i="19"/>
  <c r="M53" i="19"/>
  <c r="M52" i="19"/>
  <c r="M51" i="19"/>
  <c r="M50" i="19"/>
  <c r="M49" i="19"/>
  <c r="M48" i="19"/>
  <c r="M47" i="19"/>
  <c r="M46" i="19"/>
  <c r="M45" i="19"/>
  <c r="M44" i="19"/>
  <c r="M43" i="19"/>
  <c r="M42" i="19"/>
  <c r="M41" i="19"/>
  <c r="M40" i="19"/>
  <c r="M39" i="19"/>
  <c r="M38" i="19"/>
  <c r="M37" i="19"/>
  <c r="M36" i="19"/>
  <c r="M35" i="19"/>
  <c r="M34" i="19"/>
  <c r="M33" i="19"/>
  <c r="M32" i="19"/>
  <c r="M31" i="19"/>
  <c r="M30" i="19"/>
  <c r="M29" i="19"/>
  <c r="M28" i="19"/>
  <c r="M27" i="19"/>
  <c r="M26" i="19"/>
  <c r="M25" i="19"/>
  <c r="M24" i="19"/>
  <c r="M23" i="19"/>
  <c r="M22" i="19"/>
  <c r="M21" i="19"/>
  <c r="M20" i="19"/>
  <c r="M19" i="19"/>
  <c r="M18" i="19"/>
  <c r="M17" i="19"/>
  <c r="S34" i="4"/>
  <c r="S33" i="4"/>
  <c r="S32" i="4"/>
  <c r="S31" i="4"/>
  <c r="S30" i="4"/>
  <c r="S35" i="4" s="1"/>
  <c r="P27" i="4"/>
  <c r="P26" i="4"/>
  <c r="P25" i="4"/>
  <c r="P24" i="4"/>
  <c r="P23" i="4"/>
  <c r="V19" i="4"/>
  <c r="V18" i="4"/>
  <c r="V17" i="4"/>
  <c r="V16" i="4"/>
  <c r="V15" i="4"/>
  <c r="J112" i="19"/>
  <c r="J111" i="19"/>
  <c r="J113" i="19" s="1"/>
  <c r="J119" i="19"/>
  <c r="J118" i="19"/>
  <c r="J117" i="19"/>
  <c r="J120" i="19" s="1"/>
  <c r="J125" i="19"/>
  <c r="J124" i="19"/>
  <c r="J126" i="19" s="1"/>
  <c r="M75" i="19" l="1"/>
  <c r="P28" i="4"/>
  <c r="V20" i="4"/>
  <c r="M184" i="18"/>
  <c r="M183" i="18"/>
  <c r="M182" i="18"/>
  <c r="M181" i="18"/>
  <c r="M180" i="18"/>
  <c r="M179" i="18"/>
  <c r="M178" i="18"/>
  <c r="M177" i="18"/>
  <c r="M176" i="18"/>
  <c r="M175" i="18"/>
  <c r="M174" i="18"/>
  <c r="M173" i="18"/>
  <c r="M172" i="18"/>
  <c r="M171" i="18"/>
  <c r="M170" i="18"/>
  <c r="M169" i="18"/>
  <c r="M168" i="18"/>
  <c r="M167" i="18"/>
  <c r="M166" i="18"/>
  <c r="M165" i="18"/>
  <c r="M164" i="18"/>
  <c r="M163" i="18"/>
  <c r="M162" i="18"/>
  <c r="M161" i="18"/>
  <c r="M160" i="18"/>
  <c r="M159" i="18"/>
  <c r="M158" i="18"/>
  <c r="M157" i="18"/>
  <c r="M156" i="18"/>
  <c r="M155" i="18"/>
  <c r="M154" i="18"/>
  <c r="M153" i="18"/>
  <c r="M152" i="18"/>
  <c r="M151" i="18"/>
  <c r="M150" i="18"/>
  <c r="M149" i="18"/>
  <c r="M148" i="18"/>
  <c r="M147" i="18"/>
  <c r="M146" i="18"/>
  <c r="M145" i="18"/>
  <c r="M144" i="18"/>
  <c r="M143" i="18"/>
  <c r="M142" i="18"/>
  <c r="M141" i="18"/>
  <c r="P135" i="19"/>
  <c r="P134" i="19"/>
  <c r="P133" i="19"/>
  <c r="P132" i="19"/>
  <c r="P136" i="19" s="1"/>
  <c r="P163" i="19"/>
  <c r="P162" i="19"/>
  <c r="P161" i="19"/>
  <c r="P160" i="19"/>
  <c r="P159" i="19"/>
  <c r="P158" i="19"/>
  <c r="P164" i="19" s="1"/>
  <c r="P157" i="19"/>
  <c r="P156" i="19"/>
  <c r="P155" i="19"/>
  <c r="P154" i="19"/>
  <c r="P153" i="19"/>
  <c r="P152" i="19"/>
  <c r="P151" i="19"/>
  <c r="P150" i="19"/>
  <c r="P149" i="19"/>
  <c r="P148" i="19"/>
  <c r="P147" i="19"/>
  <c r="P146" i="19"/>
  <c r="M143" i="19"/>
  <c r="P140" i="19"/>
  <c r="P139" i="19"/>
  <c r="P138" i="19"/>
  <c r="P97" i="1"/>
  <c r="P96" i="1"/>
  <c r="M129" i="19"/>
  <c r="M97" i="1"/>
  <c r="M96" i="1"/>
  <c r="M98" i="1" s="1"/>
  <c r="M185" i="18" l="1"/>
  <c r="P141" i="19"/>
  <c r="P98" i="1"/>
  <c r="P341" i="3"/>
  <c r="P355" i="3" l="1"/>
  <c r="P354" i="3"/>
  <c r="P353" i="3"/>
  <c r="P356" i="3" l="1"/>
  <c r="M332" i="3" l="1"/>
  <c r="P336" i="3" l="1"/>
  <c r="P361" i="3" l="1"/>
  <c r="P360" i="3"/>
  <c r="P359" i="3"/>
  <c r="P362" i="3" s="1"/>
  <c r="P350" i="3" l="1"/>
  <c r="P349" i="3"/>
  <c r="P348" i="3"/>
  <c r="P351" i="3" l="1"/>
  <c r="M345" i="3" l="1"/>
  <c r="J723" i="3" l="1"/>
  <c r="J722" i="3"/>
  <c r="J721" i="3"/>
  <c r="J720" i="3"/>
  <c r="J719" i="3"/>
  <c r="J718" i="3"/>
  <c r="J715" i="3"/>
  <c r="J714" i="3"/>
  <c r="J713" i="3"/>
  <c r="J712" i="3"/>
  <c r="J724" i="3" l="1"/>
  <c r="J716" i="3"/>
  <c r="M709" i="3"/>
  <c r="M708" i="3"/>
  <c r="M707" i="3"/>
  <c r="M706" i="3"/>
  <c r="M705" i="3"/>
  <c r="M704" i="3"/>
  <c r="M703" i="3"/>
  <c r="M702" i="3"/>
  <c r="M701" i="3"/>
  <c r="M700" i="3"/>
  <c r="M699" i="3"/>
  <c r="M698" i="3"/>
  <c r="M697" i="3"/>
  <c r="M696" i="3"/>
  <c r="M695" i="3"/>
  <c r="M694" i="3"/>
  <c r="M693" i="3"/>
  <c r="M692" i="3"/>
  <c r="M691" i="3"/>
  <c r="M690" i="3"/>
  <c r="M689" i="3"/>
  <c r="M688" i="3"/>
  <c r="M687" i="3"/>
  <c r="M686" i="3"/>
  <c r="M685" i="3"/>
  <c r="M684" i="3"/>
  <c r="M683" i="3"/>
  <c r="M682" i="3"/>
  <c r="M681" i="3"/>
  <c r="M680" i="3"/>
  <c r="M679" i="3"/>
  <c r="M678" i="3"/>
  <c r="M677" i="3"/>
  <c r="M676" i="3"/>
  <c r="M675" i="3"/>
  <c r="M674" i="3"/>
  <c r="M673" i="3"/>
  <c r="M672" i="3"/>
  <c r="P120" i="3"/>
  <c r="P119" i="3"/>
  <c r="P118" i="3"/>
  <c r="P117" i="3"/>
  <c r="P116" i="3"/>
  <c r="P115" i="3"/>
  <c r="P114" i="3"/>
  <c r="P113" i="3"/>
  <c r="P112" i="3"/>
  <c r="P111" i="3"/>
  <c r="P110" i="3"/>
  <c r="P109" i="3"/>
  <c r="P108" i="3"/>
  <c r="P107" i="3"/>
  <c r="P106" i="3"/>
  <c r="P105" i="3"/>
  <c r="P104" i="3"/>
  <c r="P103" i="3"/>
  <c r="P102" i="3"/>
  <c r="P101" i="3"/>
  <c r="P100" i="3"/>
  <c r="P99" i="3"/>
  <c r="P98" i="3"/>
  <c r="P97" i="3"/>
  <c r="P96" i="3"/>
  <c r="P95" i="3"/>
  <c r="P94" i="3"/>
  <c r="P93" i="3"/>
  <c r="P92" i="3"/>
  <c r="P91" i="3"/>
  <c r="P90" i="3"/>
  <c r="P89" i="3"/>
  <c r="P88" i="3"/>
  <c r="P87" i="3"/>
  <c r="P86" i="3"/>
  <c r="P85" i="3"/>
  <c r="P84" i="3"/>
  <c r="P83" i="3"/>
  <c r="P82" i="3"/>
  <c r="P81" i="3"/>
  <c r="P80"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S35" i="1"/>
  <c r="S34" i="1"/>
  <c r="S33" i="1"/>
  <c r="S32" i="1"/>
  <c r="M710" i="3" l="1"/>
  <c r="P121" i="3"/>
  <c r="M121" i="3"/>
  <c r="S36" i="1"/>
  <c r="M163" i="19" l="1"/>
  <c r="M162" i="19"/>
  <c r="M161" i="19"/>
  <c r="M160" i="19"/>
  <c r="M159" i="19"/>
  <c r="M158" i="19"/>
  <c r="M157" i="19"/>
  <c r="M156" i="19"/>
  <c r="M155" i="19"/>
  <c r="M154" i="19"/>
  <c r="M153" i="19"/>
  <c r="M152" i="19"/>
  <c r="M151" i="19"/>
  <c r="M150" i="19"/>
  <c r="M149" i="19"/>
  <c r="M148" i="19"/>
  <c r="M147" i="19"/>
  <c r="M146" i="19"/>
  <c r="J143" i="19"/>
  <c r="M140" i="19"/>
  <c r="M139" i="19"/>
  <c r="M138" i="19"/>
  <c r="G138" i="19"/>
  <c r="G141" i="19" s="1"/>
  <c r="G139" i="19"/>
  <c r="G140" i="19"/>
  <c r="M135" i="19"/>
  <c r="M134" i="19"/>
  <c r="M133" i="19"/>
  <c r="M132" i="19"/>
  <c r="M164" i="19" l="1"/>
  <c r="M141" i="19"/>
  <c r="M136" i="19"/>
  <c r="M355" i="3"/>
  <c r="M354" i="3"/>
  <c r="M353" i="3"/>
  <c r="J345" i="3"/>
  <c r="M336" i="3"/>
  <c r="M105" i="13"/>
  <c r="M104" i="13"/>
  <c r="M103" i="13"/>
  <c r="M102" i="13"/>
  <c r="M101" i="13"/>
  <c r="M100" i="13"/>
  <c r="M99" i="13"/>
  <c r="M98" i="13"/>
  <c r="M97" i="13"/>
  <c r="M96" i="13"/>
  <c r="M95" i="13"/>
  <c r="M94" i="13"/>
  <c r="M93" i="13"/>
  <c r="M92" i="13"/>
  <c r="M91" i="13"/>
  <c r="M90" i="13"/>
  <c r="M89" i="13"/>
  <c r="M88" i="13"/>
  <c r="M87" i="13"/>
  <c r="M86" i="13"/>
  <c r="M85" i="13"/>
  <c r="M84" i="13"/>
  <c r="M83" i="13"/>
  <c r="M82" i="13"/>
  <c r="M81" i="13"/>
  <c r="M80" i="13"/>
  <c r="M79" i="13"/>
  <c r="M78" i="13"/>
  <c r="M77" i="13"/>
  <c r="M76" i="13"/>
  <c r="M75" i="13"/>
  <c r="M74" i="13"/>
  <c r="M73" i="13"/>
  <c r="M72" i="13"/>
  <c r="M71" i="13"/>
  <c r="M70" i="13"/>
  <c r="M69" i="13"/>
  <c r="M68" i="13"/>
  <c r="M67" i="13"/>
  <c r="M66" i="13"/>
  <c r="M65" i="13"/>
  <c r="M64" i="13"/>
  <c r="M63" i="13"/>
  <c r="M62" i="13"/>
  <c r="M356" i="3" l="1"/>
  <c r="M106" i="13"/>
  <c r="M75" i="18"/>
  <c r="M74" i="18"/>
  <c r="M73" i="18"/>
  <c r="M72" i="18"/>
  <c r="M71" i="18"/>
  <c r="M70" i="18"/>
  <c r="M69" i="18"/>
  <c r="M68" i="18"/>
  <c r="M67" i="18"/>
  <c r="M66" i="18"/>
  <c r="M65" i="18"/>
  <c r="M64" i="18"/>
  <c r="M63" i="18"/>
  <c r="M62" i="18"/>
  <c r="M61" i="18"/>
  <c r="M60" i="18"/>
  <c r="M59" i="18"/>
  <c r="M58" i="18"/>
  <c r="M37" i="10"/>
  <c r="M36" i="10"/>
  <c r="M35" i="10"/>
  <c r="M34" i="10"/>
  <c r="M33" i="10"/>
  <c r="M32" i="10"/>
  <c r="M31" i="10"/>
  <c r="M30" i="10"/>
  <c r="M29" i="10"/>
  <c r="M28" i="10"/>
  <c r="M27" i="10"/>
  <c r="M26" i="10"/>
  <c r="M25" i="10"/>
  <c r="M24" i="10"/>
  <c r="M23" i="10"/>
  <c r="M22" i="10"/>
  <c r="M21" i="10"/>
  <c r="M20" i="10"/>
  <c r="M19" i="10"/>
  <c r="M18" i="10"/>
  <c r="M17" i="10"/>
  <c r="M16" i="10"/>
  <c r="M15" i="10"/>
  <c r="M14" i="10"/>
  <c r="M13" i="10"/>
  <c r="M12" i="10"/>
  <c r="M11" i="10"/>
  <c r="M10" i="10"/>
  <c r="M9" i="10"/>
  <c r="M8" i="10"/>
  <c r="M7" i="10"/>
  <c r="M6" i="10"/>
  <c r="M5" i="10"/>
  <c r="M4" i="10"/>
  <c r="M3" i="10"/>
  <c r="P566" i="3"/>
  <c r="P565" i="3"/>
  <c r="P564" i="3"/>
  <c r="P563" i="3"/>
  <c r="P562" i="3"/>
  <c r="P561" i="3"/>
  <c r="P560" i="3"/>
  <c r="P559" i="3"/>
  <c r="P558" i="3"/>
  <c r="P557" i="3"/>
  <c r="J80" i="10"/>
  <c r="M77" i="10"/>
  <c r="M76" i="10"/>
  <c r="M75" i="10"/>
  <c r="M74" i="10"/>
  <c r="M73" i="10"/>
  <c r="M72" i="10"/>
  <c r="M71" i="10"/>
  <c r="M70" i="10"/>
  <c r="M69" i="10"/>
  <c r="M68" i="10"/>
  <c r="M67" i="10"/>
  <c r="M66" i="10"/>
  <c r="M65" i="10"/>
  <c r="M64" i="10"/>
  <c r="M63" i="10"/>
  <c r="M62" i="10"/>
  <c r="M61" i="10"/>
  <c r="M60" i="10"/>
  <c r="M59" i="10"/>
  <c r="M58" i="10"/>
  <c r="M57" i="10"/>
  <c r="M56" i="10"/>
  <c r="M55" i="10"/>
  <c r="M54" i="10"/>
  <c r="M53" i="10"/>
  <c r="M52" i="10"/>
  <c r="M51" i="10"/>
  <c r="M50" i="10"/>
  <c r="M49" i="10"/>
  <c r="M48" i="10"/>
  <c r="M47" i="10"/>
  <c r="M46" i="10"/>
  <c r="M45" i="10"/>
  <c r="M44" i="10"/>
  <c r="M43" i="10"/>
  <c r="M42" i="10"/>
  <c r="M41" i="10"/>
  <c r="J114" i="4"/>
  <c r="J145" i="4"/>
  <c r="J144" i="4"/>
  <c r="J143" i="4"/>
  <c r="J142" i="4"/>
  <c r="J141" i="4"/>
  <c r="J140" i="4"/>
  <c r="J139" i="4"/>
  <c r="J138" i="4"/>
  <c r="J137" i="4"/>
  <c r="J136" i="4"/>
  <c r="M133" i="4"/>
  <c r="M132" i="4"/>
  <c r="M131" i="4"/>
  <c r="M130" i="4"/>
  <c r="M129" i="4"/>
  <c r="M128" i="4"/>
  <c r="M127" i="4"/>
  <c r="M126" i="4"/>
  <c r="M125" i="4"/>
  <c r="M124" i="4"/>
  <c r="M123" i="4"/>
  <c r="M122" i="4"/>
  <c r="M121" i="4"/>
  <c r="M120" i="4"/>
  <c r="M119" i="4"/>
  <c r="M104" i="12"/>
  <c r="M103" i="12"/>
  <c r="M102" i="12"/>
  <c r="M101" i="12"/>
  <c r="M100" i="12"/>
  <c r="M99" i="12"/>
  <c r="M98" i="12"/>
  <c r="M97" i="12"/>
  <c r="M96" i="12"/>
  <c r="M95" i="12"/>
  <c r="M94" i="12"/>
  <c r="M93" i="12"/>
  <c r="M92" i="12"/>
  <c r="M91" i="12"/>
  <c r="M90" i="12"/>
  <c r="M89" i="12"/>
  <c r="M88" i="12"/>
  <c r="M87" i="12"/>
  <c r="M86" i="12"/>
  <c r="J32" i="2"/>
  <c r="J31" i="2"/>
  <c r="J30" i="2"/>
  <c r="J29" i="2"/>
  <c r="J28" i="2"/>
  <c r="J33" i="2" s="1"/>
  <c r="J147" i="13"/>
  <c r="J146" i="13"/>
  <c r="J145" i="13"/>
  <c r="J144" i="13"/>
  <c r="J143" i="13"/>
  <c r="J142" i="13"/>
  <c r="J141" i="13"/>
  <c r="J140" i="13"/>
  <c r="J139" i="13"/>
  <c r="J138" i="13"/>
  <c r="J137" i="13"/>
  <c r="J136" i="13"/>
  <c r="J163" i="13"/>
  <c r="J162" i="13"/>
  <c r="J161" i="13"/>
  <c r="J160" i="13"/>
  <c r="J159" i="13"/>
  <c r="J158" i="13"/>
  <c r="J157" i="13"/>
  <c r="J156" i="13"/>
  <c r="J155" i="13"/>
  <c r="J154" i="13"/>
  <c r="J153" i="13"/>
  <c r="J152" i="13"/>
  <c r="J151" i="13"/>
  <c r="J150" i="13"/>
  <c r="M361" i="3"/>
  <c r="M360" i="3"/>
  <c r="M359" i="3"/>
  <c r="M362" i="3" s="1"/>
  <c r="M350" i="3"/>
  <c r="M349" i="3"/>
  <c r="M348" i="3"/>
  <c r="M341" i="3"/>
  <c r="M76" i="18" l="1"/>
  <c r="M38" i="10"/>
  <c r="P567" i="3"/>
  <c r="M78" i="10"/>
  <c r="J146" i="4"/>
  <c r="M134" i="4"/>
  <c r="M105" i="12"/>
  <c r="J148" i="13"/>
  <c r="J164" i="13"/>
  <c r="M351" i="3"/>
  <c r="J420" i="3"/>
  <c r="J419" i="3"/>
  <c r="J418" i="3"/>
  <c r="J417" i="3"/>
  <c r="J416" i="3"/>
  <c r="J415" i="3"/>
  <c r="J414" i="3"/>
  <c r="J413" i="3"/>
  <c r="J412" i="3"/>
  <c r="J411" i="3"/>
  <c r="J410" i="3"/>
  <c r="J409" i="3"/>
  <c r="J408" i="3"/>
  <c r="J407" i="3"/>
  <c r="J406" i="3"/>
  <c r="J405" i="3"/>
  <c r="J404" i="3"/>
  <c r="J403" i="3"/>
  <c r="J402" i="3"/>
  <c r="J401" i="3"/>
  <c r="J400" i="3"/>
  <c r="J399" i="3"/>
  <c r="G400" i="3"/>
  <c r="G401" i="3"/>
  <c r="G402" i="3"/>
  <c r="G403" i="3"/>
  <c r="G404" i="3"/>
  <c r="G405" i="3"/>
  <c r="G406" i="3"/>
  <c r="G407" i="3"/>
  <c r="G408" i="3"/>
  <c r="G409" i="3"/>
  <c r="G410" i="3"/>
  <c r="G411" i="3"/>
  <c r="G412" i="3"/>
  <c r="G413" i="3"/>
  <c r="G414" i="3"/>
  <c r="G415" i="3"/>
  <c r="G416" i="3"/>
  <c r="G417" i="3"/>
  <c r="G418" i="3"/>
  <c r="G419" i="3"/>
  <c r="G420" i="3"/>
  <c r="G399" i="3"/>
  <c r="G396" i="3"/>
  <c r="G421" i="3" l="1"/>
  <c r="J421" i="3"/>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142" i="5"/>
  <c r="J141" i="5"/>
  <c r="J140" i="5"/>
  <c r="J139" i="5"/>
  <c r="J138" i="5"/>
  <c r="J137" i="5"/>
  <c r="J136" i="5"/>
  <c r="J135" i="5"/>
  <c r="J134" i="5"/>
  <c r="J133" i="5"/>
  <c r="J164" i="4"/>
  <c r="J163" i="4"/>
  <c r="J162" i="4"/>
  <c r="J161" i="4"/>
  <c r="J160" i="4"/>
  <c r="J159" i="4"/>
  <c r="J158" i="4"/>
  <c r="J157" i="4"/>
  <c r="J156" i="4"/>
  <c r="J155" i="4"/>
  <c r="J154" i="4"/>
  <c r="J108" i="1"/>
  <c r="J107" i="1"/>
  <c r="J106" i="1"/>
  <c r="J105" i="1"/>
  <c r="J104" i="1"/>
  <c r="M67" i="1"/>
  <c r="M66" i="1"/>
  <c r="M11" i="4"/>
  <c r="M10" i="4"/>
  <c r="M9" i="4"/>
  <c r="S19" i="4"/>
  <c r="S18" i="4"/>
  <c r="S17" i="4"/>
  <c r="S16" i="4"/>
  <c r="S15" i="4"/>
  <c r="S20" i="4" s="1"/>
  <c r="J117" i="5" l="1"/>
  <c r="J143" i="5"/>
  <c r="J165" i="4"/>
  <c r="M68" i="1"/>
  <c r="M12" i="4"/>
  <c r="G153" i="1"/>
  <c r="Q24" i="1" l="1"/>
  <c r="Q26" i="1"/>
  <c r="Q23" i="1"/>
  <c r="S23" i="1" s="1"/>
  <c r="S26" i="1"/>
  <c r="S24" i="1"/>
  <c r="M19" i="20" l="1"/>
  <c r="H4" i="20"/>
  <c r="H5" i="20"/>
  <c r="H6" i="20"/>
  <c r="H7" i="20"/>
  <c r="H8" i="20"/>
  <c r="H9" i="20"/>
  <c r="H10" i="20"/>
  <c r="H11" i="20"/>
  <c r="H12" i="20"/>
  <c r="H13" i="20"/>
  <c r="H14" i="20"/>
  <c r="H15" i="20"/>
  <c r="H16" i="20"/>
  <c r="H17" i="20"/>
  <c r="H18" i="20"/>
  <c r="H3" i="20"/>
  <c r="L4" i="20" l="1"/>
  <c r="L6" i="20"/>
  <c r="L7" i="20"/>
  <c r="L8" i="20"/>
  <c r="L9" i="20"/>
  <c r="L10" i="20"/>
  <c r="L11" i="20"/>
  <c r="L12" i="20"/>
  <c r="L13" i="20"/>
  <c r="L14" i="20"/>
  <c r="L15" i="20"/>
  <c r="L16" i="20"/>
  <c r="L17" i="20"/>
  <c r="L18" i="20"/>
  <c r="L3" i="20"/>
  <c r="K4" i="20"/>
  <c r="K5" i="20"/>
  <c r="L5" i="20" s="1"/>
  <c r="K6" i="20"/>
  <c r="K7" i="20"/>
  <c r="K8" i="20"/>
  <c r="K9" i="20"/>
  <c r="K10" i="20"/>
  <c r="K11" i="20"/>
  <c r="K12" i="20"/>
  <c r="K13" i="20"/>
  <c r="K14" i="20"/>
  <c r="K15" i="20"/>
  <c r="K16" i="20"/>
  <c r="K17" i="20"/>
  <c r="K18" i="20"/>
  <c r="K3" i="20"/>
  <c r="L19" i="20" l="1"/>
  <c r="J113" i="1" l="1"/>
  <c r="J129" i="1"/>
  <c r="J393" i="3"/>
  <c r="J392" i="3"/>
  <c r="J391" i="3"/>
  <c r="J390" i="3"/>
  <c r="J389" i="3"/>
  <c r="J388" i="3"/>
  <c r="J387" i="3"/>
  <c r="J386" i="3"/>
  <c r="J385" i="3"/>
  <c r="J384" i="3"/>
  <c r="J383" i="3"/>
  <c r="J382" i="3"/>
  <c r="J381" i="3"/>
  <c r="J380" i="3"/>
  <c r="J378" i="3"/>
  <c r="J377" i="3"/>
  <c r="J376" i="3"/>
  <c r="J375" i="3"/>
  <c r="J374" i="3"/>
  <c r="J373" i="3"/>
  <c r="J372" i="3"/>
  <c r="J371" i="3"/>
  <c r="J370" i="3"/>
  <c r="J369" i="3"/>
  <c r="J368" i="3"/>
  <c r="J367" i="3"/>
  <c r="J366" i="3"/>
  <c r="J365" i="3"/>
  <c r="J364" i="3"/>
  <c r="J394" i="3" l="1"/>
  <c r="P23" i="1"/>
  <c r="P26" i="1"/>
  <c r="P24" i="1"/>
  <c r="M27" i="4" l="1"/>
  <c r="M26" i="4"/>
  <c r="M25" i="4"/>
  <c r="M24" i="4"/>
  <c r="M23" i="4"/>
  <c r="P34" i="4"/>
  <c r="P33" i="4"/>
  <c r="P32" i="4"/>
  <c r="P31" i="4"/>
  <c r="P30" i="4"/>
  <c r="M28" i="4" l="1"/>
  <c r="P35" i="4"/>
  <c r="J83" i="5"/>
  <c r="J84" i="5" s="1"/>
  <c r="J82" i="5"/>
  <c r="J535" i="3"/>
  <c r="J534" i="3"/>
  <c r="J533" i="3"/>
  <c r="J532" i="3"/>
  <c r="J531" i="3"/>
  <c r="J530" i="3"/>
  <c r="J529" i="3"/>
  <c r="J528" i="3"/>
  <c r="J527" i="3"/>
  <c r="J526" i="3"/>
  <c r="J525" i="3"/>
  <c r="J524" i="3"/>
  <c r="J523" i="3"/>
  <c r="J522" i="3"/>
  <c r="J521" i="3"/>
  <c r="J520" i="3"/>
  <c r="J519" i="3"/>
  <c r="J518" i="3"/>
  <c r="J517" i="3"/>
  <c r="J516" i="3"/>
  <c r="J536" i="3" l="1"/>
  <c r="G4" i="20"/>
  <c r="G5" i="20"/>
  <c r="G19" i="20" s="1"/>
  <c r="G6" i="20"/>
  <c r="G7" i="20"/>
  <c r="G8" i="20"/>
  <c r="G9" i="20"/>
  <c r="G10" i="20"/>
  <c r="G11" i="20"/>
  <c r="G12" i="20"/>
  <c r="G13" i="20"/>
  <c r="G14" i="20"/>
  <c r="G15" i="20"/>
  <c r="G16" i="20"/>
  <c r="G17" i="20"/>
  <c r="G18" i="20"/>
  <c r="G3" i="20"/>
  <c r="M77" i="5"/>
  <c r="M76" i="5"/>
  <c r="M75" i="5"/>
  <c r="M74" i="5"/>
  <c r="M73" i="5"/>
  <c r="M78" i="5" s="1"/>
  <c r="M70" i="5"/>
  <c r="M69" i="5"/>
  <c r="M68" i="5"/>
  <c r="M67" i="5"/>
  <c r="M66" i="5"/>
  <c r="M71" i="5" l="1"/>
  <c r="J49" i="9"/>
  <c r="J48" i="9"/>
  <c r="J47" i="9"/>
  <c r="J50" i="9" s="1"/>
  <c r="G50" i="9"/>
  <c r="G48" i="9"/>
  <c r="G49" i="9"/>
  <c r="G47" i="9"/>
  <c r="J145" i="1" l="1"/>
  <c r="J144" i="1"/>
  <c r="J146" i="1" s="1"/>
  <c r="J149" i="1" l="1"/>
  <c r="J148" i="1"/>
  <c r="G149" i="1"/>
  <c r="G150" i="1" s="1"/>
  <c r="G148" i="1"/>
  <c r="J150" i="1" l="1"/>
  <c r="J60" i="14"/>
  <c r="J59" i="14"/>
  <c r="J61" i="14" s="1"/>
  <c r="J666" i="3"/>
  <c r="J665" i="3"/>
  <c r="J664" i="3"/>
  <c r="J663" i="3"/>
  <c r="J662" i="3"/>
  <c r="J661" i="3"/>
  <c r="J660" i="3"/>
  <c r="J659" i="3"/>
  <c r="J658" i="3"/>
  <c r="J657" i="3"/>
  <c r="J656" i="3"/>
  <c r="J655" i="3"/>
  <c r="J654" i="3"/>
  <c r="J653" i="3"/>
  <c r="J652" i="3"/>
  <c r="J651" i="3"/>
  <c r="J650" i="3"/>
  <c r="J649" i="3"/>
  <c r="J648" i="3"/>
  <c r="J647" i="3"/>
  <c r="J646" i="3"/>
  <c r="J645" i="3"/>
  <c r="J644" i="3"/>
  <c r="J643" i="3"/>
  <c r="J642" i="3"/>
  <c r="J641" i="3"/>
  <c r="J640" i="3"/>
  <c r="J639" i="3"/>
  <c r="J638" i="3"/>
  <c r="J637" i="3"/>
  <c r="J636" i="3"/>
  <c r="J635" i="3"/>
  <c r="J634" i="3"/>
  <c r="J633" i="3"/>
  <c r="J632" i="3"/>
  <c r="J631" i="3"/>
  <c r="M93" i="1"/>
  <c r="J93" i="1"/>
  <c r="J66" i="8"/>
  <c r="J65" i="8"/>
  <c r="J64" i="8"/>
  <c r="J67" i="8" s="1"/>
  <c r="J40" i="2"/>
  <c r="J39" i="2"/>
  <c r="J38" i="2"/>
  <c r="J37" i="2"/>
  <c r="J36" i="2"/>
  <c r="J35" i="2"/>
  <c r="J41" i="2" s="1"/>
  <c r="J667" i="3" l="1"/>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189" i="3"/>
  <c r="M188" i="3"/>
  <c r="M246" i="3" l="1"/>
  <c r="P185" i="3" l="1"/>
  <c r="P184" i="3"/>
  <c r="P183" i="3"/>
  <c r="P182" i="3"/>
  <c r="P181" i="3"/>
  <c r="P180" i="3"/>
  <c r="P179" i="3"/>
  <c r="P178" i="3"/>
  <c r="P177" i="3"/>
  <c r="P176" i="3"/>
  <c r="P175" i="3"/>
  <c r="P174" i="3"/>
  <c r="P173" i="3"/>
  <c r="P172" i="3"/>
  <c r="P171" i="3"/>
  <c r="P170" i="3"/>
  <c r="P169" i="3"/>
  <c r="P168" i="3"/>
  <c r="P167" i="3"/>
  <c r="P166" i="3"/>
  <c r="P165" i="3"/>
  <c r="P164" i="3"/>
  <c r="P163" i="3"/>
  <c r="P162" i="3"/>
  <c r="P161" i="3"/>
  <c r="P160" i="3"/>
  <c r="P159" i="3"/>
  <c r="P158" i="3"/>
  <c r="P157" i="3"/>
  <c r="P156" i="3"/>
  <c r="P155" i="3"/>
  <c r="P154" i="3"/>
  <c r="P153" i="3"/>
  <c r="P152" i="3"/>
  <c r="P151" i="3"/>
  <c r="P150" i="3"/>
  <c r="P149" i="3"/>
  <c r="P148" i="3"/>
  <c r="P147" i="3"/>
  <c r="P146" i="3"/>
  <c r="P145" i="3"/>
  <c r="P144" i="3"/>
  <c r="P143" i="3"/>
  <c r="P142" i="3"/>
  <c r="P141" i="3"/>
  <c r="P140" i="3"/>
  <c r="P139" i="3"/>
  <c r="P138" i="3"/>
  <c r="P137" i="3"/>
  <c r="P136" i="3"/>
  <c r="P135" i="3"/>
  <c r="P134" i="3"/>
  <c r="P133" i="3"/>
  <c r="P132" i="3"/>
  <c r="P131"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74" i="19"/>
  <c r="J73" i="19"/>
  <c r="J72" i="19"/>
  <c r="J71" i="19"/>
  <c r="J70" i="19"/>
  <c r="J69" i="19"/>
  <c r="J68" i="19"/>
  <c r="J67" i="19"/>
  <c r="J66" i="19"/>
  <c r="J65" i="19"/>
  <c r="J64" i="19"/>
  <c r="J63" i="19"/>
  <c r="J62" i="19"/>
  <c r="J61" i="19"/>
  <c r="J60" i="19"/>
  <c r="J59" i="19"/>
  <c r="J58" i="19"/>
  <c r="J57" i="19"/>
  <c r="J56" i="19"/>
  <c r="J55" i="19"/>
  <c r="J54" i="19"/>
  <c r="J53" i="19"/>
  <c r="J52" i="19"/>
  <c r="J51" i="19"/>
  <c r="J50" i="19"/>
  <c r="J49" i="19"/>
  <c r="J48" i="19"/>
  <c r="J47" i="19"/>
  <c r="J46" i="19"/>
  <c r="J45" i="19"/>
  <c r="J44" i="19"/>
  <c r="J43" i="19"/>
  <c r="J42" i="19"/>
  <c r="J41" i="19"/>
  <c r="J40" i="19"/>
  <c r="J39" i="19"/>
  <c r="J38" i="19"/>
  <c r="J37" i="19"/>
  <c r="J36" i="19"/>
  <c r="J35" i="19"/>
  <c r="J34" i="19"/>
  <c r="J33" i="19"/>
  <c r="J32" i="19"/>
  <c r="J31" i="19"/>
  <c r="J30" i="19"/>
  <c r="J29" i="19"/>
  <c r="J28" i="19"/>
  <c r="J27" i="19"/>
  <c r="J26" i="19"/>
  <c r="J25" i="19"/>
  <c r="J24" i="19"/>
  <c r="J23" i="19"/>
  <c r="J22" i="19"/>
  <c r="J21" i="19"/>
  <c r="J20" i="19"/>
  <c r="J19" i="19"/>
  <c r="J18" i="19"/>
  <c r="J17" i="19"/>
  <c r="P186" i="3" l="1"/>
  <c r="J246" i="3"/>
  <c r="J75" i="19"/>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86" i="3" l="1"/>
  <c r="M22" i="2"/>
  <c r="M21" i="2"/>
  <c r="M20" i="2"/>
  <c r="M19" i="2"/>
  <c r="M18" i="2"/>
  <c r="M17" i="2"/>
  <c r="M16" i="2"/>
  <c r="M15" i="2"/>
  <c r="M14" i="2"/>
  <c r="M13" i="2"/>
  <c r="M12" i="2"/>
  <c r="M11" i="2"/>
  <c r="M10" i="2"/>
  <c r="M9" i="2"/>
  <c r="M8" i="2"/>
  <c r="M7" i="2"/>
  <c r="M6" i="2"/>
  <c r="M5" i="2"/>
  <c r="M4" i="2"/>
  <c r="M23" i="2" l="1"/>
  <c r="J184" i="18"/>
  <c r="J183" i="18"/>
  <c r="J182" i="18"/>
  <c r="J181" i="18"/>
  <c r="J180" i="18"/>
  <c r="J179" i="18"/>
  <c r="J178" i="18"/>
  <c r="J177" i="18"/>
  <c r="J176" i="18"/>
  <c r="J175" i="18"/>
  <c r="J174" i="18"/>
  <c r="J173" i="18"/>
  <c r="J172" i="18"/>
  <c r="J171" i="18"/>
  <c r="J170" i="18"/>
  <c r="J169" i="18"/>
  <c r="J168" i="18"/>
  <c r="J167" i="18"/>
  <c r="J166" i="18"/>
  <c r="J165" i="18"/>
  <c r="J164" i="18"/>
  <c r="J163" i="18"/>
  <c r="J162" i="18"/>
  <c r="J161" i="18"/>
  <c r="J160" i="18"/>
  <c r="J159" i="18"/>
  <c r="J158" i="18"/>
  <c r="J157" i="18"/>
  <c r="J156" i="18"/>
  <c r="J155" i="18"/>
  <c r="J154" i="18"/>
  <c r="J153" i="18"/>
  <c r="J152" i="18"/>
  <c r="J151" i="18"/>
  <c r="J150" i="18"/>
  <c r="J149" i="18"/>
  <c r="J148" i="18"/>
  <c r="J147" i="18"/>
  <c r="J146" i="18"/>
  <c r="J145" i="18"/>
  <c r="J144" i="18"/>
  <c r="J143" i="18"/>
  <c r="J142" i="18"/>
  <c r="J141" i="18"/>
  <c r="J138" i="18"/>
  <c r="J137" i="18"/>
  <c r="J136" i="18"/>
  <c r="J135" i="18"/>
  <c r="J134" i="18"/>
  <c r="J139" i="18" s="1"/>
  <c r="J185" i="18" l="1"/>
  <c r="M44" i="9"/>
  <c r="M43" i="9"/>
  <c r="M42" i="9"/>
  <c r="M41" i="9"/>
  <c r="M40" i="9"/>
  <c r="M39" i="9"/>
  <c r="M38" i="9"/>
  <c r="M37" i="9"/>
  <c r="M36" i="9"/>
  <c r="M35" i="9"/>
  <c r="M34" i="9"/>
  <c r="M45" i="9" l="1"/>
  <c r="G84" i="14" l="1"/>
  <c r="G85" i="14"/>
  <c r="G86" i="14"/>
  <c r="G87" i="14"/>
  <c r="G88" i="14"/>
  <c r="G89" i="14"/>
  <c r="G90" i="14"/>
  <c r="G91" i="14"/>
  <c r="G92" i="14"/>
  <c r="G93" i="14"/>
  <c r="G94" i="14"/>
  <c r="G59" i="14"/>
  <c r="G60" i="14"/>
  <c r="G66" i="8"/>
  <c r="G65" i="8"/>
  <c r="G64" i="8"/>
  <c r="G67" i="8" s="1"/>
  <c r="G117" i="13"/>
  <c r="G116" i="13"/>
  <c r="G145" i="1"/>
  <c r="G144" i="1"/>
  <c r="G146" i="1" s="1"/>
  <c r="G141" i="1"/>
  <c r="G137" i="1"/>
  <c r="G139" i="1" s="1"/>
  <c r="G138" i="1"/>
  <c r="F259" i="11"/>
  <c r="F258" i="11"/>
  <c r="G185" i="18"/>
  <c r="G184" i="18"/>
  <c r="G183" i="18"/>
  <c r="G182" i="18"/>
  <c r="G181" i="18"/>
  <c r="G180" i="18"/>
  <c r="G179" i="18"/>
  <c r="G178" i="18"/>
  <c r="G177" i="18"/>
  <c r="G176" i="18"/>
  <c r="G175" i="18"/>
  <c r="G174" i="18"/>
  <c r="G173" i="18"/>
  <c r="G172" i="18"/>
  <c r="G171" i="18"/>
  <c r="G170" i="18"/>
  <c r="G169" i="18"/>
  <c r="G168" i="18"/>
  <c r="G167" i="18"/>
  <c r="G166" i="18"/>
  <c r="G165" i="18"/>
  <c r="G164" i="18"/>
  <c r="G163" i="18"/>
  <c r="G162" i="18"/>
  <c r="G161" i="18"/>
  <c r="G160" i="18"/>
  <c r="G159" i="18"/>
  <c r="G158" i="18"/>
  <c r="G157" i="18"/>
  <c r="G156" i="18"/>
  <c r="G155" i="18"/>
  <c r="G154" i="18"/>
  <c r="G153" i="18"/>
  <c r="G152" i="18"/>
  <c r="G151" i="18"/>
  <c r="G150" i="18"/>
  <c r="G149" i="18"/>
  <c r="G148" i="18"/>
  <c r="G147" i="18"/>
  <c r="G146" i="18"/>
  <c r="G145" i="18"/>
  <c r="G144" i="18"/>
  <c r="G143" i="18"/>
  <c r="G142" i="18"/>
  <c r="G141" i="18"/>
  <c r="F260" i="11" l="1"/>
  <c r="G95" i="14"/>
  <c r="G61" i="14"/>
  <c r="G118" i="13"/>
  <c r="J35" i="12"/>
  <c r="J34" i="12"/>
  <c r="J33" i="12"/>
  <c r="J32" i="12"/>
  <c r="J31" i="12"/>
  <c r="J30" i="12"/>
  <c r="J29" i="12"/>
  <c r="J28" i="12"/>
  <c r="J27" i="12"/>
  <c r="J26" i="12"/>
  <c r="J25" i="12"/>
  <c r="J24" i="12"/>
  <c r="J23" i="12"/>
  <c r="J22" i="12"/>
  <c r="J21" i="12"/>
  <c r="J20" i="12"/>
  <c r="J19" i="12"/>
  <c r="J18" i="12"/>
  <c r="J17" i="12"/>
  <c r="J16" i="12"/>
  <c r="J15" i="12"/>
  <c r="J14" i="12"/>
  <c r="J13" i="12"/>
  <c r="J12" i="12"/>
  <c r="J11" i="12"/>
  <c r="J10" i="12"/>
  <c r="J9" i="12"/>
  <c r="J8" i="12"/>
  <c r="J7" i="12"/>
  <c r="J6" i="12"/>
  <c r="J5" i="12"/>
  <c r="J4" i="12"/>
  <c r="J3" i="12"/>
  <c r="J36" i="12" l="1"/>
  <c r="Q154" i="12" l="1"/>
  <c r="Q155" i="12"/>
  <c r="Q156" i="12"/>
  <c r="Q157" i="12"/>
  <c r="S157" i="12" s="1"/>
  <c r="Q158" i="12"/>
  <c r="S158" i="12" s="1"/>
  <c r="Q159" i="12"/>
  <c r="S159" i="12" s="1"/>
  <c r="Q160" i="12"/>
  <c r="S160" i="12" s="1"/>
  <c r="Q161" i="12"/>
  <c r="S161" i="12" s="1"/>
  <c r="Q162" i="12"/>
  <c r="Q163" i="12"/>
  <c r="Q164" i="12"/>
  <c r="Q153" i="12"/>
  <c r="S164" i="12"/>
  <c r="S163" i="12"/>
  <c r="S162" i="12"/>
  <c r="S156" i="12"/>
  <c r="S155" i="12"/>
  <c r="S154" i="12"/>
  <c r="S153" i="12"/>
  <c r="P164" i="12"/>
  <c r="P163" i="12"/>
  <c r="P162" i="12"/>
  <c r="P161" i="12"/>
  <c r="P160" i="12"/>
  <c r="P159" i="12"/>
  <c r="P158" i="12"/>
  <c r="P157" i="12"/>
  <c r="P156" i="12"/>
  <c r="P155" i="12"/>
  <c r="P154" i="12"/>
  <c r="P153" i="12"/>
  <c r="S165" i="12" l="1"/>
  <c r="P165" i="12"/>
  <c r="J97" i="1"/>
  <c r="J96" i="1"/>
  <c r="J23" i="5"/>
  <c r="J22" i="5"/>
  <c r="J21" i="5"/>
  <c r="J20" i="5"/>
  <c r="J19" i="5"/>
  <c r="J18" i="5"/>
  <c r="J17" i="5"/>
  <c r="J16" i="5"/>
  <c r="J15" i="5"/>
  <c r="J14" i="5"/>
  <c r="J13" i="5"/>
  <c r="J12" i="5"/>
  <c r="M59" i="8"/>
  <c r="M58" i="8"/>
  <c r="M57" i="8"/>
  <c r="M56" i="8"/>
  <c r="M55" i="8"/>
  <c r="M54" i="8"/>
  <c r="M53" i="8"/>
  <c r="M52" i="8"/>
  <c r="M51" i="8"/>
  <c r="M50" i="8"/>
  <c r="M49" i="8"/>
  <c r="M48" i="8"/>
  <c r="M47" i="8"/>
  <c r="M46" i="8"/>
  <c r="M45" i="8"/>
  <c r="M44" i="8"/>
  <c r="M43" i="8"/>
  <c r="M42" i="8"/>
  <c r="M41" i="8"/>
  <c r="M40" i="8"/>
  <c r="M39" i="8"/>
  <c r="M38" i="8"/>
  <c r="M37" i="8"/>
  <c r="M36" i="8"/>
  <c r="M35" i="8"/>
  <c r="M34" i="8"/>
  <c r="M33" i="8"/>
  <c r="M32" i="8"/>
  <c r="M31" i="8"/>
  <c r="M30" i="8"/>
  <c r="M29" i="8"/>
  <c r="M28" i="8"/>
  <c r="M60" i="8" s="1"/>
  <c r="J101" i="1"/>
  <c r="J105" i="13"/>
  <c r="J104" i="13"/>
  <c r="J103" i="13"/>
  <c r="J102" i="13"/>
  <c r="J101" i="13"/>
  <c r="J100" i="13"/>
  <c r="J99" i="13"/>
  <c r="J98" i="13"/>
  <c r="J97" i="13"/>
  <c r="J96" i="13"/>
  <c r="J95" i="13"/>
  <c r="J94" i="13"/>
  <c r="J93" i="13"/>
  <c r="J92" i="13"/>
  <c r="J91" i="13"/>
  <c r="J90" i="13"/>
  <c r="J89" i="13"/>
  <c r="J88" i="13"/>
  <c r="J87" i="13"/>
  <c r="J86" i="13"/>
  <c r="J85" i="13"/>
  <c r="J84" i="13"/>
  <c r="J83" i="13"/>
  <c r="J82" i="13"/>
  <c r="J81" i="13"/>
  <c r="J80" i="13"/>
  <c r="J79" i="13"/>
  <c r="J78" i="13"/>
  <c r="J77" i="13"/>
  <c r="J76" i="13"/>
  <c r="J75" i="13"/>
  <c r="J74" i="13"/>
  <c r="J73" i="13"/>
  <c r="J72" i="13"/>
  <c r="J71" i="13"/>
  <c r="J70" i="13"/>
  <c r="J69" i="13"/>
  <c r="J68" i="13"/>
  <c r="J67" i="13"/>
  <c r="J66" i="13"/>
  <c r="J65" i="13"/>
  <c r="J64" i="13"/>
  <c r="J63" i="13"/>
  <c r="J62" i="13"/>
  <c r="M104" i="19"/>
  <c r="M103" i="19"/>
  <c r="M102" i="19"/>
  <c r="M101" i="19"/>
  <c r="M100" i="19"/>
  <c r="M99" i="19"/>
  <c r="M98" i="19"/>
  <c r="M97" i="19"/>
  <c r="M96" i="19"/>
  <c r="M95" i="19"/>
  <c r="M94" i="19"/>
  <c r="M93" i="19"/>
  <c r="M92" i="19"/>
  <c r="M91" i="19"/>
  <c r="M90" i="19"/>
  <c r="M89" i="19"/>
  <c r="M88" i="19"/>
  <c r="M87" i="19"/>
  <c r="M86" i="19"/>
  <c r="M85" i="19"/>
  <c r="M84" i="19"/>
  <c r="M83" i="19"/>
  <c r="M82" i="19"/>
  <c r="M81" i="19"/>
  <c r="M80" i="19"/>
  <c r="M108" i="19"/>
  <c r="M107" i="19"/>
  <c r="M109" i="19" s="1"/>
  <c r="M92" i="4"/>
  <c r="M91" i="4"/>
  <c r="M90" i="4"/>
  <c r="M89" i="4"/>
  <c r="M74" i="1"/>
  <c r="J66" i="12"/>
  <c r="J65" i="12"/>
  <c r="J64" i="12"/>
  <c r="J63" i="12"/>
  <c r="J67" i="12" s="1"/>
  <c r="J104" i="12"/>
  <c r="J103" i="12"/>
  <c r="J102" i="12"/>
  <c r="J101" i="12"/>
  <c r="J100" i="12"/>
  <c r="J99" i="12"/>
  <c r="J98" i="12"/>
  <c r="J97" i="12"/>
  <c r="J96" i="12"/>
  <c r="J95" i="12"/>
  <c r="J94" i="12"/>
  <c r="J93" i="12"/>
  <c r="J92" i="12"/>
  <c r="J91" i="12"/>
  <c r="J90" i="12"/>
  <c r="J89" i="12"/>
  <c r="J88" i="12"/>
  <c r="J87" i="12"/>
  <c r="J86" i="12"/>
  <c r="J83" i="12"/>
  <c r="J80" i="12"/>
  <c r="J79" i="12"/>
  <c r="J78" i="12"/>
  <c r="J81" i="12" s="1"/>
  <c r="J74" i="12"/>
  <c r="J71" i="12"/>
  <c r="M111" i="4"/>
  <c r="M110" i="4"/>
  <c r="M109" i="4"/>
  <c r="M108" i="4"/>
  <c r="M107" i="4"/>
  <c r="J788" i="3"/>
  <c r="J787" i="3"/>
  <c r="J786" i="3"/>
  <c r="J785" i="3"/>
  <c r="J782" i="3"/>
  <c r="J781" i="3"/>
  <c r="J780" i="3"/>
  <c r="J779" i="3"/>
  <c r="J778" i="3"/>
  <c r="J777" i="3"/>
  <c r="J776" i="3"/>
  <c r="J775" i="3"/>
  <c r="J774" i="3"/>
  <c r="J773" i="3"/>
  <c r="J772" i="3"/>
  <c r="J771" i="3"/>
  <c r="J770" i="3"/>
  <c r="J769" i="3"/>
  <c r="J768" i="3"/>
  <c r="J767" i="3"/>
  <c r="J766" i="3"/>
  <c r="J765" i="3"/>
  <c r="J764" i="3"/>
  <c r="J763" i="3"/>
  <c r="J762" i="3"/>
  <c r="J761" i="3"/>
  <c r="J760" i="3"/>
  <c r="J759" i="3"/>
  <c r="J758" i="3"/>
  <c r="J757" i="3"/>
  <c r="J756" i="3"/>
  <c r="J755" i="3"/>
  <c r="J754" i="3"/>
  <c r="J753" i="3"/>
  <c r="J752" i="3"/>
  <c r="J751" i="3"/>
  <c r="J750" i="3"/>
  <c r="J749" i="3"/>
  <c r="J748" i="3"/>
  <c r="J747" i="3"/>
  <c r="J746" i="3"/>
  <c r="J745" i="3"/>
  <c r="J744" i="3"/>
  <c r="J741" i="3"/>
  <c r="J740" i="3"/>
  <c r="J742" i="3" s="1"/>
  <c r="J737" i="3"/>
  <c r="J736" i="3"/>
  <c r="J735" i="3"/>
  <c r="J734" i="3"/>
  <c r="J733" i="3"/>
  <c r="J730" i="3"/>
  <c r="M55" i="1"/>
  <c r="M54" i="1"/>
  <c r="M56" i="1" l="1"/>
  <c r="J98" i="1"/>
  <c r="J106" i="13"/>
  <c r="M105" i="19"/>
  <c r="M93" i="4"/>
  <c r="J105" i="12"/>
  <c r="M112" i="4"/>
  <c r="J783" i="3"/>
  <c r="J789" i="3"/>
  <c r="J738" i="3"/>
  <c r="M164" i="12"/>
  <c r="M163" i="12"/>
  <c r="M162" i="12"/>
  <c r="M161" i="12"/>
  <c r="M160" i="12"/>
  <c r="M159" i="12"/>
  <c r="M158" i="12"/>
  <c r="M157" i="12"/>
  <c r="M156" i="12"/>
  <c r="M155" i="12"/>
  <c r="M154" i="12"/>
  <c r="M153" i="12"/>
  <c r="M149" i="12"/>
  <c r="M148" i="12"/>
  <c r="M147" i="12"/>
  <c r="M146" i="12"/>
  <c r="M145" i="12"/>
  <c r="M144" i="12"/>
  <c r="M143" i="12"/>
  <c r="M142" i="12"/>
  <c r="M141" i="12"/>
  <c r="M165" i="12" l="1"/>
  <c r="M150" i="12"/>
  <c r="J628" i="3"/>
  <c r="J627" i="3"/>
  <c r="J626" i="3"/>
  <c r="J625" i="3"/>
  <c r="J624" i="3"/>
  <c r="J623" i="3"/>
  <c r="J622" i="3"/>
  <c r="J621" i="3"/>
  <c r="J620" i="3"/>
  <c r="J619" i="3"/>
  <c r="J618" i="3"/>
  <c r="J617" i="3"/>
  <c r="J616" i="3"/>
  <c r="J615" i="3"/>
  <c r="J614" i="3"/>
  <c r="J613" i="3"/>
  <c r="J612" i="3"/>
  <c r="J611" i="3"/>
  <c r="J610" i="3"/>
  <c r="J609" i="3"/>
  <c r="J608" i="3"/>
  <c r="J607" i="3"/>
  <c r="J606" i="3"/>
  <c r="J605" i="3"/>
  <c r="J604" i="3"/>
  <c r="J603" i="3"/>
  <c r="J602" i="3"/>
  <c r="J601" i="3"/>
  <c r="J600" i="3"/>
  <c r="J599" i="3"/>
  <c r="J598" i="3"/>
  <c r="J597" i="3"/>
  <c r="J596" i="3"/>
  <c r="J595" i="3"/>
  <c r="J594" i="3"/>
  <c r="J593" i="3"/>
  <c r="J592" i="3"/>
  <c r="J591" i="3"/>
  <c r="J590" i="3"/>
  <c r="J589" i="3"/>
  <c r="J588" i="3"/>
  <c r="J587" i="3"/>
  <c r="J586" i="3"/>
  <c r="J585" i="3"/>
  <c r="J584" i="3"/>
  <c r="J583" i="3"/>
  <c r="J582" i="3"/>
  <c r="J581" i="3"/>
  <c r="J580" i="3"/>
  <c r="J579" i="3"/>
  <c r="J578" i="3"/>
  <c r="J577" i="3"/>
  <c r="J576" i="3"/>
  <c r="J575" i="3"/>
  <c r="J574" i="3"/>
  <c r="J573" i="3"/>
  <c r="J572" i="3"/>
  <c r="J571" i="3"/>
  <c r="J570" i="3"/>
  <c r="J629" i="3" l="1"/>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86" i="3" l="1"/>
  <c r="G8" i="9" l="1"/>
  <c r="G5" i="9"/>
  <c r="K34" i="11" l="1"/>
  <c r="K35" i="11"/>
  <c r="K36" i="11"/>
  <c r="K37" i="11"/>
  <c r="K38" i="11"/>
  <c r="M38" i="11" s="1"/>
  <c r="K39" i="11"/>
  <c r="M39" i="11" s="1"/>
  <c r="K40" i="11"/>
  <c r="M40" i="11" s="1"/>
  <c r="K41" i="11"/>
  <c r="M41" i="11" s="1"/>
  <c r="K42" i="11"/>
  <c r="K43" i="11"/>
  <c r="K44" i="11"/>
  <c r="M44" i="11" s="1"/>
  <c r="K45" i="11"/>
  <c r="M45" i="11" s="1"/>
  <c r="K46" i="11"/>
  <c r="M46" i="11" s="1"/>
  <c r="K47" i="11"/>
  <c r="M47" i="11" s="1"/>
  <c r="K48" i="11"/>
  <c r="M48" i="11" s="1"/>
  <c r="K49" i="11"/>
  <c r="M49" i="11" s="1"/>
  <c r="K50" i="11"/>
  <c r="K51" i="11"/>
  <c r="K52" i="11"/>
  <c r="K53" i="11"/>
  <c r="M53" i="11" s="1"/>
  <c r="K54" i="11"/>
  <c r="M54" i="11" s="1"/>
  <c r="K55" i="11"/>
  <c r="M55" i="11" s="1"/>
  <c r="K56" i="11"/>
  <c r="M56" i="11" s="1"/>
  <c r="K57" i="11"/>
  <c r="M57" i="11" s="1"/>
  <c r="K58" i="11"/>
  <c r="K59" i="11"/>
  <c r="K60" i="11"/>
  <c r="K61" i="11"/>
  <c r="M61" i="11" s="1"/>
  <c r="K62" i="11"/>
  <c r="M62" i="11" s="1"/>
  <c r="K63" i="11"/>
  <c r="M63" i="11" s="1"/>
  <c r="K64" i="11"/>
  <c r="M64" i="11" s="1"/>
  <c r="K65" i="11"/>
  <c r="M65" i="11" s="1"/>
  <c r="K66" i="11"/>
  <c r="K67" i="11"/>
  <c r="M67" i="11" s="1"/>
  <c r="K68" i="11"/>
  <c r="M68" i="11" s="1"/>
  <c r="K69" i="11"/>
  <c r="M69" i="11" s="1"/>
  <c r="K70" i="11"/>
  <c r="M70" i="11" s="1"/>
  <c r="K71" i="11"/>
  <c r="M71" i="11" s="1"/>
  <c r="K72" i="11"/>
  <c r="M72" i="11" s="1"/>
  <c r="K33" i="11"/>
  <c r="M33" i="11" s="1"/>
  <c r="M66" i="11"/>
  <c r="M60" i="11"/>
  <c r="M59" i="11"/>
  <c r="M58" i="11"/>
  <c r="M52" i="11"/>
  <c r="M51" i="11"/>
  <c r="M50" i="11"/>
  <c r="M43" i="11"/>
  <c r="M42" i="11"/>
  <c r="M37" i="11"/>
  <c r="M36" i="11"/>
  <c r="M35" i="11"/>
  <c r="M34" i="11"/>
  <c r="M73" i="11" l="1"/>
  <c r="J164" i="12"/>
  <c r="J163" i="12"/>
  <c r="J162" i="12"/>
  <c r="J161" i="12"/>
  <c r="J160" i="12"/>
  <c r="J159" i="12"/>
  <c r="J158" i="12"/>
  <c r="J157" i="12"/>
  <c r="J156" i="12"/>
  <c r="J155" i="12"/>
  <c r="J154" i="12"/>
  <c r="J153" i="12"/>
  <c r="J149" i="12"/>
  <c r="J148" i="12"/>
  <c r="J147" i="12"/>
  <c r="J146" i="12"/>
  <c r="J145" i="12"/>
  <c r="J144" i="12"/>
  <c r="J143" i="12"/>
  <c r="J142" i="12"/>
  <c r="J141" i="12"/>
  <c r="J165" i="12" l="1"/>
  <c r="J150" i="12"/>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726" i="3"/>
  <c r="G723" i="3"/>
  <c r="G722" i="3"/>
  <c r="G721" i="3"/>
  <c r="G720" i="3"/>
  <c r="G719" i="3"/>
  <c r="G718" i="3"/>
  <c r="G715" i="3"/>
  <c r="G714" i="3"/>
  <c r="G713" i="3"/>
  <c r="G712" i="3"/>
  <c r="G788" i="3"/>
  <c r="G787" i="3"/>
  <c r="G786" i="3"/>
  <c r="G785" i="3"/>
  <c r="G164" i="4"/>
  <c r="G163" i="4"/>
  <c r="G162" i="4"/>
  <c r="G161" i="4"/>
  <c r="G160" i="4"/>
  <c r="G159" i="4"/>
  <c r="G158" i="4"/>
  <c r="G157" i="4"/>
  <c r="G156" i="4"/>
  <c r="G155" i="4"/>
  <c r="G154" i="4"/>
  <c r="G129" i="19"/>
  <c r="J129" i="19"/>
  <c r="G132" i="19"/>
  <c r="G136" i="19" s="1"/>
  <c r="J132" i="19"/>
  <c r="G133" i="19"/>
  <c r="J133" i="19"/>
  <c r="J136" i="19" s="1"/>
  <c r="G134" i="19"/>
  <c r="J134" i="19"/>
  <c r="G135" i="19"/>
  <c r="J135" i="19"/>
  <c r="J138" i="19"/>
  <c r="J141" i="19" s="1"/>
  <c r="J139" i="19"/>
  <c r="J140" i="19"/>
  <c r="G143" i="19"/>
  <c r="G146" i="19"/>
  <c r="G164" i="19" s="1"/>
  <c r="J146" i="19"/>
  <c r="G147" i="19"/>
  <c r="J147" i="19"/>
  <c r="G148" i="19"/>
  <c r="J148" i="19"/>
  <c r="G149" i="19"/>
  <c r="J149" i="19"/>
  <c r="J164" i="19" s="1"/>
  <c r="G150" i="19"/>
  <c r="J150" i="19"/>
  <c r="G151" i="19"/>
  <c r="J151" i="19"/>
  <c r="G152" i="19"/>
  <c r="J152" i="19"/>
  <c r="G153" i="19"/>
  <c r="J153" i="19"/>
  <c r="G154" i="19"/>
  <c r="J154" i="19"/>
  <c r="G155" i="19"/>
  <c r="J155" i="19"/>
  <c r="G156" i="19"/>
  <c r="J156" i="19"/>
  <c r="G157" i="19"/>
  <c r="J157" i="19"/>
  <c r="G158" i="19"/>
  <c r="J158" i="19"/>
  <c r="G159" i="19"/>
  <c r="J159" i="19"/>
  <c r="G160" i="19"/>
  <c r="J160" i="19"/>
  <c r="G161" i="19"/>
  <c r="J161" i="19"/>
  <c r="G162" i="19"/>
  <c r="J162" i="19"/>
  <c r="G163" i="19"/>
  <c r="J163" i="19"/>
  <c r="G111" i="19"/>
  <c r="G112" i="19"/>
  <c r="G113" i="19"/>
  <c r="G117" i="19"/>
  <c r="G120" i="19" s="1"/>
  <c r="G118" i="19"/>
  <c r="G119" i="19"/>
  <c r="G124" i="19"/>
  <c r="G126" i="19" s="1"/>
  <c r="G125" i="19"/>
  <c r="J108" i="19"/>
  <c r="G108" i="19"/>
  <c r="J107" i="19"/>
  <c r="J109" i="19" s="1"/>
  <c r="G107" i="19"/>
  <c r="G109" i="19" s="1"/>
  <c r="J104" i="19"/>
  <c r="G104" i="19"/>
  <c r="J103" i="19"/>
  <c r="G103" i="19"/>
  <c r="J102" i="19"/>
  <c r="G102" i="19"/>
  <c r="J101" i="19"/>
  <c r="G101" i="19"/>
  <c r="J100" i="19"/>
  <c r="G100" i="19"/>
  <c r="J99" i="19"/>
  <c r="G99" i="19"/>
  <c r="J98" i="19"/>
  <c r="G98" i="19"/>
  <c r="J97" i="19"/>
  <c r="G97" i="19"/>
  <c r="J96" i="19"/>
  <c r="G96" i="19"/>
  <c r="J95" i="19"/>
  <c r="G95" i="19"/>
  <c r="J94" i="19"/>
  <c r="G94" i="19"/>
  <c r="J93" i="19"/>
  <c r="G93" i="19"/>
  <c r="J92" i="19"/>
  <c r="G92" i="19"/>
  <c r="J91" i="19"/>
  <c r="G91" i="19"/>
  <c r="J90" i="19"/>
  <c r="G90" i="19"/>
  <c r="J89" i="19"/>
  <c r="G89" i="19"/>
  <c r="J88" i="19"/>
  <c r="G88" i="19"/>
  <c r="J87" i="19"/>
  <c r="G87" i="19"/>
  <c r="J86" i="19"/>
  <c r="G86" i="19"/>
  <c r="J85" i="19"/>
  <c r="G85" i="19"/>
  <c r="J84" i="19"/>
  <c r="G84" i="19"/>
  <c r="J83" i="19"/>
  <c r="G83" i="19"/>
  <c r="J82" i="19"/>
  <c r="G82" i="19"/>
  <c r="J81" i="19"/>
  <c r="J105" i="19" s="1"/>
  <c r="G81" i="19"/>
  <c r="G105" i="19" s="1"/>
  <c r="J80" i="19"/>
  <c r="G80" i="19"/>
  <c r="J77" i="19"/>
  <c r="G77" i="19"/>
  <c r="G74" i="19"/>
  <c r="G73" i="19"/>
  <c r="G72" i="19"/>
  <c r="G71" i="19"/>
  <c r="G70" i="19"/>
  <c r="G69" i="19"/>
  <c r="G68" i="19"/>
  <c r="G67" i="19"/>
  <c r="G66" i="19"/>
  <c r="G65" i="19"/>
  <c r="G64" i="19"/>
  <c r="G63" i="19"/>
  <c r="G62" i="19"/>
  <c r="G61" i="19"/>
  <c r="G60" i="19"/>
  <c r="G59" i="19"/>
  <c r="G58" i="19"/>
  <c r="G57" i="19"/>
  <c r="G56" i="19"/>
  <c r="G55" i="19"/>
  <c r="G54" i="19"/>
  <c r="G53" i="19"/>
  <c r="G52" i="19"/>
  <c r="G51" i="19"/>
  <c r="G50" i="19"/>
  <c r="G49" i="19"/>
  <c r="G48" i="19"/>
  <c r="G47" i="19"/>
  <c r="G46" i="19"/>
  <c r="G45" i="19"/>
  <c r="G44" i="19"/>
  <c r="G43" i="19"/>
  <c r="G42" i="19"/>
  <c r="G41" i="19"/>
  <c r="G40" i="19"/>
  <c r="G39" i="19"/>
  <c r="G38" i="19"/>
  <c r="G37" i="19"/>
  <c r="G36" i="19"/>
  <c r="G35" i="19"/>
  <c r="G34" i="19"/>
  <c r="G33" i="19"/>
  <c r="G32" i="19"/>
  <c r="G31" i="19"/>
  <c r="G30" i="19"/>
  <c r="G29" i="19"/>
  <c r="G28" i="19"/>
  <c r="G27" i="19"/>
  <c r="G26" i="19"/>
  <c r="G25" i="19"/>
  <c r="G24" i="19"/>
  <c r="G23" i="19"/>
  <c r="G22" i="19"/>
  <c r="G21" i="19"/>
  <c r="G20" i="19"/>
  <c r="G19" i="19"/>
  <c r="G18" i="19"/>
  <c r="G17" i="19"/>
  <c r="G13" i="19"/>
  <c r="G12" i="19"/>
  <c r="G11" i="19"/>
  <c r="G10" i="19"/>
  <c r="G9" i="19"/>
  <c r="G8" i="19"/>
  <c r="G7" i="19"/>
  <c r="G6" i="19"/>
  <c r="G5" i="19"/>
  <c r="G4" i="19"/>
  <c r="G3" i="19"/>
  <c r="G80" i="10"/>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117" i="5" s="1"/>
  <c r="G128" i="3"/>
  <c r="G134" i="1"/>
  <c r="G133" i="1"/>
  <c r="G132" i="1"/>
  <c r="G135" i="1" s="1"/>
  <c r="G246" i="3" l="1"/>
  <c r="G789" i="3"/>
  <c r="G724" i="3"/>
  <c r="G716" i="3"/>
  <c r="G165" i="4"/>
  <c r="G75" i="19"/>
  <c r="G14" i="19"/>
  <c r="G222" i="5"/>
  <c r="G150" i="13" l="1"/>
  <c r="G151" i="13"/>
  <c r="G152" i="13"/>
  <c r="G153" i="13"/>
  <c r="G154" i="13"/>
  <c r="G155" i="13"/>
  <c r="G156" i="13"/>
  <c r="G157" i="13"/>
  <c r="G158" i="13"/>
  <c r="G159" i="13"/>
  <c r="G160" i="13"/>
  <c r="G161" i="13"/>
  <c r="G162" i="13"/>
  <c r="G163" i="13"/>
  <c r="G169" i="13"/>
  <c r="G170" i="13"/>
  <c r="G311" i="3"/>
  <c r="G312" i="3"/>
  <c r="G313" i="3"/>
  <c r="G314" i="3"/>
  <c r="G315" i="3"/>
  <c r="G316" i="3"/>
  <c r="G317" i="3"/>
  <c r="G318" i="3"/>
  <c r="G319" i="3"/>
  <c r="G320" i="3"/>
  <c r="G321" i="3"/>
  <c r="G322" i="3"/>
  <c r="G323" i="3"/>
  <c r="G324" i="3"/>
  <c r="G325" i="3"/>
  <c r="G326" i="3"/>
  <c r="G327" i="3"/>
  <c r="G328" i="3"/>
  <c r="G329" i="3"/>
  <c r="G364" i="3"/>
  <c r="G365" i="3"/>
  <c r="G366" i="3"/>
  <c r="G367" i="3"/>
  <c r="G368" i="3"/>
  <c r="G369" i="3"/>
  <c r="G370" i="3"/>
  <c r="G371" i="3"/>
  <c r="G372" i="3"/>
  <c r="G373" i="3"/>
  <c r="G374" i="3"/>
  <c r="G375" i="3"/>
  <c r="G376" i="3"/>
  <c r="G377" i="3"/>
  <c r="G378" i="3"/>
  <c r="G380" i="3"/>
  <c r="G381" i="3"/>
  <c r="G382" i="3"/>
  <c r="G383" i="3"/>
  <c r="G384" i="3"/>
  <c r="G385" i="3"/>
  <c r="G386" i="3"/>
  <c r="G387" i="3"/>
  <c r="G388" i="3"/>
  <c r="G389" i="3"/>
  <c r="G390" i="3"/>
  <c r="G391" i="3"/>
  <c r="G392" i="3"/>
  <c r="G393" i="3"/>
  <c r="G114" i="4"/>
  <c r="G134" i="18"/>
  <c r="G135" i="18"/>
  <c r="G136" i="18"/>
  <c r="G137" i="18"/>
  <c r="G138" i="18"/>
  <c r="G139" i="18"/>
  <c r="G78" i="18"/>
  <c r="J78" i="18"/>
  <c r="M78" i="18"/>
  <c r="G79" i="18"/>
  <c r="J79" i="18"/>
  <c r="J129" i="18" s="1"/>
  <c r="M79" i="18"/>
  <c r="G80" i="18"/>
  <c r="J80" i="18"/>
  <c r="M80" i="18"/>
  <c r="G81" i="18"/>
  <c r="J81" i="18"/>
  <c r="M81" i="18"/>
  <c r="G82" i="18"/>
  <c r="J82" i="18"/>
  <c r="M82" i="18"/>
  <c r="G83" i="18"/>
  <c r="J83" i="18"/>
  <c r="M83" i="18"/>
  <c r="G84" i="18"/>
  <c r="J84" i="18"/>
  <c r="M84" i="18"/>
  <c r="M129" i="18" s="1"/>
  <c r="G85" i="18"/>
  <c r="J85" i="18"/>
  <c r="M85" i="18"/>
  <c r="G86" i="18"/>
  <c r="J86" i="18"/>
  <c r="M86" i="18"/>
  <c r="G87" i="18"/>
  <c r="J87" i="18"/>
  <c r="M87" i="18"/>
  <c r="G88" i="18"/>
  <c r="J88" i="18"/>
  <c r="M88" i="18"/>
  <c r="G89" i="18"/>
  <c r="J89" i="18"/>
  <c r="M89" i="18"/>
  <c r="G90" i="18"/>
  <c r="J90" i="18"/>
  <c r="M90" i="18"/>
  <c r="G91" i="18"/>
  <c r="J91" i="18"/>
  <c r="M91" i="18"/>
  <c r="G92" i="18"/>
  <c r="J92" i="18"/>
  <c r="M92" i="18"/>
  <c r="G93" i="18"/>
  <c r="J93" i="18"/>
  <c r="M93" i="18"/>
  <c r="G94" i="18"/>
  <c r="J94" i="18"/>
  <c r="M94" i="18"/>
  <c r="G95" i="18"/>
  <c r="J95" i="18"/>
  <c r="M95" i="18"/>
  <c r="G96" i="18"/>
  <c r="J96" i="18"/>
  <c r="M96" i="18"/>
  <c r="G97" i="18"/>
  <c r="J97" i="18"/>
  <c r="M97" i="18"/>
  <c r="G98" i="18"/>
  <c r="J98" i="18"/>
  <c r="M98" i="18"/>
  <c r="G99" i="18"/>
  <c r="J99" i="18"/>
  <c r="M99" i="18"/>
  <c r="G100" i="18"/>
  <c r="J100" i="18"/>
  <c r="M100" i="18"/>
  <c r="G101" i="18"/>
  <c r="J101" i="18"/>
  <c r="M101" i="18"/>
  <c r="G102" i="18"/>
  <c r="J102" i="18"/>
  <c r="M102" i="18"/>
  <c r="G103" i="18"/>
  <c r="J103" i="18"/>
  <c r="M103" i="18"/>
  <c r="G104" i="18"/>
  <c r="J104" i="18"/>
  <c r="M104" i="18"/>
  <c r="G105" i="18"/>
  <c r="J105" i="18"/>
  <c r="M105" i="18"/>
  <c r="G106" i="18"/>
  <c r="J106" i="18"/>
  <c r="M106" i="18"/>
  <c r="G107" i="18"/>
  <c r="J107" i="18"/>
  <c r="M107" i="18"/>
  <c r="G108" i="18"/>
  <c r="J108" i="18"/>
  <c r="M108" i="18"/>
  <c r="G109" i="18"/>
  <c r="J109" i="18"/>
  <c r="M109" i="18"/>
  <c r="G110" i="18"/>
  <c r="J110" i="18"/>
  <c r="M110" i="18"/>
  <c r="G111" i="18"/>
  <c r="J111" i="18"/>
  <c r="M111" i="18"/>
  <c r="G112" i="18"/>
  <c r="J112" i="18"/>
  <c r="M112" i="18"/>
  <c r="G113" i="18"/>
  <c r="J113" i="18"/>
  <c r="M113" i="18"/>
  <c r="G114" i="18"/>
  <c r="J114" i="18"/>
  <c r="M114" i="18"/>
  <c r="G115" i="18"/>
  <c r="J115" i="18"/>
  <c r="M115" i="18"/>
  <c r="G116" i="18"/>
  <c r="J116" i="18"/>
  <c r="M116" i="18"/>
  <c r="G117" i="18"/>
  <c r="J117" i="18"/>
  <c r="M117" i="18"/>
  <c r="G118" i="18"/>
  <c r="J118" i="18"/>
  <c r="M118" i="18"/>
  <c r="G119" i="18"/>
  <c r="J119" i="18"/>
  <c r="M119" i="18"/>
  <c r="G120" i="18"/>
  <c r="J120" i="18"/>
  <c r="M120" i="18"/>
  <c r="G121" i="18"/>
  <c r="J121" i="18"/>
  <c r="M121" i="18"/>
  <c r="G122" i="18"/>
  <c r="J122" i="18"/>
  <c r="M122" i="18"/>
  <c r="G123" i="18"/>
  <c r="J123" i="18"/>
  <c r="M123" i="18"/>
  <c r="G124" i="18"/>
  <c r="J124" i="18"/>
  <c r="M124" i="18"/>
  <c r="G125" i="18"/>
  <c r="J125" i="18"/>
  <c r="M125" i="18"/>
  <c r="G126" i="18"/>
  <c r="J126" i="18"/>
  <c r="M126" i="18"/>
  <c r="G127" i="18"/>
  <c r="J127" i="18"/>
  <c r="M127" i="18"/>
  <c r="G128" i="18"/>
  <c r="J128" i="18"/>
  <c r="M128" i="18"/>
  <c r="G131" i="18"/>
  <c r="J75" i="18"/>
  <c r="G75" i="18"/>
  <c r="J74" i="18"/>
  <c r="G74" i="18"/>
  <c r="J73" i="18"/>
  <c r="G73" i="18"/>
  <c r="J72" i="18"/>
  <c r="G72" i="18"/>
  <c r="J71" i="18"/>
  <c r="G71" i="18"/>
  <c r="J70" i="18"/>
  <c r="G70" i="18"/>
  <c r="J69" i="18"/>
  <c r="G69" i="18"/>
  <c r="J68" i="18"/>
  <c r="G68" i="18"/>
  <c r="J67" i="18"/>
  <c r="G67" i="18"/>
  <c r="J66" i="18"/>
  <c r="G66" i="18"/>
  <c r="J65" i="18"/>
  <c r="G65" i="18"/>
  <c r="J64" i="18"/>
  <c r="G64" i="18"/>
  <c r="J63" i="18"/>
  <c r="G63" i="18"/>
  <c r="J62" i="18"/>
  <c r="G62" i="18"/>
  <c r="J61" i="18"/>
  <c r="G61" i="18"/>
  <c r="J60" i="18"/>
  <c r="G60" i="18"/>
  <c r="J59" i="18"/>
  <c r="G59" i="18"/>
  <c r="J58" i="18"/>
  <c r="G58" i="18"/>
  <c r="J55" i="18"/>
  <c r="G55" i="18"/>
  <c r="J54" i="18"/>
  <c r="G54" i="18"/>
  <c r="J53" i="18"/>
  <c r="G53" i="18"/>
  <c r="J52" i="18"/>
  <c r="G52" i="18"/>
  <c r="J51" i="18"/>
  <c r="G51" i="18"/>
  <c r="J50" i="18"/>
  <c r="G50" i="18"/>
  <c r="J49" i="18"/>
  <c r="G49" i="18"/>
  <c r="J48" i="18"/>
  <c r="G48" i="18"/>
  <c r="J47" i="18"/>
  <c r="G47" i="18"/>
  <c r="J46" i="18"/>
  <c r="G46" i="18"/>
  <c r="J45" i="18"/>
  <c r="G45" i="18"/>
  <c r="J44" i="18"/>
  <c r="G44" i="18"/>
  <c r="J43" i="18"/>
  <c r="G43" i="18"/>
  <c r="J42" i="18"/>
  <c r="G42" i="18"/>
  <c r="J41" i="18"/>
  <c r="G41" i="18"/>
  <c r="J40" i="18"/>
  <c r="G40" i="18"/>
  <c r="J39" i="18"/>
  <c r="G39" i="18"/>
  <c r="J38" i="18"/>
  <c r="G38" i="18"/>
  <c r="J37" i="18"/>
  <c r="G37" i="18"/>
  <c r="J33" i="18"/>
  <c r="G33" i="18"/>
  <c r="J32" i="18"/>
  <c r="G32" i="18"/>
  <c r="J31" i="18"/>
  <c r="G31" i="18"/>
  <c r="J30" i="18"/>
  <c r="G30" i="18"/>
  <c r="J29" i="18"/>
  <c r="G29" i="18"/>
  <c r="J28" i="18"/>
  <c r="G28" i="18"/>
  <c r="J27" i="18"/>
  <c r="G27" i="18"/>
  <c r="J26" i="18"/>
  <c r="G26" i="18"/>
  <c r="J25" i="18"/>
  <c r="G25" i="18"/>
  <c r="J24" i="18"/>
  <c r="G24" i="18"/>
  <c r="J23" i="18"/>
  <c r="G23" i="18"/>
  <c r="J22" i="18"/>
  <c r="G22" i="18"/>
  <c r="J21" i="18"/>
  <c r="G21" i="18"/>
  <c r="J20" i="18"/>
  <c r="G20" i="18"/>
  <c r="J19" i="18"/>
  <c r="G19" i="18"/>
  <c r="J18" i="18"/>
  <c r="G18" i="18"/>
  <c r="J17" i="18"/>
  <c r="J34" i="18" s="1"/>
  <c r="G17" i="18"/>
  <c r="J14" i="18"/>
  <c r="G14" i="18"/>
  <c r="J13" i="18"/>
  <c r="G13" i="18"/>
  <c r="J12" i="18"/>
  <c r="G12" i="18"/>
  <c r="J11" i="18"/>
  <c r="G11" i="18"/>
  <c r="J10" i="18"/>
  <c r="G10" i="18"/>
  <c r="J9" i="18"/>
  <c r="G9" i="18"/>
  <c r="J8" i="18"/>
  <c r="G8" i="18"/>
  <c r="G6" i="18"/>
  <c r="J5" i="18"/>
  <c r="G5" i="18"/>
  <c r="J4" i="18"/>
  <c r="G4" i="18"/>
  <c r="J3" i="18"/>
  <c r="G3" i="18"/>
  <c r="J2" i="18"/>
  <c r="G2" i="18"/>
  <c r="G129" i="1"/>
  <c r="J117" i="1"/>
  <c r="J116" i="1"/>
  <c r="G116" i="1"/>
  <c r="G117" i="1"/>
  <c r="G118" i="1"/>
  <c r="G126" i="1"/>
  <c r="G113" i="1"/>
  <c r="G185" i="3"/>
  <c r="G184" i="3"/>
  <c r="G183" i="3"/>
  <c r="G182" i="3"/>
  <c r="G181" i="3"/>
  <c r="G180" i="3"/>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64" i="13" l="1"/>
  <c r="G171" i="13"/>
  <c r="G129" i="18"/>
  <c r="G330" i="3"/>
  <c r="G394" i="3"/>
  <c r="J6" i="18"/>
  <c r="G15" i="18"/>
  <c r="J15" i="18"/>
  <c r="J76" i="18"/>
  <c r="J56" i="18"/>
  <c r="G56" i="18"/>
  <c r="G34" i="18"/>
  <c r="G76" i="18"/>
  <c r="G186" i="3"/>
  <c r="J118" i="1"/>
  <c r="J151" i="4"/>
  <c r="J150" i="4"/>
  <c r="J149" i="4"/>
  <c r="J148" i="4"/>
  <c r="J152" i="4" l="1"/>
  <c r="J65" i="4"/>
  <c r="J64" i="4"/>
  <c r="J63" i="4"/>
  <c r="J62" i="4"/>
  <c r="J61" i="4"/>
  <c r="J60" i="4"/>
  <c r="J59" i="4"/>
  <c r="J58" i="4"/>
  <c r="J57" i="4"/>
  <c r="G58" i="4"/>
  <c r="G59" i="4"/>
  <c r="G60" i="4"/>
  <c r="G61" i="4"/>
  <c r="G62" i="4"/>
  <c r="G63" i="4"/>
  <c r="G64" i="4"/>
  <c r="G65" i="4"/>
  <c r="G57" i="4"/>
  <c r="G66" i="4" l="1"/>
  <c r="J66" i="4"/>
  <c r="J68" i="4"/>
  <c r="J72" i="4"/>
  <c r="J71" i="4"/>
  <c r="J73" i="4" s="1"/>
  <c r="J122" i="1" l="1"/>
  <c r="J121" i="1"/>
  <c r="J123" i="1" s="1"/>
  <c r="G122" i="1" l="1"/>
  <c r="G121" i="1"/>
  <c r="G123" i="1" l="1"/>
  <c r="J44" i="9"/>
  <c r="J43" i="9"/>
  <c r="J42" i="9"/>
  <c r="J41" i="9"/>
  <c r="J40" i="9"/>
  <c r="J39" i="9"/>
  <c r="J38" i="9"/>
  <c r="J37" i="9"/>
  <c r="J36" i="9"/>
  <c r="J35" i="9"/>
  <c r="J34" i="9"/>
  <c r="J30" i="9"/>
  <c r="K25" i="1"/>
  <c r="M26" i="1"/>
  <c r="M24" i="1"/>
  <c r="M23" i="1"/>
  <c r="M25" i="1" l="1"/>
  <c r="N25" i="1"/>
  <c r="P25" i="1" s="1"/>
  <c r="P27" i="1" s="1"/>
  <c r="J45" i="9"/>
  <c r="M27" i="1"/>
  <c r="M566" i="3"/>
  <c r="M565" i="3"/>
  <c r="M564" i="3"/>
  <c r="M563" i="3"/>
  <c r="M562" i="3"/>
  <c r="M561" i="3"/>
  <c r="M560" i="3"/>
  <c r="M559" i="3"/>
  <c r="M558" i="3"/>
  <c r="M557" i="3"/>
  <c r="Q25" i="1" l="1"/>
  <c r="S25" i="1" s="1"/>
  <c r="S27" i="1" s="1"/>
  <c r="M567" i="3"/>
  <c r="M53" i="4"/>
  <c r="M52" i="4"/>
  <c r="M51" i="4"/>
  <c r="M50" i="4"/>
  <c r="J138" i="10"/>
  <c r="J137" i="10"/>
  <c r="J136" i="10"/>
  <c r="J135" i="10"/>
  <c r="J134" i="10"/>
  <c r="J133" i="10"/>
  <c r="J132" i="10"/>
  <c r="J131" i="10"/>
  <c r="J130" i="10"/>
  <c r="J129" i="10"/>
  <c r="J128" i="10"/>
  <c r="J127" i="10"/>
  <c r="J126" i="10"/>
  <c r="J125" i="10"/>
  <c r="J124" i="10"/>
  <c r="J123" i="10"/>
  <c r="J122" i="10"/>
  <c r="J121" i="10"/>
  <c r="J120" i="10"/>
  <c r="J119" i="10"/>
  <c r="J118" i="10"/>
  <c r="J117" i="10"/>
  <c r="J116" i="10"/>
  <c r="J115" i="10"/>
  <c r="J114" i="10"/>
  <c r="J113" i="10"/>
  <c r="J112" i="10"/>
  <c r="J111" i="10"/>
  <c r="J110" i="10"/>
  <c r="J109" i="10"/>
  <c r="J108" i="10"/>
  <c r="J107" i="10"/>
  <c r="J106" i="10"/>
  <c r="J105" i="10"/>
  <c r="J104" i="10"/>
  <c r="J103" i="10"/>
  <c r="J102" i="10"/>
  <c r="J101" i="10"/>
  <c r="J100" i="10"/>
  <c r="J99" i="10"/>
  <c r="J98" i="10"/>
  <c r="J97" i="10"/>
  <c r="J96" i="10"/>
  <c r="J95" i="10"/>
  <c r="J94" i="10"/>
  <c r="J93" i="10"/>
  <c r="J92" i="10"/>
  <c r="J91" i="10"/>
  <c r="J90" i="10"/>
  <c r="J89" i="10"/>
  <c r="J88" i="10"/>
  <c r="J87" i="10"/>
  <c r="J86" i="10"/>
  <c r="J85" i="10"/>
  <c r="J84" i="10"/>
  <c r="M54" i="4" l="1"/>
  <c r="J139" i="10"/>
  <c r="G84" i="10"/>
  <c r="G139" i="10" s="1"/>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J11" i="8" l="1"/>
  <c r="J10" i="8"/>
  <c r="J9" i="8"/>
  <c r="J8" i="8"/>
  <c r="J7" i="8"/>
  <c r="J6" i="8"/>
  <c r="J12" i="8" s="1"/>
  <c r="J41" i="14" l="1"/>
  <c r="J40" i="14"/>
  <c r="J55" i="14"/>
  <c r="J54" i="14"/>
  <c r="J53" i="14"/>
  <c r="J52" i="14"/>
  <c r="J51" i="14"/>
  <c r="J50" i="14"/>
  <c r="J49" i="14"/>
  <c r="J48" i="14"/>
  <c r="J47" i="14"/>
  <c r="J46" i="14"/>
  <c r="J45" i="14"/>
  <c r="J35" i="14"/>
  <c r="J31" i="14"/>
  <c r="J30" i="14"/>
  <c r="J32" i="14" s="1"/>
  <c r="J26" i="14"/>
  <c r="J25" i="14"/>
  <c r="J24" i="14"/>
  <c r="J23" i="14"/>
  <c r="J22" i="14"/>
  <c r="J21" i="14"/>
  <c r="J20" i="14"/>
  <c r="J19" i="14"/>
  <c r="J18" i="14"/>
  <c r="J17" i="14"/>
  <c r="J16" i="14"/>
  <c r="J15" i="14"/>
  <c r="J14" i="14"/>
  <c r="J13" i="14"/>
  <c r="J12" i="14"/>
  <c r="J11" i="14"/>
  <c r="J10" i="14"/>
  <c r="J9" i="14"/>
  <c r="J8" i="14"/>
  <c r="J7" i="14"/>
  <c r="J6" i="14"/>
  <c r="J5" i="14"/>
  <c r="J4" i="14"/>
  <c r="P35" i="1"/>
  <c r="P34" i="1"/>
  <c r="P33" i="1"/>
  <c r="P32" i="1"/>
  <c r="J42" i="14" l="1"/>
  <c r="J56" i="14"/>
  <c r="J27" i="14"/>
  <c r="P36" i="1"/>
  <c r="J52" i="12"/>
  <c r="J51" i="12"/>
  <c r="J50" i="12"/>
  <c r="J49" i="12"/>
  <c r="J48" i="12"/>
  <c r="J47" i="12"/>
  <c r="J46" i="12"/>
  <c r="J53" i="12" s="1"/>
  <c r="J42" i="12"/>
  <c r="J41" i="12"/>
  <c r="J43" i="12" l="1"/>
  <c r="G112" i="13"/>
  <c r="G113" i="13"/>
  <c r="G74" i="12"/>
  <c r="J55" i="12"/>
  <c r="G55" i="12"/>
  <c r="J129" i="12"/>
  <c r="G129" i="12"/>
  <c r="J128" i="12"/>
  <c r="G128" i="12"/>
  <c r="J127" i="12"/>
  <c r="G127" i="12"/>
  <c r="J126" i="12"/>
  <c r="G126" i="12"/>
  <c r="J125" i="12"/>
  <c r="G125" i="12"/>
  <c r="J124" i="12"/>
  <c r="G124" i="12"/>
  <c r="J123" i="12"/>
  <c r="G123" i="12"/>
  <c r="J122" i="12"/>
  <c r="G122" i="12"/>
  <c r="J121" i="12"/>
  <c r="G121" i="12"/>
  <c r="J120" i="12"/>
  <c r="G120" i="12"/>
  <c r="J119" i="12"/>
  <c r="G119" i="12"/>
  <c r="J118" i="12"/>
  <c r="G118" i="12"/>
  <c r="J117" i="12"/>
  <c r="G117" i="12"/>
  <c r="J116" i="12"/>
  <c r="G116" i="12"/>
  <c r="J115" i="12"/>
  <c r="G115" i="12"/>
  <c r="J114" i="12"/>
  <c r="G114" i="12"/>
  <c r="J113" i="12"/>
  <c r="G113" i="12"/>
  <c r="J112" i="12"/>
  <c r="G112" i="12"/>
  <c r="J111" i="12"/>
  <c r="G111" i="12"/>
  <c r="G141" i="12"/>
  <c r="G142" i="12"/>
  <c r="G114" i="13" l="1"/>
  <c r="G130" i="12"/>
  <c r="J130" i="12"/>
  <c r="J709" i="3"/>
  <c r="J708" i="3"/>
  <c r="J707" i="3"/>
  <c r="J706" i="3"/>
  <c r="J705" i="3"/>
  <c r="J704" i="3"/>
  <c r="J703" i="3"/>
  <c r="J702" i="3"/>
  <c r="J701" i="3"/>
  <c r="J700" i="3"/>
  <c r="J699" i="3"/>
  <c r="J698" i="3"/>
  <c r="J697" i="3"/>
  <c r="J696" i="3"/>
  <c r="J695" i="3"/>
  <c r="J694" i="3"/>
  <c r="J693" i="3"/>
  <c r="J692" i="3"/>
  <c r="J691" i="3"/>
  <c r="J690" i="3"/>
  <c r="J689" i="3"/>
  <c r="J688" i="3"/>
  <c r="J687" i="3"/>
  <c r="J686" i="3"/>
  <c r="J685" i="3"/>
  <c r="J684" i="3"/>
  <c r="J683" i="3"/>
  <c r="J682" i="3"/>
  <c r="J681" i="3"/>
  <c r="J680" i="3"/>
  <c r="J679" i="3"/>
  <c r="J678" i="3"/>
  <c r="J677" i="3"/>
  <c r="J676" i="3"/>
  <c r="J675" i="3"/>
  <c r="J674" i="3"/>
  <c r="J673" i="3"/>
  <c r="J672" i="3"/>
  <c r="J710" i="3" l="1"/>
  <c r="G82" i="5" l="1"/>
  <c r="G83" i="5"/>
  <c r="G84" i="5"/>
  <c r="G271" i="3"/>
  <c r="J271" i="3"/>
  <c r="G272" i="3"/>
  <c r="J272" i="3"/>
  <c r="G273" i="3"/>
  <c r="J273" i="3"/>
  <c r="G274" i="3"/>
  <c r="J274" i="3"/>
  <c r="G275" i="3"/>
  <c r="J275" i="3"/>
  <c r="G276" i="3"/>
  <c r="J276" i="3"/>
  <c r="G277" i="3"/>
  <c r="J277" i="3"/>
  <c r="G278" i="3"/>
  <c r="J278" i="3"/>
  <c r="G279" i="3"/>
  <c r="J279" i="3"/>
  <c r="G280" i="3"/>
  <c r="J280" i="3"/>
  <c r="G281" i="3"/>
  <c r="J281" i="3"/>
  <c r="G282" i="3"/>
  <c r="J282" i="3"/>
  <c r="G283" i="3"/>
  <c r="J283" i="3"/>
  <c r="G284" i="3"/>
  <c r="J284" i="3"/>
  <c r="G285" i="3"/>
  <c r="J285" i="3"/>
  <c r="G286" i="3"/>
  <c r="J286" i="3"/>
  <c r="G287" i="3"/>
  <c r="J287" i="3"/>
  <c r="G288" i="3"/>
  <c r="J288" i="3"/>
  <c r="G289" i="3"/>
  <c r="J289" i="3"/>
  <c r="G290" i="3"/>
  <c r="J290" i="3"/>
  <c r="G291" i="3"/>
  <c r="J291" i="3"/>
  <c r="G292" i="3"/>
  <c r="J292" i="3"/>
  <c r="G293" i="3"/>
  <c r="J293" i="3"/>
  <c r="G294" i="3"/>
  <c r="J294" i="3"/>
  <c r="G295" i="3"/>
  <c r="J295" i="3"/>
  <c r="G296" i="3"/>
  <c r="J296" i="3"/>
  <c r="G297" i="3"/>
  <c r="J297" i="3"/>
  <c r="G298" i="3"/>
  <c r="J298" i="3"/>
  <c r="G299" i="3"/>
  <c r="J299" i="3"/>
  <c r="G300" i="3"/>
  <c r="J300" i="3"/>
  <c r="G301" i="3"/>
  <c r="J301" i="3"/>
  <c r="G302" i="3"/>
  <c r="J302" i="3"/>
  <c r="G303" i="3"/>
  <c r="J303" i="3"/>
  <c r="G304" i="3"/>
  <c r="J304" i="3"/>
  <c r="G305" i="3"/>
  <c r="J305" i="3"/>
  <c r="G306" i="3"/>
  <c r="J306" i="3"/>
  <c r="G307" i="3"/>
  <c r="J307" i="3"/>
  <c r="G308" i="3"/>
  <c r="J308" i="3"/>
  <c r="G309" i="3" l="1"/>
  <c r="J309" i="3"/>
  <c r="G174" i="13"/>
  <c r="G175" i="13"/>
  <c r="G173" i="13"/>
  <c r="J185" i="13"/>
  <c r="G185" i="13"/>
  <c r="J184" i="13"/>
  <c r="G184" i="13"/>
  <c r="J183" i="13"/>
  <c r="G183" i="13"/>
  <c r="J182" i="13"/>
  <c r="G182" i="13"/>
  <c r="J181" i="13"/>
  <c r="G181" i="13"/>
  <c r="J180" i="13"/>
  <c r="G180" i="13"/>
  <c r="J179" i="13"/>
  <c r="G179" i="13"/>
  <c r="J178" i="13"/>
  <c r="G178" i="13"/>
  <c r="J175" i="13"/>
  <c r="J174" i="13"/>
  <c r="J173" i="13"/>
  <c r="J176" i="13" s="1"/>
  <c r="G110" i="1"/>
  <c r="J186" i="13" l="1"/>
  <c r="G186" i="13"/>
  <c r="G176" i="13"/>
  <c r="M71" i="1" l="1"/>
  <c r="J133" i="4"/>
  <c r="J132" i="4"/>
  <c r="J131" i="4"/>
  <c r="J130" i="4"/>
  <c r="J129" i="4"/>
  <c r="J128" i="4"/>
  <c r="J127" i="4"/>
  <c r="J126" i="4"/>
  <c r="J125" i="4"/>
  <c r="J124" i="4"/>
  <c r="J123" i="4"/>
  <c r="J122" i="4"/>
  <c r="J121" i="4"/>
  <c r="J120" i="4"/>
  <c r="J119" i="4"/>
  <c r="J111" i="4"/>
  <c r="J110" i="4"/>
  <c r="J109" i="4"/>
  <c r="J108" i="4"/>
  <c r="J107" i="4"/>
  <c r="J134" i="4" l="1"/>
  <c r="J112" i="4"/>
  <c r="J130" i="5"/>
  <c r="J129" i="5"/>
  <c r="J128" i="5"/>
  <c r="J127" i="5"/>
  <c r="J126" i="5"/>
  <c r="J125" i="5"/>
  <c r="J124" i="5"/>
  <c r="J123" i="5"/>
  <c r="J122" i="5"/>
  <c r="J121" i="5"/>
  <c r="J120" i="5"/>
  <c r="J119" i="5"/>
  <c r="J183" i="5"/>
  <c r="J182" i="5"/>
  <c r="J181" i="5"/>
  <c r="J180" i="5"/>
  <c r="J179" i="5"/>
  <c r="J178" i="5"/>
  <c r="J177" i="5"/>
  <c r="J176" i="5"/>
  <c r="J175" i="5"/>
  <c r="J174" i="5"/>
  <c r="J173" i="5"/>
  <c r="J172" i="5"/>
  <c r="J171" i="5"/>
  <c r="J170" i="5"/>
  <c r="J169" i="5"/>
  <c r="J168" i="5"/>
  <c r="J167" i="5"/>
  <c r="J166" i="5"/>
  <c r="J165" i="5"/>
  <c r="J164" i="5"/>
  <c r="J163" i="5"/>
  <c r="J162" i="5"/>
  <c r="J161" i="5"/>
  <c r="J160" i="5"/>
  <c r="J159" i="5"/>
  <c r="J158" i="5"/>
  <c r="J157" i="5"/>
  <c r="J156" i="5"/>
  <c r="J155" i="5"/>
  <c r="J154" i="5"/>
  <c r="J153" i="5"/>
  <c r="J152" i="5"/>
  <c r="J151" i="5"/>
  <c r="J150" i="5"/>
  <c r="J149" i="5"/>
  <c r="J148" i="5"/>
  <c r="J147" i="5"/>
  <c r="J146" i="5"/>
  <c r="J131" i="5" l="1"/>
  <c r="J184" i="5"/>
  <c r="G780" i="3"/>
  <c r="G779" i="3"/>
  <c r="G776" i="3"/>
  <c r="G775" i="3"/>
  <c r="G765" i="3"/>
  <c r="G747" i="3"/>
  <c r="G745" i="3"/>
  <c r="G746" i="3"/>
  <c r="G748" i="3"/>
  <c r="G749" i="3"/>
  <c r="G750" i="3"/>
  <c r="G751" i="3"/>
  <c r="G752" i="3"/>
  <c r="G753" i="3"/>
  <c r="G754" i="3"/>
  <c r="G755" i="3"/>
  <c r="G756" i="3"/>
  <c r="G757" i="3"/>
  <c r="G758" i="3"/>
  <c r="G759" i="3"/>
  <c r="G760" i="3"/>
  <c r="G761" i="3"/>
  <c r="G762" i="3"/>
  <c r="G763" i="3"/>
  <c r="G764" i="3"/>
  <c r="G766" i="3"/>
  <c r="G767" i="3"/>
  <c r="G768" i="3"/>
  <c r="G769" i="3"/>
  <c r="G770" i="3"/>
  <c r="G771" i="3"/>
  <c r="G772" i="3"/>
  <c r="G773" i="3"/>
  <c r="G774" i="3"/>
  <c r="G777" i="3"/>
  <c r="G778" i="3"/>
  <c r="G781" i="3"/>
  <c r="G782" i="3"/>
  <c r="G105" i="1" l="1"/>
  <c r="G106" i="1"/>
  <c r="G107" i="1"/>
  <c r="G104" i="1"/>
  <c r="G108" i="1" s="1"/>
  <c r="G81" i="11" l="1"/>
  <c r="G80"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3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 i="11"/>
  <c r="G73" i="11" l="1"/>
  <c r="G82" i="11"/>
  <c r="J73" i="11"/>
  <c r="J30" i="11"/>
  <c r="J101" i="4"/>
  <c r="J100" i="4"/>
  <c r="J99" i="4"/>
  <c r="J98" i="4"/>
  <c r="J97" i="4"/>
  <c r="J86" i="4"/>
  <c r="J85" i="4"/>
  <c r="J84" i="4"/>
  <c r="J83" i="4"/>
  <c r="J82" i="4"/>
  <c r="J81" i="4"/>
  <c r="J80" i="4"/>
  <c r="J79" i="4"/>
  <c r="J78" i="4"/>
  <c r="J92" i="4"/>
  <c r="J91" i="4"/>
  <c r="J90" i="4"/>
  <c r="J89" i="4"/>
  <c r="J86" i="1"/>
  <c r="J89" i="1"/>
  <c r="P19" i="4"/>
  <c r="P18" i="4"/>
  <c r="P17" i="4"/>
  <c r="P16" i="4"/>
  <c r="P15" i="4"/>
  <c r="M77" i="1"/>
  <c r="J22" i="2"/>
  <c r="J21" i="2"/>
  <c r="J20" i="2"/>
  <c r="J19" i="2"/>
  <c r="J18" i="2"/>
  <c r="J17" i="2"/>
  <c r="J16" i="2"/>
  <c r="J15" i="2"/>
  <c r="J14" i="2"/>
  <c r="J13" i="2"/>
  <c r="J12" i="2"/>
  <c r="J11" i="2"/>
  <c r="J10" i="2"/>
  <c r="J9" i="2"/>
  <c r="J8" i="2"/>
  <c r="J7" i="2"/>
  <c r="J6" i="2"/>
  <c r="J5" i="2"/>
  <c r="J4" i="2"/>
  <c r="M19" i="1"/>
  <c r="J23" i="2" l="1"/>
  <c r="J102" i="4"/>
  <c r="J93" i="4"/>
  <c r="J87" i="4"/>
  <c r="P20" i="4"/>
  <c r="G47" i="12"/>
  <c r="G48" i="12"/>
  <c r="G49" i="12"/>
  <c r="G50" i="12"/>
  <c r="G51" i="12"/>
  <c r="G52" i="12"/>
  <c r="G46" i="12"/>
  <c r="G42" i="12"/>
  <c r="G41" i="12"/>
  <c r="G31" i="14"/>
  <c r="G30" i="14"/>
  <c r="G32" i="14" s="1"/>
  <c r="G72" i="4"/>
  <c r="G71" i="4"/>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41" i="10"/>
  <c r="G134" i="5"/>
  <c r="G135" i="5"/>
  <c r="G136" i="5"/>
  <c r="G137" i="5"/>
  <c r="G138" i="5"/>
  <c r="G139" i="5"/>
  <c r="G140" i="5"/>
  <c r="G141" i="5"/>
  <c r="G142" i="5"/>
  <c r="G133" i="5"/>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31" i="3"/>
  <c r="G93" i="1"/>
  <c r="G140" i="13"/>
  <c r="G137" i="4"/>
  <c r="G138" i="4"/>
  <c r="G139" i="4"/>
  <c r="G140" i="4"/>
  <c r="G141" i="4"/>
  <c r="G142" i="4"/>
  <c r="G143" i="4"/>
  <c r="G144" i="4"/>
  <c r="G145" i="4"/>
  <c r="G136" i="4"/>
  <c r="G101" i="1"/>
  <c r="G64" i="12"/>
  <c r="G65" i="12"/>
  <c r="G66" i="12"/>
  <c r="G63" i="12"/>
  <c r="G46" i="14"/>
  <c r="G47" i="14"/>
  <c r="G48" i="14"/>
  <c r="G49" i="14"/>
  <c r="G50" i="14"/>
  <c r="G51" i="14"/>
  <c r="G52" i="14"/>
  <c r="G53" i="14"/>
  <c r="G54" i="14"/>
  <c r="G55" i="14"/>
  <c r="G45" i="14"/>
  <c r="G154" i="12"/>
  <c r="G155" i="12"/>
  <c r="G156" i="12"/>
  <c r="G157" i="12"/>
  <c r="G158" i="12"/>
  <c r="G159" i="12"/>
  <c r="G160" i="12"/>
  <c r="G161" i="12"/>
  <c r="G162" i="12"/>
  <c r="G163" i="12"/>
  <c r="G164" i="12"/>
  <c r="G153" i="12"/>
  <c r="G137" i="13"/>
  <c r="G138" i="13"/>
  <c r="G139" i="13"/>
  <c r="G141" i="13"/>
  <c r="G142" i="13"/>
  <c r="G143" i="13"/>
  <c r="G144" i="13"/>
  <c r="G145" i="13"/>
  <c r="G146" i="13"/>
  <c r="G147" i="13"/>
  <c r="G136"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62" i="13"/>
  <c r="G143" i="12"/>
  <c r="G144" i="12"/>
  <c r="G145" i="12"/>
  <c r="G146" i="12"/>
  <c r="G147" i="12"/>
  <c r="G148" i="12"/>
  <c r="G149" i="12"/>
  <c r="G149" i="4"/>
  <c r="G150" i="4"/>
  <c r="G151" i="4"/>
  <c r="G148" i="4"/>
  <c r="G35" i="14"/>
  <c r="G517" i="3"/>
  <c r="G518" i="3"/>
  <c r="G519" i="3"/>
  <c r="G520" i="3"/>
  <c r="G521" i="3"/>
  <c r="G522" i="3"/>
  <c r="G523" i="3"/>
  <c r="G524" i="3"/>
  <c r="G525" i="3"/>
  <c r="G526" i="3"/>
  <c r="G527" i="3"/>
  <c r="G528" i="3"/>
  <c r="G529" i="3"/>
  <c r="G530" i="3"/>
  <c r="G531" i="3"/>
  <c r="G532" i="3"/>
  <c r="G533" i="3"/>
  <c r="G534" i="3"/>
  <c r="G535" i="3"/>
  <c r="G516" i="3"/>
  <c r="G97" i="1"/>
  <c r="G96" i="1"/>
  <c r="G98" i="1" s="1"/>
  <c r="G108" i="12"/>
  <c r="G41" i="14"/>
  <c r="G40" i="14"/>
  <c r="G252" i="3"/>
  <c r="G253" i="3"/>
  <c r="G254" i="3"/>
  <c r="G255" i="3"/>
  <c r="G257" i="3"/>
  <c r="G258" i="3"/>
  <c r="G259" i="3"/>
  <c r="G260" i="3"/>
  <c r="G261" i="3"/>
  <c r="G262" i="3"/>
  <c r="G263" i="3"/>
  <c r="G264" i="3"/>
  <c r="G265" i="3"/>
  <c r="G266" i="3"/>
  <c r="G267" i="3"/>
  <c r="G268" i="3"/>
  <c r="G251" i="3"/>
  <c r="G669" i="3"/>
  <c r="G248" i="3"/>
  <c r="G56" i="13"/>
  <c r="G57" i="13"/>
  <c r="G55" i="13"/>
  <c r="J51" i="13"/>
  <c r="G51" i="13"/>
  <c r="G120" i="4"/>
  <c r="G121" i="4"/>
  <c r="G122" i="4"/>
  <c r="G123" i="4"/>
  <c r="G124" i="4"/>
  <c r="G125" i="4"/>
  <c r="G126" i="4"/>
  <c r="G127" i="4"/>
  <c r="G128" i="4"/>
  <c r="G129" i="4"/>
  <c r="G130" i="4"/>
  <c r="G131" i="4"/>
  <c r="G132" i="4"/>
  <c r="G133" i="4"/>
  <c r="G119" i="4"/>
  <c r="G104" i="12"/>
  <c r="G103" i="12"/>
  <c r="G102" i="12"/>
  <c r="G101" i="12"/>
  <c r="G100" i="12"/>
  <c r="G99" i="12"/>
  <c r="G98" i="12"/>
  <c r="G97" i="12"/>
  <c r="G96" i="12"/>
  <c r="G95" i="12"/>
  <c r="G94" i="12"/>
  <c r="G93" i="12"/>
  <c r="G92" i="12"/>
  <c r="G91" i="12"/>
  <c r="G90" i="12"/>
  <c r="G89" i="12"/>
  <c r="G88" i="12"/>
  <c r="G87" i="12"/>
  <c r="G86" i="12"/>
  <c r="G108" i="4"/>
  <c r="G109" i="4"/>
  <c r="G110" i="4"/>
  <c r="G111" i="4"/>
  <c r="G107" i="4"/>
  <c r="G83" i="12"/>
  <c r="G79" i="12"/>
  <c r="G80" i="12"/>
  <c r="G78" i="12"/>
  <c r="G104" i="4"/>
  <c r="G36" i="13"/>
  <c r="G37" i="13"/>
  <c r="G38" i="13"/>
  <c r="G39" i="13"/>
  <c r="G40" i="13"/>
  <c r="G41" i="13"/>
  <c r="G42" i="13"/>
  <c r="G35" i="13"/>
  <c r="G32" i="13"/>
  <c r="G71" i="12"/>
  <c r="G90" i="4"/>
  <c r="G91" i="4"/>
  <c r="G92" i="4"/>
  <c r="G89" i="4"/>
  <c r="G44" i="2"/>
  <c r="G99" i="4"/>
  <c r="G100" i="4"/>
  <c r="G101" i="4"/>
  <c r="G79" i="4"/>
  <c r="G80" i="4"/>
  <c r="G81" i="4"/>
  <c r="G82" i="4"/>
  <c r="G83" i="4"/>
  <c r="G84" i="4"/>
  <c r="G85" i="4"/>
  <c r="G86" i="4"/>
  <c r="G78" i="4"/>
  <c r="G68" i="4"/>
  <c r="G3" i="13"/>
  <c r="G4" i="13"/>
  <c r="G5" i="13"/>
  <c r="G6" i="13"/>
  <c r="G7" i="13"/>
  <c r="G8" i="13"/>
  <c r="G9" i="13"/>
  <c r="G10" i="13"/>
  <c r="G11" i="13"/>
  <c r="G12" i="13"/>
  <c r="G13" i="13"/>
  <c r="G14" i="13"/>
  <c r="G15" i="13"/>
  <c r="G16" i="13"/>
  <c r="G17" i="13"/>
  <c r="G18" i="13"/>
  <c r="G19" i="13"/>
  <c r="G20" i="13"/>
  <c r="G21" i="13"/>
  <c r="G22" i="13"/>
  <c r="G23" i="13"/>
  <c r="G24" i="13"/>
  <c r="G25" i="13"/>
  <c r="G26" i="13"/>
  <c r="G27" i="13"/>
  <c r="G28" i="13"/>
  <c r="G2" i="13"/>
  <c r="G5" i="14"/>
  <c r="G6" i="14"/>
  <c r="G7" i="14"/>
  <c r="G8" i="14"/>
  <c r="G9" i="14"/>
  <c r="G10" i="14"/>
  <c r="G11" i="14"/>
  <c r="G12" i="14"/>
  <c r="G13" i="14"/>
  <c r="G14" i="14"/>
  <c r="G15" i="14"/>
  <c r="G16" i="14"/>
  <c r="G17" i="14"/>
  <c r="G18" i="14"/>
  <c r="G19" i="14"/>
  <c r="G20" i="14"/>
  <c r="G21" i="14"/>
  <c r="G22" i="14"/>
  <c r="G23" i="14"/>
  <c r="G24" i="14"/>
  <c r="G25" i="14"/>
  <c r="G26" i="14"/>
  <c r="G4" i="14"/>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 i="12"/>
  <c r="G27" i="14" l="1"/>
  <c r="G73" i="4"/>
  <c r="G42" i="14"/>
  <c r="G43" i="12"/>
  <c r="G53" i="12"/>
  <c r="G165" i="12"/>
  <c r="G81" i="12"/>
  <c r="G67" i="12"/>
  <c r="G134" i="4"/>
  <c r="G146" i="4"/>
  <c r="G93" i="4"/>
  <c r="G667" i="3"/>
  <c r="G269" i="3"/>
  <c r="G36" i="12"/>
  <c r="G58" i="13"/>
  <c r="G152" i="4"/>
  <c r="G150" i="12"/>
  <c r="G105" i="12"/>
  <c r="G56" i="14"/>
  <c r="G148" i="13"/>
  <c r="G106" i="13"/>
  <c r="G536" i="3"/>
  <c r="G43" i="13"/>
  <c r="G29" i="13"/>
  <c r="G112" i="4"/>
  <c r="J53" i="4" l="1"/>
  <c r="J52" i="4"/>
  <c r="J51" i="4"/>
  <c r="J50" i="4"/>
  <c r="J54" i="4" l="1"/>
  <c r="K12" i="9"/>
  <c r="J51" i="1" l="1"/>
  <c r="M45" i="1"/>
  <c r="M48" i="1"/>
  <c r="M35" i="1" l="1"/>
  <c r="M34" i="1"/>
  <c r="M33" i="1"/>
  <c r="M32" i="1"/>
  <c r="J3" i="8"/>
  <c r="J9" i="5"/>
  <c r="J8" i="5"/>
  <c r="J10" i="5" s="1"/>
  <c r="J5" i="5"/>
  <c r="J4" i="5"/>
  <c r="J3" i="5"/>
  <c r="M541" i="3"/>
  <c r="M540" i="3"/>
  <c r="M539" i="3"/>
  <c r="G35" i="9"/>
  <c r="G36" i="9"/>
  <c r="G37" i="9"/>
  <c r="G38" i="9"/>
  <c r="G39" i="9"/>
  <c r="G40" i="9"/>
  <c r="G41" i="9"/>
  <c r="G42" i="9"/>
  <c r="G43" i="9"/>
  <c r="G44" i="9"/>
  <c r="G34" i="9"/>
  <c r="G45" i="9" s="1"/>
  <c r="G30" i="9"/>
  <c r="G27" i="9"/>
  <c r="G26" i="9"/>
  <c r="G28" i="9" s="1"/>
  <c r="G23" i="9"/>
  <c r="M8" i="9"/>
  <c r="M7" i="9"/>
  <c r="M6" i="9"/>
  <c r="M5" i="9"/>
  <c r="M4" i="9"/>
  <c r="M3" i="9"/>
  <c r="J6" i="5" l="1"/>
  <c r="M36" i="1"/>
  <c r="M542" i="3"/>
  <c r="M9" i="9"/>
  <c r="J77" i="1"/>
  <c r="G87" i="4" l="1"/>
  <c r="G102" i="4"/>
  <c r="G143" i="5"/>
  <c r="G744" i="3"/>
  <c r="G783" i="3" l="1"/>
  <c r="G30" i="11"/>
  <c r="J361" i="3"/>
  <c r="G361" i="3"/>
  <c r="J360" i="3"/>
  <c r="G360" i="3"/>
  <c r="J359" i="3"/>
  <c r="G359" i="3"/>
  <c r="J355" i="3"/>
  <c r="G355" i="3"/>
  <c r="J354" i="3"/>
  <c r="G354" i="3"/>
  <c r="J353" i="3"/>
  <c r="G353" i="3"/>
  <c r="J350" i="3"/>
  <c r="G350" i="3"/>
  <c r="J349" i="3"/>
  <c r="G349" i="3"/>
  <c r="J348" i="3"/>
  <c r="G348" i="3"/>
  <c r="G345" i="3"/>
  <c r="J341" i="3"/>
  <c r="G341" i="3"/>
  <c r="J336" i="3"/>
  <c r="G336" i="3"/>
  <c r="J332" i="3"/>
  <c r="G332" i="3"/>
  <c r="J59" i="8"/>
  <c r="G59" i="8"/>
  <c r="J58" i="8"/>
  <c r="G58" i="8"/>
  <c r="J57" i="8"/>
  <c r="G57" i="8"/>
  <c r="J56" i="8"/>
  <c r="G56" i="8"/>
  <c r="J55" i="8"/>
  <c r="G55" i="8"/>
  <c r="J54" i="8"/>
  <c r="G54" i="8"/>
  <c r="J53" i="8"/>
  <c r="G53" i="8"/>
  <c r="J52" i="8"/>
  <c r="G52" i="8"/>
  <c r="J51" i="8"/>
  <c r="G51" i="8"/>
  <c r="J50" i="8"/>
  <c r="G50" i="8"/>
  <c r="J49" i="8"/>
  <c r="G49" i="8"/>
  <c r="J48" i="8"/>
  <c r="G48" i="8"/>
  <c r="J47" i="8"/>
  <c r="G47" i="8"/>
  <c r="J46" i="8"/>
  <c r="G46" i="8"/>
  <c r="J45" i="8"/>
  <c r="G45" i="8"/>
  <c r="J44" i="8"/>
  <c r="G44" i="8"/>
  <c r="J43" i="8"/>
  <c r="G43" i="8"/>
  <c r="J42" i="8"/>
  <c r="G42" i="8"/>
  <c r="J41" i="8"/>
  <c r="G41" i="8"/>
  <c r="J40" i="8"/>
  <c r="G40" i="8"/>
  <c r="J39" i="8"/>
  <c r="G39" i="8"/>
  <c r="J38" i="8"/>
  <c r="G38" i="8"/>
  <c r="J37" i="8"/>
  <c r="G37" i="8"/>
  <c r="J36" i="8"/>
  <c r="G36" i="8"/>
  <c r="J35" i="8"/>
  <c r="G35" i="8"/>
  <c r="J34" i="8"/>
  <c r="G34" i="8"/>
  <c r="J33" i="8"/>
  <c r="G33" i="8"/>
  <c r="J32" i="8"/>
  <c r="G32" i="8"/>
  <c r="J31" i="8"/>
  <c r="G31" i="8"/>
  <c r="J30" i="8"/>
  <c r="G30" i="8"/>
  <c r="J29" i="8"/>
  <c r="G29" i="8"/>
  <c r="J28" i="8"/>
  <c r="G28" i="8"/>
  <c r="G78" i="10"/>
  <c r="J77" i="10"/>
  <c r="J76" i="10"/>
  <c r="J75" i="10"/>
  <c r="J74" i="10"/>
  <c r="J73" i="10"/>
  <c r="J72" i="10"/>
  <c r="J71" i="10"/>
  <c r="J70" i="10"/>
  <c r="J69" i="10"/>
  <c r="J68" i="10"/>
  <c r="J67" i="10"/>
  <c r="J66" i="10"/>
  <c r="J65" i="10"/>
  <c r="J64" i="10"/>
  <c r="J63" i="10"/>
  <c r="J62" i="10"/>
  <c r="J61" i="10"/>
  <c r="J60" i="10"/>
  <c r="J59" i="10"/>
  <c r="J58" i="10"/>
  <c r="J57" i="10"/>
  <c r="J56" i="10"/>
  <c r="J55" i="10"/>
  <c r="J54" i="10"/>
  <c r="J53" i="10"/>
  <c r="J52" i="10"/>
  <c r="J51" i="10"/>
  <c r="J50" i="10"/>
  <c r="J49" i="10"/>
  <c r="J48" i="10"/>
  <c r="J47" i="10"/>
  <c r="J46" i="10"/>
  <c r="J45" i="10"/>
  <c r="J44" i="10"/>
  <c r="J43" i="10"/>
  <c r="J42" i="10"/>
  <c r="J41" i="10"/>
  <c r="J37" i="10"/>
  <c r="G37" i="10"/>
  <c r="J36" i="10"/>
  <c r="G36" i="10"/>
  <c r="J35" i="10"/>
  <c r="G35" i="10"/>
  <c r="J34" i="10"/>
  <c r="G34" i="10"/>
  <c r="J33" i="10"/>
  <c r="G33" i="10"/>
  <c r="J32" i="10"/>
  <c r="G32" i="10"/>
  <c r="J31" i="10"/>
  <c r="G31" i="10"/>
  <c r="J30" i="10"/>
  <c r="G30" i="10"/>
  <c r="J29" i="10"/>
  <c r="G29" i="10"/>
  <c r="J28" i="10"/>
  <c r="G28" i="10"/>
  <c r="J27" i="10"/>
  <c r="G27" i="10"/>
  <c r="J26" i="10"/>
  <c r="G26" i="10"/>
  <c r="J25" i="10"/>
  <c r="G25" i="10"/>
  <c r="J24" i="10"/>
  <c r="G24" i="10"/>
  <c r="J23" i="10"/>
  <c r="G23" i="10"/>
  <c r="J22" i="10"/>
  <c r="G22" i="10"/>
  <c r="J21" i="10"/>
  <c r="G21" i="10"/>
  <c r="J20" i="10"/>
  <c r="G20" i="10"/>
  <c r="J19" i="10"/>
  <c r="G19" i="10"/>
  <c r="J18" i="10"/>
  <c r="G18" i="10"/>
  <c r="J17" i="10"/>
  <c r="G17" i="10"/>
  <c r="J16" i="10"/>
  <c r="G16" i="10"/>
  <c r="J15" i="10"/>
  <c r="G15" i="10"/>
  <c r="J14" i="10"/>
  <c r="G14" i="10"/>
  <c r="J13" i="10"/>
  <c r="G13" i="10"/>
  <c r="J12" i="10"/>
  <c r="G12" i="10"/>
  <c r="J11" i="10"/>
  <c r="G11" i="10"/>
  <c r="J10" i="10"/>
  <c r="G10" i="10"/>
  <c r="J9" i="10"/>
  <c r="G9" i="10"/>
  <c r="J8" i="10"/>
  <c r="G8" i="10"/>
  <c r="J7" i="10"/>
  <c r="G7" i="10"/>
  <c r="J6" i="10"/>
  <c r="G6" i="10"/>
  <c r="J5" i="10"/>
  <c r="G5" i="10"/>
  <c r="J4" i="10"/>
  <c r="G4" i="10"/>
  <c r="J3" i="10"/>
  <c r="G3" i="10"/>
  <c r="J60" i="8" l="1"/>
  <c r="G60" i="8"/>
  <c r="G356" i="3"/>
  <c r="J356" i="3"/>
  <c r="G351" i="3"/>
  <c r="J351" i="3"/>
  <c r="J362" i="3"/>
  <c r="G362" i="3"/>
  <c r="G38" i="10"/>
  <c r="J78" i="10"/>
  <c r="J38" i="10"/>
  <c r="J77" i="5" l="1"/>
  <c r="J76" i="5"/>
  <c r="J75" i="5"/>
  <c r="J74" i="5"/>
  <c r="J73" i="5"/>
  <c r="J70" i="5"/>
  <c r="J69" i="5"/>
  <c r="J68" i="5"/>
  <c r="J67" i="5"/>
  <c r="J66" i="5"/>
  <c r="J23" i="8"/>
  <c r="J22" i="8"/>
  <c r="J21" i="8"/>
  <c r="J20" i="8"/>
  <c r="J19" i="8"/>
  <c r="J18" i="8"/>
  <c r="J17" i="8"/>
  <c r="J16" i="8"/>
  <c r="J15" i="8"/>
  <c r="J14" i="8"/>
  <c r="M34" i="4"/>
  <c r="M33" i="4"/>
  <c r="M32" i="4"/>
  <c r="M31" i="4"/>
  <c r="M30" i="4"/>
  <c r="J78" i="5" l="1"/>
  <c r="J71" i="5"/>
  <c r="J24" i="8"/>
  <c r="M35" i="4"/>
  <c r="M19" i="4" l="1"/>
  <c r="M18" i="4"/>
  <c r="M17" i="4"/>
  <c r="M16" i="4"/>
  <c r="M15" i="4"/>
  <c r="M20" i="4" l="1"/>
  <c r="G183" i="5"/>
  <c r="G182" i="5"/>
  <c r="G181" i="5"/>
  <c r="G180" i="5"/>
  <c r="G179" i="5"/>
  <c r="G178" i="5"/>
  <c r="G177" i="5"/>
  <c r="G176" i="5"/>
  <c r="G175" i="5"/>
  <c r="G174" i="5"/>
  <c r="G173" i="5"/>
  <c r="G172" i="5"/>
  <c r="G171" i="5"/>
  <c r="G170" i="5"/>
  <c r="G169" i="5"/>
  <c r="G168" i="5"/>
  <c r="G167" i="5"/>
  <c r="G166" i="5"/>
  <c r="G165" i="5"/>
  <c r="G164" i="5"/>
  <c r="G163" i="5"/>
  <c r="G162" i="5"/>
  <c r="G161" i="5"/>
  <c r="G160" i="5"/>
  <c r="G159" i="5"/>
  <c r="G158" i="5"/>
  <c r="G157" i="5"/>
  <c r="G156" i="5"/>
  <c r="G155" i="5"/>
  <c r="G154" i="5"/>
  <c r="G153" i="5"/>
  <c r="G152" i="5"/>
  <c r="G151" i="5"/>
  <c r="G150" i="5"/>
  <c r="G149" i="5"/>
  <c r="G148" i="5"/>
  <c r="G147" i="5"/>
  <c r="G146" i="5"/>
  <c r="G77" i="5"/>
  <c r="G76" i="5"/>
  <c r="G75" i="5"/>
  <c r="G74" i="5"/>
  <c r="G73" i="5"/>
  <c r="G22" i="5"/>
  <c r="G21" i="5"/>
  <c r="G20" i="5"/>
  <c r="G19" i="5"/>
  <c r="G18" i="5"/>
  <c r="G17" i="5"/>
  <c r="G16" i="5"/>
  <c r="G15" i="5"/>
  <c r="G14" i="5"/>
  <c r="G13" i="5"/>
  <c r="G12" i="5"/>
  <c r="G70" i="5"/>
  <c r="G69" i="5"/>
  <c r="G68" i="5"/>
  <c r="G67" i="5"/>
  <c r="G66" i="5"/>
  <c r="G130" i="5"/>
  <c r="G129" i="5"/>
  <c r="G128" i="5"/>
  <c r="G127" i="5"/>
  <c r="G126" i="5"/>
  <c r="G125" i="5"/>
  <c r="G124" i="5"/>
  <c r="G123" i="5"/>
  <c r="G122" i="5"/>
  <c r="G121" i="5"/>
  <c r="G120" i="5"/>
  <c r="G119"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131" i="5" l="1"/>
  <c r="G23" i="5"/>
  <c r="G184" i="5"/>
  <c r="G71" i="5"/>
  <c r="G78" i="5"/>
  <c r="G63" i="5"/>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741" i="3"/>
  <c r="G740" i="3"/>
  <c r="G742" i="3" s="1"/>
  <c r="G737" i="3"/>
  <c r="G736" i="3"/>
  <c r="G735" i="3"/>
  <c r="G734" i="3"/>
  <c r="G733" i="3"/>
  <c r="G730" i="3"/>
  <c r="G125" i="3"/>
  <c r="G124" i="3"/>
  <c r="G126" i="3" s="1"/>
  <c r="J120" i="3"/>
  <c r="G120" i="3"/>
  <c r="J119" i="3"/>
  <c r="G119" i="3"/>
  <c r="J118" i="3"/>
  <c r="G118" i="3"/>
  <c r="J117" i="3"/>
  <c r="G117" i="3"/>
  <c r="J116" i="3"/>
  <c r="G116" i="3"/>
  <c r="J115" i="3"/>
  <c r="G115" i="3"/>
  <c r="J114" i="3"/>
  <c r="G114" i="3"/>
  <c r="J113" i="3"/>
  <c r="G113" i="3"/>
  <c r="J112" i="3"/>
  <c r="G112" i="3"/>
  <c r="J111" i="3"/>
  <c r="G111" i="3"/>
  <c r="J110" i="3"/>
  <c r="G110" i="3"/>
  <c r="J109" i="3"/>
  <c r="G109" i="3"/>
  <c r="J108" i="3"/>
  <c r="G108" i="3"/>
  <c r="J107" i="3"/>
  <c r="G107" i="3"/>
  <c r="J106" i="3"/>
  <c r="G106" i="3"/>
  <c r="J105" i="3"/>
  <c r="G105" i="3"/>
  <c r="J104" i="3"/>
  <c r="G104" i="3"/>
  <c r="J103" i="3"/>
  <c r="G103" i="3"/>
  <c r="J102" i="3"/>
  <c r="G102" i="3"/>
  <c r="J101" i="3"/>
  <c r="G101" i="3"/>
  <c r="J100" i="3"/>
  <c r="G100" i="3"/>
  <c r="J99" i="3"/>
  <c r="G99" i="3"/>
  <c r="J98" i="3"/>
  <c r="G98" i="3"/>
  <c r="J97" i="3"/>
  <c r="G97" i="3"/>
  <c r="J96" i="3"/>
  <c r="G96" i="3"/>
  <c r="J95" i="3"/>
  <c r="G95" i="3"/>
  <c r="J94" i="3"/>
  <c r="G94" i="3"/>
  <c r="J93" i="3"/>
  <c r="G93" i="3"/>
  <c r="J92" i="3"/>
  <c r="G92" i="3"/>
  <c r="J91" i="3"/>
  <c r="G91" i="3"/>
  <c r="J90" i="3"/>
  <c r="G90" i="3"/>
  <c r="J89" i="3"/>
  <c r="G89" i="3"/>
  <c r="J88" i="3"/>
  <c r="G88" i="3"/>
  <c r="J87" i="3"/>
  <c r="G87" i="3"/>
  <c r="J86" i="3"/>
  <c r="G86" i="3"/>
  <c r="J85" i="3"/>
  <c r="G85" i="3"/>
  <c r="J84" i="3"/>
  <c r="G84" i="3"/>
  <c r="J83" i="3"/>
  <c r="G83" i="3"/>
  <c r="J82" i="3"/>
  <c r="G82" i="3"/>
  <c r="J81" i="3"/>
  <c r="G81" i="3"/>
  <c r="J80" i="3"/>
  <c r="G80" i="3"/>
  <c r="G89" i="1"/>
  <c r="G86" i="1"/>
  <c r="G629" i="3" l="1"/>
  <c r="G121" i="3"/>
  <c r="G738" i="3"/>
  <c r="J121" i="3"/>
  <c r="J8" i="9" l="1"/>
  <c r="J7" i="9"/>
  <c r="J6" i="9"/>
  <c r="J5" i="9"/>
  <c r="J4" i="9"/>
  <c r="J3" i="9"/>
  <c r="J74" i="1"/>
  <c r="J67" i="1"/>
  <c r="J66" i="1"/>
  <c r="J55" i="1"/>
  <c r="J54" i="1"/>
  <c r="M3" i="1"/>
  <c r="J56" i="1" l="1"/>
  <c r="J9" i="9"/>
  <c r="J68" i="1"/>
  <c r="J547" i="3"/>
  <c r="J546" i="3"/>
  <c r="J545" i="3"/>
  <c r="J566" i="3"/>
  <c r="J565" i="3"/>
  <c r="J564" i="3"/>
  <c r="J563" i="3"/>
  <c r="J562" i="3"/>
  <c r="J561" i="3"/>
  <c r="J560" i="3"/>
  <c r="J559" i="3"/>
  <c r="J558" i="3"/>
  <c r="J557" i="3"/>
  <c r="J541" i="3"/>
  <c r="J540" i="3"/>
  <c r="J539" i="3"/>
  <c r="J48" i="1"/>
  <c r="J45" i="1"/>
  <c r="J548" i="3" l="1"/>
  <c r="J542" i="3"/>
  <c r="J567" i="3"/>
  <c r="J35" i="1"/>
  <c r="J34" i="1"/>
  <c r="J33" i="1"/>
  <c r="J32" i="1"/>
  <c r="J36" i="1" l="1"/>
  <c r="G82" i="1" l="1"/>
  <c r="G81" i="1"/>
  <c r="G74" i="1"/>
  <c r="G55" i="1"/>
  <c r="G54" i="1"/>
  <c r="G56" i="1" s="1"/>
  <c r="G19" i="9"/>
  <c r="G18" i="9"/>
  <c r="G20" i="9" s="1"/>
  <c r="G16" i="9"/>
  <c r="G15" i="9"/>
  <c r="G14" i="9"/>
  <c r="G11" i="9"/>
  <c r="G83" i="1" l="1"/>
  <c r="G4" i="9"/>
  <c r="G6" i="9"/>
  <c r="G7" i="9"/>
  <c r="G3" i="9"/>
  <c r="G9" i="9" s="1"/>
  <c r="J11" i="4"/>
  <c r="J10" i="4"/>
  <c r="J9" i="4"/>
  <c r="J34" i="4"/>
  <c r="J33" i="4"/>
  <c r="J32" i="4"/>
  <c r="J31" i="4"/>
  <c r="J30" i="4"/>
  <c r="J27" i="4"/>
  <c r="J26" i="4"/>
  <c r="J25" i="4"/>
  <c r="J24" i="4"/>
  <c r="J23" i="4"/>
  <c r="J19" i="4"/>
  <c r="J18" i="4"/>
  <c r="J17" i="4"/>
  <c r="J16" i="4"/>
  <c r="J15" i="4"/>
  <c r="J20" i="4" l="1"/>
  <c r="J12" i="4"/>
  <c r="J35" i="4"/>
  <c r="J28" i="4"/>
  <c r="G3" i="4" l="1"/>
  <c r="G77" i="1"/>
  <c r="G673" i="3" l="1"/>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672" i="3"/>
  <c r="J71" i="1"/>
  <c r="G71" i="1"/>
  <c r="G51" i="4"/>
  <c r="G52" i="4"/>
  <c r="G53" i="4"/>
  <c r="G50" i="4"/>
  <c r="G39" i="1"/>
  <c r="G551" i="3"/>
  <c r="G552" i="3"/>
  <c r="G550" i="3"/>
  <c r="G546" i="3"/>
  <c r="G547" i="3"/>
  <c r="G545" i="3"/>
  <c r="G54" i="4" l="1"/>
  <c r="G553" i="3"/>
  <c r="G710" i="3"/>
  <c r="G548" i="3"/>
  <c r="G15" i="8"/>
  <c r="G16" i="8"/>
  <c r="G17" i="8"/>
  <c r="G18" i="8"/>
  <c r="G19" i="8"/>
  <c r="G20" i="8"/>
  <c r="G21" i="8"/>
  <c r="G22" i="8"/>
  <c r="G23" i="8"/>
  <c r="G14" i="8"/>
  <c r="G24" i="8" s="1"/>
  <c r="G558" i="3"/>
  <c r="G559" i="3"/>
  <c r="G560" i="3"/>
  <c r="G561" i="3"/>
  <c r="G562" i="3"/>
  <c r="G563" i="3"/>
  <c r="G564" i="3"/>
  <c r="G565" i="3"/>
  <c r="G566" i="3"/>
  <c r="G557" i="3"/>
  <c r="G36" i="2"/>
  <c r="G37" i="2"/>
  <c r="G38" i="2"/>
  <c r="G39" i="2"/>
  <c r="G40" i="2"/>
  <c r="G35" i="2"/>
  <c r="G41" i="2" s="1"/>
  <c r="G12" i="8"/>
  <c r="G7" i="8"/>
  <c r="G8" i="8"/>
  <c r="G9" i="8"/>
  <c r="G10" i="8"/>
  <c r="G11" i="8"/>
  <c r="G6" i="8"/>
  <c r="G33" i="1"/>
  <c r="G34" i="1"/>
  <c r="G35" i="1"/>
  <c r="G32" i="1"/>
  <c r="G29" i="1"/>
  <c r="J26" i="1"/>
  <c r="J25" i="1"/>
  <c r="J24" i="1"/>
  <c r="J23" i="1"/>
  <c r="J19" i="1"/>
  <c r="M15" i="1"/>
  <c r="J15" i="1"/>
  <c r="G67" i="1"/>
  <c r="G66" i="1"/>
  <c r="G3" i="8"/>
  <c r="J3" i="1"/>
  <c r="J8" i="1"/>
  <c r="G36" i="1" l="1"/>
  <c r="G68" i="1"/>
  <c r="G567" i="3"/>
  <c r="J27" i="1"/>
  <c r="G10" i="4" l="1"/>
  <c r="G11" i="4"/>
  <c r="G9" i="4"/>
  <c r="G12" i="4" l="1"/>
  <c r="G45" i="1"/>
  <c r="G48" i="1"/>
  <c r="G51" i="1"/>
  <c r="G24" i="1" l="1"/>
  <c r="G25" i="1"/>
  <c r="G26" i="1"/>
  <c r="G23" i="1"/>
  <c r="G27" i="1" l="1"/>
  <c r="G42" i="4"/>
  <c r="G41" i="4"/>
  <c r="G40" i="4"/>
  <c r="G39" i="4"/>
  <c r="G38" i="4"/>
  <c r="G34" i="4"/>
  <c r="G33" i="4"/>
  <c r="G32" i="4"/>
  <c r="G31" i="4"/>
  <c r="G30" i="4"/>
  <c r="G27" i="4"/>
  <c r="G26" i="4"/>
  <c r="G25" i="4"/>
  <c r="G24" i="4"/>
  <c r="G23" i="4"/>
  <c r="G19" i="1"/>
  <c r="G9" i="5"/>
  <c r="G8" i="5"/>
  <c r="G4" i="5"/>
  <c r="G5" i="5"/>
  <c r="G3" i="5"/>
  <c r="G29" i="2"/>
  <c r="G30" i="2"/>
  <c r="G31" i="2"/>
  <c r="G32" i="2"/>
  <c r="G28" i="2"/>
  <c r="G15" i="1"/>
  <c r="G47" i="4"/>
  <c r="G46" i="4"/>
  <c r="G16" i="4"/>
  <c r="G17" i="4"/>
  <c r="G18" i="4"/>
  <c r="G19" i="4"/>
  <c r="G15" i="4"/>
  <c r="G541" i="3"/>
  <c r="G540" i="3"/>
  <c r="G539" i="3"/>
  <c r="G5" i="2"/>
  <c r="G6" i="2"/>
  <c r="G7" i="2"/>
  <c r="G8" i="2"/>
  <c r="G9" i="2"/>
  <c r="G10" i="2"/>
  <c r="G11" i="2"/>
  <c r="G12" i="2"/>
  <c r="G13" i="2"/>
  <c r="G14" i="2"/>
  <c r="G15" i="2"/>
  <c r="G16" i="2"/>
  <c r="G17" i="2"/>
  <c r="G18" i="2"/>
  <c r="G19" i="2"/>
  <c r="G20" i="2"/>
  <c r="G21" i="2"/>
  <c r="G22" i="2"/>
  <c r="G4" i="2"/>
  <c r="G33" i="2" l="1"/>
  <c r="G10" i="5"/>
  <c r="G6" i="5"/>
  <c r="G43" i="4"/>
  <c r="G35" i="4"/>
  <c r="G28" i="4"/>
  <c r="G48" i="4"/>
  <c r="G20" i="4"/>
  <c r="G542" i="3"/>
  <c r="G23" i="2"/>
  <c r="G8" i="1"/>
  <c r="G3" i="1" l="1"/>
</calcChain>
</file>

<file path=xl/sharedStrings.xml><?xml version="1.0" encoding="utf-8"?>
<sst xmlns="http://schemas.openxmlformats.org/spreadsheetml/2006/main" count="8187" uniqueCount="2376">
  <si>
    <t>Смесь	для детей 6-12 месяцев, молочная, сухая, пресная (Адаптированная сухая молочная смесь без пальмового масла для вскармливания детей с 6 месяцев до 12 месяцев, 600 гр./пачка.)</t>
  </si>
  <si>
    <t>Одна пачка</t>
  </si>
  <si>
    <t>Костанайская область, г.Костанай город Костанай, улица 1 Мая, 151 Б, аптечный пункт</t>
  </si>
  <si>
    <t>Коммунальное государственное предприятие "Поликлиника № 1 города Костанай" Управления здравоохранения акимата Костанайской области</t>
  </si>
  <si>
    <t>упаковка</t>
  </si>
  <si>
    <t>Коммунальное государственное учреждение "Управление здравоохранения Кызылординской области"</t>
  </si>
  <si>
    <t>Государственное коммунальное предприятие на праве хозяйственного ведения "Центр первичной медико - санитарной помощи" при управлении здравоохранения Акмолинской области</t>
  </si>
  <si>
    <t>Акмолинская область, г.Кокшетау, с.Красный Яр, улица Достык , 63</t>
  </si>
  <si>
    <t>Смесь	для детей, молочная, сухая (Гипоаллергенная сухая молочная адаптированная смесь с пребиотиками для смешанного и исскусственного вскармливания детей с рождения до 12 месяцев, в пачках по 300г.)</t>
  </si>
  <si>
    <t>одна пачка</t>
  </si>
  <si>
    <t>Кокшетау БИН 990640001509 (№990640001509/260009/00, 2026-01-08)</t>
  </si>
  <si>
    <t>Коммунальное государственное предприятие на праве хозяйственного ведения "Поликлиника Павлодарского района" управления здравоохранения Павлодарской области, акимата Павлодарской области</t>
  </si>
  <si>
    <t>Специализированный пищевой продукт детского диетического лечебного питания "картофельное пюре" с низким содержанием белка, фенилаланина, без глютена, 400 г</t>
  </si>
  <si>
    <t>Сушки низкобелковые ,120гр</t>
  </si>
  <si>
    <t>Низкобелковые макаронные изделия (спиральки, перья) 500 г</t>
  </si>
  <si>
    <t>Низкобелковые печенье с шоколадной крошкой 200 гр</t>
  </si>
  <si>
    <t>Соломка низкобелковая 70гр</t>
  </si>
  <si>
    <t>Крекеры 210гр</t>
  </si>
  <si>
    <t>Основа для пиццы, 300 г</t>
  </si>
  <si>
    <t>Вафли с фундуком 150 гр</t>
  </si>
  <si>
    <t>Печенье звездочки 50гр</t>
  </si>
  <si>
    <t>Низкобелковые макаронные изделия (колечки) 500 г</t>
  </si>
  <si>
    <t>Смесь безбелковая , 700 г</t>
  </si>
  <si>
    <t>Низкобелковые макаронные изделия (спагетти) 250 г</t>
  </si>
  <si>
    <t>низкобелковый рис 400 г</t>
  </si>
  <si>
    <t>Смесь котлетная для гамбургеров низкобелковая 300 г</t>
  </si>
  <si>
    <t>Продукт сухой специализированный для диетического лечебного питания для детей старше одного года, для больных с фенилкетонурией с белковым эквивалентом 70, (смеси на основе аминокислот) 550 г</t>
  </si>
  <si>
    <t>Крендельки соленые 60гр</t>
  </si>
  <si>
    <t>Банка условная</t>
  </si>
  <si>
    <t>безбелковая крупка в ассортименте 500 г</t>
  </si>
  <si>
    <t>Крутоны низкобелковые в ассортименте (Сливочное масло, сметана-лук, сыр, пицца) 80гр</t>
  </si>
  <si>
    <t>Сухие завтраки 300 г</t>
  </si>
  <si>
    <t>Павлодарская область, г.Павлодар улица Малайсары батыра, 66</t>
  </si>
  <si>
    <t>Коммунальное государственное предприятие на праве хозяйственного ведения "Городская поликлиника №19" Управления общественного здравоохранения города Алматы</t>
  </si>
  <si>
    <t>г.Алматы, Турксибский район, Индекс 050054, ул.Папанина, 220</t>
  </si>
  <si>
    <t>Мука	фосфоритная, сорт Б</t>
  </si>
  <si>
    <t>штука</t>
  </si>
  <si>
    <t>Мука	фосфоритная, сорт В</t>
  </si>
  <si>
    <t>Мясо ягненка	охлажденная, полутуша, II категория</t>
  </si>
  <si>
    <t>Мучная смесь Taranis для блинов и вафель низкобелковая, 300 г</t>
  </si>
  <si>
    <t>Пюре картофельное Арт Лайф, с жареным луком низкобелковое , 30г</t>
  </si>
  <si>
    <t>Низкобелковый заменитель рыбы Taranis, 248 г</t>
  </si>
  <si>
    <t>Государственное коммунальное предприятие "Городская поликлиника №3" на праве хозяйственного ведения государственного учреждения "Управление здравоохранения Актюбинской области"</t>
  </si>
  <si>
    <t>Актюбинская область, г.Актобе, 12 микрорайон, 51 д, 313</t>
  </si>
  <si>
    <t>Актобе ГП3 (№990240006258/260022/00 2026-01-23)</t>
  </si>
  <si>
    <t>Мука	фосфоритная, сорт А</t>
  </si>
  <si>
    <t>Хлопья	кукурузные, со вкусом шоколада</t>
  </si>
  <si>
    <t>Мука фосфоритная, сорт А</t>
  </si>
  <si>
    <t>Хлопья кукурузные, со вкусом шоколада</t>
  </si>
  <si>
    <t>Мука картофельная, сорт высший</t>
  </si>
  <si>
    <t>Рис необрушенный, тип 1</t>
  </si>
  <si>
    <t>Печенье сдобное</t>
  </si>
  <si>
    <t>Низкобелковая мука для выпечки Sofra Low-protein Baking Mix, 1 кг</t>
  </si>
  <si>
    <t>Заменитель риса Sofra Low-protein Rice Substitute низкобелковый, 300 г</t>
  </si>
  <si>
    <t>Хлопья безглютеновые GlutensizSofra, кукурузные, 250 гр</t>
  </si>
  <si>
    <t>Пюре картофельное Арт Лайф с жареным луком, низкобелковое, 8 порций по
30 грамм.</t>
  </si>
  <si>
    <t>Печенье Bezgluten десертное, ассорти, низкобелковое, 150 г</t>
  </si>
  <si>
    <t>Печенье	слоеное</t>
  </si>
  <si>
    <t>Продукт	специализированный, для энтерального питания</t>
  </si>
  <si>
    <t>Печенье слоеное</t>
  </si>
  <si>
    <t>Продукт специализированный, для энтерального питания</t>
  </si>
  <si>
    <t>Хлеб из сеяной муки</t>
  </si>
  <si>
    <t>Мука фосфоритная, сорт Б</t>
  </si>
  <si>
    <t>Смесь овощная, сушеная</t>
  </si>
  <si>
    <t xml:space="preserve"> Печенье Glutensiz Sofra, с шоколадной крошкой, без глютена, 100 гр</t>
  </si>
  <si>
    <t>Молочный напиток Loprofin, низкобелковый, 200 мл</t>
  </si>
  <si>
    <t>Хлеб Bezgluten, белый, нарезанный, низкобелковый, 320 г</t>
  </si>
  <si>
    <t>Смесь Bezgluten, для выпечки кексов/маффинов, низкобелковая, 250 г</t>
  </si>
  <si>
    <t xml:space="preserve">Каша Арт Лайф 3 злака, с ананасом, низкокалориная, 10 порции по 38 </t>
  </si>
  <si>
    <t>Государственное коммунальное предприятие «Городская поликлиника №5» на праве хозяйственного ведения государственного учреждения «Управление здравоохранения Актюбинской области»</t>
  </si>
  <si>
    <t>Актюбинская область, г.Актобе, Набережная, 79</t>
  </si>
  <si>
    <t>Сыр твердый</t>
  </si>
  <si>
    <t>Сыр VioLife безбелковый (кусок) 200г. Сыр VioLife EPIC block MATURE</t>
  </si>
  <si>
    <t>Сыр безбелковый Моцарелла Green Idea,200 г.</t>
  </si>
  <si>
    <t>Шоколад пористый, без начинки и без добавок, в плитках</t>
  </si>
  <si>
    <t>Какао-порошок без сахара</t>
  </si>
  <si>
    <t>Печенье сахарное</t>
  </si>
  <si>
    <t>Шоколад Huber Schokovani низкобелковый, ванильный, 80</t>
  </si>
  <si>
    <t>Шоколадная паста Sofra Chocolate Spread низкобелковая, 300 г</t>
  </si>
  <si>
    <t>Какао-порошок Артлайф «Взрослей-ка» с йодом, 400 г</t>
  </si>
  <si>
    <t>Вафли Bezgluten с лимонной начинкой, низкобелковые, 90 г</t>
  </si>
  <si>
    <t>Низкобелковое печенье Harifen, в картонной коробке, 125 гр.</t>
  </si>
  <si>
    <t>коммунальное государственное предприятие на праве хозяйственного ведения "Городская поликлиника №1" управления здравоохранения Кызылординской области"</t>
  </si>
  <si>
    <t>Кызылординская область, г.Кызылорда, АБЫЛХАИР ХАНА, 38</t>
  </si>
  <si>
    <t>Крупа пшеничная мелкодробленая</t>
  </si>
  <si>
    <t>Каша Milupa lp-fruity, яблоко-банан, низкобелковая, 300 г</t>
  </si>
  <si>
    <t>Государственное коммунальное предприятие на праве хозяйственного ведения "Талдыкорганская городская поликлиника" государственного учреждения "Управление здравоохранения области Жетісу"</t>
  </si>
  <si>
    <t>область Жетісу, г.Талдыкорган, КАБАНБАЙ БАТЫРА, 66</t>
  </si>
  <si>
    <t>Талдыкорган (№090240012125/260026/00 2026-01-23)</t>
  </si>
  <si>
    <t>Смесь для детей 0-6 месяцев, молочная, сухая, пресная</t>
  </si>
  <si>
    <t xml:space="preserve"> Смесь Nestogen (Nestl?) 1 (с рождения) 300 г</t>
  </si>
  <si>
    <t>Актобе ГП 5 (№141240017389/260045/00)</t>
  </si>
  <si>
    <t>Низкобелковая смесь для выпечки хлеба Софра 1000г.</t>
  </si>
  <si>
    <t>Безбелковый заменитель молока Calo-Lipid Comida, 500г.</t>
  </si>
  <si>
    <t>Молоко натуральное обезжиренное,сухое</t>
  </si>
  <si>
    <t>Кислота молочная жидкость</t>
  </si>
  <si>
    <t>Молочный напиток PKU drink LQ низкобелковый Loprofin SHS, 200 мл.</t>
  </si>
  <si>
    <t>Крем	термообработанный, творожный</t>
  </si>
  <si>
    <t>Крем -паста со вкусом лесного ореха, шоколада Cream Spread низкобелковая PKU Sofra,300gr.</t>
  </si>
  <si>
    <t>Смесь для тортов и кексов Cake Mix низкобелковая кондитерская мука Sofra 1000 гр.</t>
  </si>
  <si>
    <t>Коммунальное государственное предприятие на праве хозяйственного ведения "Актогайская районная больница" управления здравоохранения Павлодарской области, акимата Павлодарской области</t>
  </si>
  <si>
    <t>Павлодарская область, Актогайский район, с.Актогай, Марденова, 101</t>
  </si>
  <si>
    <t>Павлодар Актогай (№010140001805/260027/00 2026-01-23)</t>
  </si>
  <si>
    <t>Низкобелковые бисквитные трубочки с клубничной начинкой, при фенилкетонурии, 125 гр.</t>
  </si>
  <si>
    <t>Сухие завтраки 300 гр., для больных фенилкетонурией</t>
  </si>
  <si>
    <t>Крендельки луковые</t>
  </si>
  <si>
    <t>Концентрат низкобелковый быстрорастворимое картофельное пюре для драников 210 гр.,</t>
  </si>
  <si>
    <t>Печенье "Звездочки" 50 гр. для больных фенилкетонурией.</t>
  </si>
  <si>
    <t>Государственное коммунальное предприятие на праве хозяйственного ведения "Городская поликлиника № 2" управления здравоохранения города Шымкент</t>
  </si>
  <si>
    <t>г.Шымкент, район Тұран, пр. Абая, 35</t>
  </si>
  <si>
    <t>Печенье Bezgluten, с начинкой тоффи, безглютеновое, 200 г</t>
  </si>
  <si>
    <t>Мука для хлеба GlutensizSofra, без глютена, кукурузная, 1 кг</t>
  </si>
  <si>
    <t>Смесь котлетная для гамбургеров SOFRA Hamburger Patties Mix,
низкобелковая PKU, 300 г</t>
  </si>
  <si>
    <t>Смесь колбасная нежная Sofra Low-protein Sausage Mix низкобелковая без
глютена, 180 г</t>
  </si>
  <si>
    <t>Мука фосфоритная, сорт В</t>
  </si>
  <si>
    <t>Крупа пшеничная крупная</t>
  </si>
  <si>
    <t>Заменитель курятины SOFRA Chicken Substitute низкобелковый PKU, 180 г</t>
  </si>
  <si>
    <t>Лечебная смесь БенАмин 70 – phe, диетическая</t>
  </si>
  <si>
    <t>Картофель (ломтики, соломка, чипсы)обжаренный/подсушенный</t>
  </si>
  <si>
    <t>Чипсы Bezgluten, с паприкой, 70 гр.</t>
  </si>
  <si>
    <t>Заменитель мяса SOFRA Meat Substitute PKU низкобелковый, 180 г</t>
  </si>
  <si>
    <t>Кекс из мороженого</t>
  </si>
  <si>
    <t>Молоко с низким содержанием белка Taranis Dalia, 200 мл</t>
  </si>
  <si>
    <t>Заменитель риса Taranis, 500 г</t>
  </si>
  <si>
    <t>Низкобелковая мука для выпечки Sofra Low-protein Baking Mix, 1 к</t>
  </si>
  <si>
    <t>Лимонный пудинг GlutensizSofra без глютена, 120 г</t>
  </si>
  <si>
    <t>Уральск 3ГП (№990340004413/260040/00 2026-01-20)</t>
  </si>
  <si>
    <t>Государственное коммунальное предприятие на праве хозяйственного ведения "Городская поликлиника №3" управления здравоохранения акимата Западно-Казахстанской области</t>
  </si>
  <si>
    <t>Западно-Казахстанская область, г.Уральск, А.КАРЕВ, 22</t>
  </si>
  <si>
    <t>мука без глютена низкобелковая</t>
  </si>
  <si>
    <t>Мука пшеничная, сорт высший, из мягких сортов пшеницы</t>
  </si>
  <si>
    <t>Сыр	полутвердый</t>
  </si>
  <si>
    <t>Низкобелковый веганский сыр 200гр</t>
  </si>
  <si>
    <t>Сыр полутвердый</t>
  </si>
  <si>
    <t>Яйцо куриное, диетическое, категория высшая</t>
  </si>
  <si>
    <t>Низкобелковый веганский сыр 150 гр</t>
  </si>
  <si>
    <t>заменитель яйца 200гр</t>
  </si>
  <si>
    <t>заменитель ризотто 1,2 кг готовый продукт</t>
  </si>
  <si>
    <t>Рис	полностью обрушенный, среднезерный, пропаренный</t>
  </si>
  <si>
    <t>Смесь фруктовая, сушеная</t>
  </si>
  <si>
    <t>Изделия макаронные	спагетти, из пшеничной муки, сорт высший</t>
  </si>
  <si>
    <t>Макаронные изделия Loprofin "Animal pasta", в форме зверей, низкобелковые,
500 г.</t>
  </si>
  <si>
    <t>Смесь для выпечки Nutricia Loprofin Damin, низкобелковая, 500 г</t>
  </si>
  <si>
    <t>Государственное коммунальное предприятие на праве хозяйственного ведения "Городская поликлиника № 4" акимата города Астана</t>
  </si>
  <si>
    <t>г.Астана, район Сарыарка, Т. Шевченко, 1</t>
  </si>
  <si>
    <t>Смесь	для приготовления снеков, пицц,крекеров</t>
  </si>
  <si>
    <t>Основа для пиццы низкобелковая для детей больных фенилкетонурией</t>
  </si>
  <si>
    <t>Хлопья медовые низкобелковые для детей больных фенилкетонурией</t>
  </si>
  <si>
    <t>Печенье низкобелковое для детей больных фенилкетонурией</t>
  </si>
  <si>
    <t>Астана 4ГП(№070440005285/260024/00 2026-01-20)</t>
  </si>
  <si>
    <t>Изделия макаронные макароны, из пшеничной муки, сорт высший</t>
  </si>
  <si>
    <t>Макароны низкобелковые 400г для детей больных фенилкетонурией</t>
  </si>
  <si>
    <t>Соломка низкобелковая для детей больных фенилкетонурией</t>
  </si>
  <si>
    <t>Чипсы низкобелковые для больных фенилкетонурией 70 гр</t>
  </si>
  <si>
    <t>Низкобелковая смесь для выпечки домашняя пекарь 500гр.</t>
  </si>
  <si>
    <t>Смесь для выпечки блинов,оладий</t>
  </si>
  <si>
    <t>Печенье с кремовыми начинками</t>
  </si>
  <si>
    <t>Концентрат специальный никелевый</t>
  </si>
  <si>
    <t>Смесь для приготовления кексов, тортов, пирожных, печенья</t>
  </si>
  <si>
    <t>Пирожное бисквитное</t>
  </si>
  <si>
    <t>Филе сардины, свежее</t>
  </si>
  <si>
    <t>Смесь консервированная, для кратковременного хранения</t>
  </si>
  <si>
    <t>Вафли с фруктовыми начинками</t>
  </si>
  <si>
    <t>Печенье Bezgluten, с кокосовой начинкой, безглютеновое, 210 г</t>
  </si>
  <si>
    <t>Мука для выпечки пирогов GlutensizSofra, безглютеновая, 500 г</t>
  </si>
  <si>
    <t>Панировочная смесь для наггетсов GlutensizSofra Nugget Coating Mixture,
низкобелковая, 200 г</t>
  </si>
  <si>
    <t>Кексы Taranis ABRICOT, со вкусом абрикоса, низкобелковые, 240 г</t>
  </si>
  <si>
    <t>Смесь для омлета GlutensizSofra Omelet Mix, низкобелковая, 180 г</t>
  </si>
  <si>
    <t>Смесь для йогурта Sofra Yogurt Mix безбелковая, 40 г</t>
  </si>
  <si>
    <t>Булочки чиабатта Bezgluten, низкобелковые, 3х70 г</t>
  </si>
  <si>
    <t xml:space="preserve"> Смесь для омлета GlutensizSofra Omelet Mix, низкобелковая, 180 г</t>
  </si>
  <si>
    <t>Кызылординская область, г.Кызылорда, Проспект АБАЙ КУНАНБАЕВ, 27</t>
  </si>
  <si>
    <t>Смесь Nutrilon 2 Premium (c 6 месяцев) 350 г</t>
  </si>
  <si>
    <t>Смесь Nutrilon (Nutricia) Пре 1 (с рождения) 400 г</t>
  </si>
  <si>
    <t>Смесь Nutrilon (Nutricia) 2 гипоаллергенный (c 6 месяцев) 400 г</t>
  </si>
  <si>
    <t>Алматы 25ГП (	№990840000101/260026/00, 27.01.2026)</t>
  </si>
  <si>
    <t>Смесь	для детей 6-12 месяцев, молочная, сухая, пресная</t>
  </si>
  <si>
    <t>Смесь	для детей 0-6 месяцев, молочная, сухая, пресная</t>
  </si>
  <si>
    <t>г.Алматы, Алатауский район Республика Казахстан, Город Алматы, Алатауский район, микрорайон Дархан, улица Халифа Алтая 24/1</t>
  </si>
  <si>
    <t>Коммунальное государственное предприятие на праве хозяйственного ведения "Городская поликлиника №25" Управления общественного здравоохранения города Алматы</t>
  </si>
  <si>
    <t>по заявке</t>
  </si>
  <si>
    <t>по графику</t>
  </si>
  <si>
    <t>Кызылорда 1ГП (№990140004525/260013/00 2026-01-09)</t>
  </si>
  <si>
    <t>Кызылорда 1ГП (№990140004525/260014/00 2026-01-11)</t>
  </si>
  <si>
    <t>Кызылорда 1 ГП (№990140004525/260020/00 2026-01-13)</t>
  </si>
  <si>
    <t>квартал</t>
  </si>
  <si>
    <t>БИН 010140001805</t>
  </si>
  <si>
    <t>Актобе ГП 5(№141240017389/260056/00, от 25.01.2026)</t>
  </si>
  <si>
    <t>БИН 141240017389</t>
  </si>
  <si>
    <t>заявка</t>
  </si>
  <si>
    <t>БИН 090240012125</t>
  </si>
  <si>
    <t>Государственное коммунальное предприятие на праве хозяйственного ведения "Городская поликлиника №7 управления здравоохранения акимата Жамбылской области"</t>
  </si>
  <si>
    <t>Жамбылская область, г.Тараз улица Рафинадная 13;</t>
  </si>
  <si>
    <t>Смесь	для детей 0-6 месяцев, молочная, сухая, кисломолочная</t>
  </si>
  <si>
    <t>Смесь Nutrilon (Nutricia) 1 гипоаллергенный (c рождения) 800 г</t>
  </si>
  <si>
    <t>Смесь Nutrilon (Nutricia) Пепти Аллергия (с рождения) 800 г</t>
  </si>
  <si>
    <t>Смесь Nutrilon (Nutricia) 2 гипоаллергенный (c 6 месяцев) 800 г</t>
  </si>
  <si>
    <t>Смесь	консервированная, для кратковременного хранения</t>
  </si>
  <si>
    <t>Заменитель яйца GlutensizSofra, низкобелковый, 200 г</t>
  </si>
  <si>
    <t>Кызылорда 1ГП (№990140004525/260041/00, 27.01.2026)</t>
  </si>
  <si>
    <t>Сарделька	говяжья</t>
  </si>
  <si>
    <t>Актобе ГП3(№990240006258/260020/00, 27.01.2026)</t>
  </si>
  <si>
    <t>Актобе ГП3(№990240006258/260021/00, 26.01.2026)</t>
  </si>
  <si>
    <t>Низкобелковые макароны Sofra Low-protein Vegetable Bead Pasta Овощные Бусинки, 250 г</t>
  </si>
  <si>
    <t>Сосиски Loprofin Metzgers Beste Wiener Art, 204 г</t>
  </si>
  <si>
    <t>Хлеб Amino Pagnotta, нарезанный, низкобелковый, 250 г</t>
  </si>
  <si>
    <t>Павлодар ПРГП (№010240002530/260017/00, 14.01.26, бин 010240002530)</t>
  </si>
  <si>
    <t>Алматы 3 ГП(№990240003124/260020/00 2026-01-15, 990240003124 бин)</t>
  </si>
  <si>
    <t xml:space="preserve"> Смесь Nutrilon 2 Premium (c 6 месяцев) 350 г</t>
  </si>
  <si>
    <t>Костанай 1ГП (№980940001398/260008/00, БИН 980940001398, январь, апрель - по 250 пачек, 14.01.2026)</t>
  </si>
  <si>
    <t>Шымкент ГП 2(№991240004551/260020/00) БИН 991240004551</t>
  </si>
  <si>
    <t>Уральск 3 ГП (№990340004413/260030/00 2026-01-20, ), бин 990340004413</t>
  </si>
  <si>
    <t>Уральск ГП 3(№990340004413/260039/00 2026-01-20), бин 990340004413</t>
  </si>
  <si>
    <t>Актобе 3ГП (№990240006258/260040/00, 05.02.2026) бин 990240006258</t>
  </si>
  <si>
    <t>Смесь Nutrilon 1 Premium (c рождения) 350 г</t>
  </si>
  <si>
    <t>Коммунальное государственное предприятие на праве хозяйственного ведения "Городская клиническая больница № 5" Управления общественного здравоохранения города Алматы</t>
  </si>
  <si>
    <t>г.Алматы, Медеуский район Достык проспект 220</t>
  </si>
  <si>
    <t>Смесь Neocate (Nutricia) LCP (0-12 месяцев) 400 г.</t>
  </si>
  <si>
    <t>Алматы 5 ГКБ (	№990240002919/260058/00, 03.02.2026) БИН 990240002919</t>
  </si>
  <si>
    <t>Алматы НЦПиХ (	№991240004660/260101/00, 11.02.2026) БИН 991240004660</t>
  </si>
  <si>
    <t>Смесь	для детей 0-12 месяцев, молочная, сухая, пресная</t>
  </si>
  <si>
    <t>Актобе 3ГП (№990240006258/260028/00, 26.01.2026), 990240006258 бин</t>
  </si>
  <si>
    <t>Продукт	специализированный, для энтерального питания	Сухие завтраки Мас Мастер 300 г</t>
  </si>
  <si>
    <t>Продукт	специализированный, для энтерального питания, Comida картофельное пюре (низкобелковое) 400 г</t>
  </si>
  <si>
    <t>Продукт	специализированный, для энтерального питания	Comida заменитель яйца 400 г</t>
  </si>
  <si>
    <t>Продукт	специализированный, для энтерального питанияАссорти десертное 750 г (3 шт)</t>
  </si>
  <si>
    <t>Продукт	специализированный, для энтерального питанияПеченье низкобелковое Markizy Jasne z nadzieniem toffi 150 г</t>
  </si>
  <si>
    <t>Продукт	специализированный, для энтерального питания	Техническая характеристика согласно приложению №2, Ассорти из смесей для выпечки кексов 1200 г (3 шт)</t>
  </si>
  <si>
    <t>Государственное коммунальное предприятие на праве хозяйственного ведения "Городская поликлиника №6" управления здравоохранения города Шымкент</t>
  </si>
  <si>
    <t>г.Шымкент, Абайский район, мкр САМАЛ-3 , ул Аль-Фарабий , 230</t>
  </si>
  <si>
    <t>Шымкент 6ГП (№101240014733/260026/00, 27.01.2026), БИН 101240014733</t>
  </si>
  <si>
    <t xml:space="preserve">низкобелковый рис 400 гр упаковка </t>
  </si>
  <si>
    <t>Концентрат низкобелковый быстрорастворимое картофельное пюре для дранников 210 гр</t>
  </si>
  <si>
    <t>заменитель мяса «Burger Mix» 350 гр упаковка</t>
  </si>
  <si>
    <t>Мак Мастер Крупа 500 гр / Макарон-Сервис</t>
  </si>
  <si>
    <t>Крекеры «Crackers» 210 гр</t>
  </si>
  <si>
    <t>Заменитель яйца 200гр</t>
  </si>
  <si>
    <t>Петропавл 2ГП (№990440005089/260061/00, 28.01.2026), БИН 990440005089</t>
  </si>
  <si>
    <t>Мясо ягненка	охлажденная, туша, I категория</t>
  </si>
  <si>
    <t>Печенье	сахарное</t>
  </si>
  <si>
    <t>Хлеб	из сеяной муки</t>
  </si>
  <si>
    <t>Вафли	с фруктовыми начинками</t>
  </si>
  <si>
    <t>Пирожное	бисквитное</t>
  </si>
  <si>
    <t>Мороженое	сливочное, без пищевкусовых продуктов /или ароматизаторов</t>
  </si>
  <si>
    <t>Низкобелковый заменитель мяса Taranis, 248 г</t>
  </si>
  <si>
    <t xml:space="preserve"> Кексы Taranis ABRICOT, со вкусом абрикоса, низкобелковые, 240 г.</t>
  </si>
  <si>
    <t>Профитроли замороженные GlutensizSofra, без глютена, 120 гр, в стаканчике</t>
  </si>
  <si>
    <t>Алматы 19ГП (№090140017707/260043/00, 27.01.2026) БИН 090140017707</t>
  </si>
  <si>
    <t>Сыр Пармизан низкобелковый (тертый) безбелковый, 200г.</t>
  </si>
  <si>
    <t>Макаронные изделия Amino спиральки, 400гр</t>
  </si>
  <si>
    <t>Макароны Гнезда низкобелковые, 250г.</t>
  </si>
  <si>
    <t>Низкобелковые макаронные изделия (MySnack Premium Pasta plus Fusilli), 500гр.</t>
  </si>
  <si>
    <t>Макаронные изделия Амино Пенне Ригате, 400гр</t>
  </si>
  <si>
    <t>Сыр Моцарелла низкобелковый (тертый) безбелковый, 200г</t>
  </si>
  <si>
    <t>Сыр Гауда (нарезка), безбелковый 150г.</t>
  </si>
  <si>
    <t>Низкобелковые макаронные изделия (спагетти Aproten), 500гр.</t>
  </si>
  <si>
    <t>Круассаны с абрикосовой начинкой Amino, 220 гр.</t>
  </si>
  <si>
    <t>Сосиски по венски низкобелковые Лопрофин, 418г.</t>
  </si>
  <si>
    <t>Государственное коммунальное предприятие на праве хозяйственного ведения "Городская поликлиника№8" управления здравоохранения города Шымкент</t>
  </si>
  <si>
    <t>г.Шымкент, Аль-Фарабийский район улица Байтурсынова,2</t>
  </si>
  <si>
    <t>Шымкент 8ГП (№140440022499/260046/00, 03.02.2026), БИН 140440022499</t>
  </si>
  <si>
    <t>Тараз 7ГП (№990240002483/260032/00, 05.02.2026)</t>
  </si>
  <si>
    <t>банка услонвая</t>
  </si>
  <si>
    <t xml:space="preserve"> Низкобелковый заменитель мяса Taranis, 248 г</t>
  </si>
  <si>
    <t>Смесь Nutricia PKU Nutri 2 Energy, 454 г</t>
  </si>
  <si>
    <t>Алматы 19 ГП 	(№090140017707/260052/00, 05.02.2026)</t>
  </si>
  <si>
    <t>Алматы 19ГП (№090140017707/260069/00, 11.02.2026)</t>
  </si>
  <si>
    <t>Мясо ягненка	замороженное, полутуша, II категория</t>
  </si>
  <si>
    <t>Коммунальное государственное предприятие на праве хозяйственного ведения "Аральская многопрофильная центральная районная больница" управления здравоохранения Кызылординской области"</t>
  </si>
  <si>
    <t>Кызылординская область, Аральский район, г.Аральск</t>
  </si>
  <si>
    <t>Аральская РБ (№140140016919/260043/00, 05.02.2026), БИН 140140016919</t>
  </si>
  <si>
    <t>Низкобелковые бисквитные трубочки с клубничной начинкой «Flavis Fruit Bar» 125 гр.</t>
  </si>
  <si>
    <t>Крендельки соленые 60 гр.</t>
  </si>
  <si>
    <t>Sofra Gluten Free Low Protein Flour/Мука низкобелковая безглютеновая, 1 000 г.</t>
  </si>
  <si>
    <t>Продукт сухой специализированный для диетического лечебного питания детей старше одного года, больных фенилкетонурией «Нутриген 40 –phe», 1 банка не менее 400 гр.</t>
  </si>
  <si>
    <t>одна банка</t>
  </si>
  <si>
    <t>Государственное коммунальное предприятие "Алгинская районная больница" на праве хозяйственного ведения государственного учреждения "Управление здравоохранения Актюбинской области"</t>
  </si>
  <si>
    <t>Актюбинская область, Алгинский район, г.Алга, улица Есет Батыра 24</t>
  </si>
  <si>
    <t>Алгинская РБ (№990140005008/260043/00, 03.02.2026), БИН 990140005008</t>
  </si>
  <si>
    <r>
      <t xml:space="preserve">Кызылорда ГП1 (№990140004525/260032/00 2026-01-22), </t>
    </r>
    <r>
      <rPr>
        <b/>
        <sz val="12"/>
        <color theme="1"/>
        <rFont val="Times New Roman"/>
        <family val="1"/>
      </rPr>
      <t>бин 990140004525</t>
    </r>
  </si>
  <si>
    <t>Мука	фосфоритная, сорт С</t>
  </si>
  <si>
    <t>Коммунальное государственное предприятие на праве хозяйственного ведения "Городская поликлиника №30" Управления общественного здравоохранения города Алматы</t>
  </si>
  <si>
    <t>Печенье	сдобное</t>
  </si>
  <si>
    <t>Шоколад	пористый, без начинки и без добавок, в плитках</t>
  </si>
  <si>
    <t>Мясо ягненка	замороженное, полутуша, I категория</t>
  </si>
  <si>
    <t>Крупа пшеничная	крупная</t>
  </si>
  <si>
    <t>Хлеб	из обдирной муки</t>
  </si>
  <si>
    <t>Мясо ягненка	замороженное, туша, I категория</t>
  </si>
  <si>
    <t>Мука	мясная, помол тонкий</t>
  </si>
  <si>
    <t>Хлеб	из обойной муки</t>
  </si>
  <si>
    <t>Картофель (ломтики, соломка, чипсы)	обжаренный/подсушенный</t>
  </si>
  <si>
    <t>Какао-порошок	с сахаром</t>
  </si>
  <si>
    <t>Пирожное	воздушное</t>
  </si>
  <si>
    <t>Кексы низкобелковые Taranis со вкусом лимона, 240 г</t>
  </si>
  <si>
    <t>Смесь для картофельных крокетов Sofra Potato Croquette Mix низкобелковая, 300 г</t>
  </si>
  <si>
    <t>Смесь Bezgluten, шоколадный торт, без глютена, 300 г</t>
  </si>
  <si>
    <t>Макароны Sofra Low-protein Noodle, лапша, низкобелковые, 250 г</t>
  </si>
  <si>
    <t>Мармелад Okovital Bio-Fruit-Frites безглютеновый, 150 г</t>
  </si>
  <si>
    <t>Крупа манная Taranis, низкобелковая, безглютеновая, 500 г</t>
  </si>
  <si>
    <t>Безглютеновый хлеб белый Sofra Gluten-free white bread 250 г</t>
  </si>
  <si>
    <t>Круассаны Amino COD 0003.0057, низкобелковые, с абрикосовой начинкой, 4x55 г</t>
  </si>
  <si>
    <t>Смесь колбасная нежная Sofra Low-protein Sausage Mix низкобелковая без глютена, 180 г</t>
  </si>
  <si>
    <t>Каша Milupa lp-fruity Груша низкобелковая, 300 г</t>
  </si>
  <si>
    <t>Хлеб Bezgluten повседневный, низкобелковый, 300 г</t>
  </si>
  <si>
    <t>Панировочная смесь для наггетсов GlutensizSofra Nugget Coating Mixture, низкобелковая, 200 г</t>
  </si>
  <si>
    <t>Булочки Taranis Petits Pains, низкобелковые, безглютеновые, 4х45 г</t>
  </si>
  <si>
    <t>Смесь Nutricia PKU Nutri 3 Concentrated 500 г</t>
  </si>
  <si>
    <t>Снеки картофельные Caramba, со вкусом мяса из печи, 100 г</t>
  </si>
  <si>
    <t>Какао-порошок Артлайф «Взрослей-ка» с йодом, 400 г.</t>
  </si>
  <si>
    <t>Крупка гречневая Увелка низкобелковая, в варочных пакетиках, 5х80 г</t>
  </si>
  <si>
    <t>Смесь котлетная для гамбургеров SOFRA Hamburger Patties Mix, низкобелковая PKU, 300 г</t>
  </si>
  <si>
    <t>Шоколадная плитка Sofra Low-protein Tablet Chocolate, низкобелковая, 100 г</t>
  </si>
  <si>
    <t>Йогурт Taranis клубничный, безбелковый, 4х125 г</t>
  </si>
  <si>
    <t>Ассорти из сухариков 240 гр. (3 шт)</t>
  </si>
  <si>
    <t>Коммунальное государственное предприятие на праве хозяйственного ведения "Больница района Тереңкөл" управления здравоохранения Павлодарской области, акимата Павлодарской области</t>
  </si>
  <si>
    <t>Павлодарская область, район Тереңкөл, с.Теренколь, ул. Тәуелсіздік 88</t>
  </si>
  <si>
    <t>Павлодар, Теренкол (№010240002591/260071/00, 10.02.26) бин 010240002591</t>
  </si>
  <si>
    <t>Актобе 4ГП (№020640002615/260033/01, 04.02.26) БИН 020640002615</t>
  </si>
  <si>
    <t>Смесь Nutrilon (Nutricia) 1 Комфорт (c рождения) 400 г</t>
  </si>
  <si>
    <t>Мука Bezgluten Экстра универсальная, низкобелковая, 500 г</t>
  </si>
  <si>
    <t>Актобе 3ГП (№990240006258/260037/00, 05.02.26) 990240006258 бин</t>
  </si>
  <si>
    <t>Государственное коммунальное предприятие на праве хозяйственного ведения "Балхашская центральная районная больница" государственного учреждения "Управление здравоохранения Алматинской области"</t>
  </si>
  <si>
    <t>Алматинская область, Балхашский район, с.Баканас, А АХМЕТОВ, 14</t>
  </si>
  <si>
    <t>1 поставка 12.02.2026</t>
  </si>
  <si>
    <t>Каша Арт Лайф 3 злака, с ананасом, низкокалориная, 10 порции по 38 г</t>
  </si>
  <si>
    <t>Крупа пшеничная средняя</t>
  </si>
  <si>
    <t>Низкобелковый рис Loprofin, 500 г</t>
  </si>
  <si>
    <t>Суп-крем Арт Лайф "Куриный" со сливками низкобелковый, 20 г</t>
  </si>
  <si>
    <t>Смесь для овощного омлета GlutensizSofra Vegetable Omelet Mix, 180 г,
низкобелковая</t>
  </si>
  <si>
    <t>Булочка с начинкой</t>
  </si>
  <si>
    <t>Томатный суп с лапшой Bezgluten, низкобелковый, 17 г</t>
  </si>
  <si>
    <t>Вафли низкобелковые Bezgluten, 95 г., с шоколадной начинкой</t>
  </si>
  <si>
    <t>банка условная</t>
  </si>
  <si>
    <t>Cухая смесь Nutricia PKU Nutri 2 Concentrated, 500 г</t>
  </si>
  <si>
    <t>Изделия макаронные спагетти, из пшеничной муки, сорт высший</t>
  </si>
  <si>
    <t>Макаронные изделия Taranis, Coquillettes, 500 г</t>
  </si>
  <si>
    <t>Молочный напиток Vitaflo ProZero безбелковый, 1 л</t>
  </si>
  <si>
    <t>Печенье Bezgluten, без глютена, 130 г</t>
  </si>
  <si>
    <t>Печенье Huber "Черное и белое", с низким содержанием белка, 200 г.</t>
  </si>
  <si>
    <t>Смесь для картофельных крокетов Sofra Potato Croquette Mix низкобелковая,
300 г</t>
  </si>
  <si>
    <t>Мясо ягненка замороженное, туша, I категория</t>
  </si>
  <si>
    <t>Картофель (ломтики, соломка, чипсы обжаренный/подсушенный</t>
  </si>
  <si>
    <t>Смесь для детей 0-12 месяцев, молочная, сухая, пресная</t>
  </si>
  <si>
    <t>Смесь Nutricia PKU Anamix Infant, 0-12 месяцев, 400 г</t>
  </si>
  <si>
    <t>Мороженое сливочное, без пищевкусовых продуктов /или ароматизаторов</t>
  </si>
  <si>
    <t>Бульон с лапшой Bezgluten, низкобелковый, 11 г</t>
  </si>
  <si>
    <t>Молоко сухое Milupa lp-drink низкобелковое, 400 г</t>
  </si>
  <si>
    <t>Специализированный продукт Mevalia PKU Motion Красные фрукты, 70 мл</t>
  </si>
  <si>
    <t>Макароны Sofra Vermicelli Low-protein Vermicelli, вермишель низкобелковые,
250 г</t>
  </si>
  <si>
    <t>Взбитые сливки Schlagfix веганские, 200 мл</t>
  </si>
  <si>
    <t>Тараз 7ГП (№990240002483/260034/00, 04.02.2026)</t>
  </si>
  <si>
    <t>Тараз 7ГП (№990240002483/260028/00, 05.02.26) БИН 990240002483</t>
  </si>
  <si>
    <t>Нутризон Эдванст Нутридринк сухая смесь 322 г</t>
  </si>
  <si>
    <t>Ликвиджен 250мл</t>
  </si>
  <si>
    <t>Инфатрини 125мл</t>
  </si>
  <si>
    <t>Neocate LCP</t>
  </si>
  <si>
    <t>Смесь Малютка (Nutricia) 1 (с рождения) 300 г</t>
  </si>
  <si>
    <t>Сливки универсальные Schlagfix 43%, безбелковыe, 200 мл</t>
  </si>
  <si>
    <t>Смесь Nutrilon 2 Premium (c 6 месяцев) 600 г</t>
  </si>
  <si>
    <t>Смесь Nutrilon (Nutricia) 1 Premium (c рождения) 600 г</t>
  </si>
  <si>
    <t>Баканас (№020240003847/260019/00, 16.02.2026) БИН 020240003847</t>
  </si>
  <si>
    <t>Повидон, Натрия хлорид, Калия хлорид, Кальция хлорид, Магния хлорид, Натрия гидрокарбонат	раствор</t>
  </si>
  <si>
    <t>Лечебная смесь БенАмин 75 – phe, 500 г</t>
  </si>
  <si>
    <t>г.Алматы, Проспект ЖИБЕК ЖОЛЫ, 128/23</t>
  </si>
  <si>
    <t>Алматы 30ГП (№040340003894/260033/00, 02.02.2026) БИН 040340003894</t>
  </si>
  <si>
    <t>Павлодар 5ГП (№990240004221/260021/00, 02.02.2026) БИН 990240004221</t>
  </si>
  <si>
    <t>Молочная смесь Nutrilak 2 с 6 до 12 месяцев, 300 гр.</t>
  </si>
  <si>
    <t>Молочная смесь Nutrilak 1, с 0 до 6 месяцев, 300 г</t>
  </si>
  <si>
    <t>Коммунальное государственное предприятие на праве хозяйственного ведения "Поликлиника № 5 города Павлодара" управления здравоохранения Павлодарской области, акимата Павлодарской области</t>
  </si>
  <si>
    <t>Павлодарская область, г.Павлодар, Камзина, 5</t>
  </si>
  <si>
    <t>1 раз к квартал - 475шт</t>
  </si>
  <si>
    <t>Кызылорда 1ГП (№990140004525/260022/00, 20.01.2026)  БИН 990140004525</t>
  </si>
  <si>
    <t>Смесь Малютка (Nutricia) 2 (с 6 месяцев) 300 г</t>
  </si>
  <si>
    <t>Алматы 3ГП (№990240003124/260030/00, 16.02.2026)</t>
  </si>
  <si>
    <t>Коммунальное государственное предприятие на праве хозяйственного ведения «Многопрофильная детская областная больница» коммунального государственного учреждения «Управление здравоохранения акимата Северо - Казахстанской области»</t>
  </si>
  <si>
    <t>Северо-Казахстанская область, г.Петропавловск ул. Пушкина, 23</t>
  </si>
  <si>
    <t>Акционерное общество "Научный центр педиатрии и детской хирургии"</t>
  </si>
  <si>
    <t>г.Алматы, ПРОСПЕКТ АЛЬ-ФАРАБИ, 146</t>
  </si>
  <si>
    <t>Алматы 19 ГП(№090140017707/260041/00, 23.01.2026) БИН 090140017707</t>
  </si>
  <si>
    <t>Тараз 7ГП (№990240002483/260044/00, 20.02.2026)</t>
  </si>
  <si>
    <t>Балхашская РБ (№020240003847/260025/00 2026-02-10) 020240003847</t>
  </si>
  <si>
    <t>Государственное коммунальное предприятие на праве хозяйственного ведения "Районная больница" с.Каргалы Жамбылского района государственного учреждения "Управление здравоохранения Алматинской области"</t>
  </si>
  <si>
    <t>Алматинская область, Жамбылский район, с.Каргалы, АСЕТ БЕЙСЕУОВ, 1</t>
  </si>
  <si>
    <t>Смесь Nutrilon (Nutricia) 1 гипоаллергенный (c рождения) 400 г</t>
  </si>
  <si>
    <t>Государственное коммунальное предприятие на праве хозяйственного ведения «Текелийская городская больница» государственного учреждения «Управление здравоохранения области Жетісу»</t>
  </si>
  <si>
    <t>область Жетісу, г.Текели, Тәуелсіздік, 25</t>
  </si>
  <si>
    <t>Смесь для детей 0-6 месяцев, молочная, сухая, кисломолочная</t>
  </si>
  <si>
    <t xml:space="preserve"> Смесь Nutrilon (Nutricia) Антирефлюкс (с рождения) 400 </t>
  </si>
  <si>
    <t>Петропавл детская больница (№990240006189/260144/00, 18.02.2026) 990240006189</t>
  </si>
  <si>
    <t>Коммунальное государственное предприятие на праве хозяйственного ведения "Городская поликлиника № 4" Управления общественного здравоохранения города Алматы</t>
  </si>
  <si>
    <t>г.Алматы, Бостандыкский район, мкр. Орбита-3 , 12</t>
  </si>
  <si>
    <t xml:space="preserve">Смесь для омлета GlutensizSofra, низкобелковая, 180 </t>
  </si>
  <si>
    <t>Хлеб из обойной муки</t>
  </si>
  <si>
    <t>Вафли низкобелковые Bezgluten, 95 г., с клубничной начинкой</t>
  </si>
  <si>
    <t>Макаронные изделия Amino Spaghetti, низкобелковые, 400</t>
  </si>
  <si>
    <t>Заменитель муки Loprofin Mix, 500 г</t>
  </si>
  <si>
    <t>Мясо ягненка охлажденная, полутуша, II категория</t>
  </si>
  <si>
    <t>Низкобелковые макаронные изделия Aproten Tagliatelle, 250 г</t>
  </si>
  <si>
    <t>Макароны Amino Conchiglie, низкобелковые, 400 г</t>
  </si>
  <si>
    <t xml:space="preserve">Булочка без начинки	</t>
  </si>
  <si>
    <t>Хлеб бутербродный Nutrifree American sandwich, безглютеновый, 240 г</t>
  </si>
  <si>
    <t>Булочка без начинки</t>
  </si>
  <si>
    <t xml:space="preserve"> Булочки Taranis Petits Pains, низкобелковые, безглютеновые, 4х45 г</t>
  </si>
  <si>
    <t>Смесь для приготовления снеков, пицц,крекеров</t>
  </si>
  <si>
    <t>Хлопья клубничные Loprofin SHS Flakes Erdbeergeschmack низкобелковые ,
375 г</t>
  </si>
  <si>
    <t>Конфета глазированная, с желейным корпусам</t>
  </si>
  <si>
    <t xml:space="preserve">Мармелад Okovital Bio-Fruit-Frites безглютеновый, 150 </t>
  </si>
  <si>
    <t xml:space="preserve"> Заменитель яйца GlutensizSofra, низкобелковый, 200 г</t>
  </si>
  <si>
    <t>Низкобелковые макароны Sofra Low-protein Conchiglie Pasta Ракушки, 250 г</t>
  </si>
  <si>
    <t>Вермишель Bezgluten, тонкая, низкобелковая, 250 г</t>
  </si>
  <si>
    <t>Универсальный крем Schlagfix Universal Whipped Cream, с низким
содержанием белка, 200 мл</t>
  </si>
  <si>
    <t>Круассаны Amino COD 0003.0057, низкобелковые, с абрикосовой начинкой,
4x55 г</t>
  </si>
  <si>
    <t>Филе сома, холодного копчения</t>
  </si>
  <si>
    <t>Жидкий напиток с низким содержанием белка Loprofin LQ, 200 мл</t>
  </si>
  <si>
    <t>Кексы Amino Маргарита, лимонные, низкобелковые, 4х52.5 г</t>
  </si>
  <si>
    <t>Алматы 4ГП (№990240003471/260041/00,2026-02-16) бин 990240003471</t>
  </si>
  <si>
    <t>Алматы 4 ГП (№990240003471/260052/00)</t>
  </si>
  <si>
    <t>Макароны МакМастер Безбелковая спираль, 300 г</t>
  </si>
  <si>
    <t>Коммунальное государственное предприятие на праве хозяйственного ведения "Городская поликлиника № 36" Управления общественного здравоохранения города Алматы</t>
  </si>
  <si>
    <t>г.Алматы, Наурызбайский район, мкр. Шугыла, 340 А</t>
  </si>
  <si>
    <t>Заменитель риса Harifen, низкобелковый, 500 г</t>
  </si>
  <si>
    <t>Алматы 36 ГП (№170740011310/260087/00	2026-02-19 14:40:29)</t>
  </si>
  <si>
    <t>Алматы 36 ГП (№170740011310/260076/00	2026-02-16)</t>
  </si>
  <si>
    <t xml:space="preserve">Печенье Bezgluten, с кокосовой начинкой, безглютеновое, 210 </t>
  </si>
  <si>
    <t>Коммунальное государственное предприятие на праве хозяйственного ведения "Городская поликлиника №21" Управления общественного здравоохранения города Алматы</t>
  </si>
  <si>
    <t>г.Алматы, Жетысуский район, мкр.Кокжиек, 66</t>
  </si>
  <si>
    <t>Баранки из пшеничной муки</t>
  </si>
  <si>
    <t>Сушки низкобелковые Taralli 120 гр.</t>
  </si>
  <si>
    <t>Чипсы Curvies 170 гр.</t>
  </si>
  <si>
    <t>Низкобелковое печенье с шоколадной крошкой «Flavis Cookies» 200 гр.</t>
  </si>
  <si>
    <t>Низкобелковое печенье бисквитное «Flavis Frollini» 200 гр.</t>
  </si>
  <si>
    <t xml:space="preserve">Сливки жирность 20-45%	</t>
  </si>
  <si>
    <t>Сливки с низким содержанием белка Белый Арап Ванильный 200 гр.</t>
  </si>
  <si>
    <t>Сливки	жирность 20-45%</t>
  </si>
  <si>
    <t>Сливки с низким содержанием белка Белый Арап Шоколадный 200 гр.</t>
  </si>
  <si>
    <t>Сухари из мучных продуктов, высушенные</t>
  </si>
  <si>
    <t>Низкобелковые сухари «Flavis Fette biscottate» 300 гр.</t>
  </si>
  <si>
    <t>Палочки крупяные пшеничные</t>
  </si>
  <si>
    <t>Палочки Гриссини Темные МакМастер,140г</t>
  </si>
  <si>
    <t>Хлебцы из смеси ржаной и пшеничной муки</t>
  </si>
  <si>
    <t>Крипсы с клубникой Мак Мастер,30гр</t>
  </si>
  <si>
    <t xml:space="preserve">	Крендельки соленые Salinis 60 гр.</t>
  </si>
  <si>
    <t>Крипсы с овощами и грибами Мак Мастер,30гр.</t>
  </si>
  <si>
    <t>Сливки жирность 20-45%</t>
  </si>
  <si>
    <t>Сливки с низким содержанием белка Белый арап 200гр</t>
  </si>
  <si>
    <t>Шоколад десертный, без начинки и без добавок, в пластинах</t>
  </si>
  <si>
    <t>Шоколадный батончик Vitabite 175 гр. (7*25)</t>
  </si>
  <si>
    <t>Смесь хлебопекарная, зерновая</t>
  </si>
  <si>
    <t>Низкобелковая смесь для картофельных крокетсов 300гр</t>
  </si>
  <si>
    <t>Изделия макаронные макароны, из пшеничной муки, сорт 1</t>
  </si>
  <si>
    <t>Крупка низкобелковая 500 гр</t>
  </si>
  <si>
    <t>Flavis Pizza Base основа для пиццы 300гр</t>
  </si>
  <si>
    <t>Смесь омлетная низкобелковая 180г</t>
  </si>
  <si>
    <t>Сливки с низким содержанием белка Белый Арап Клубничные 200 гр.</t>
  </si>
  <si>
    <t>Ассорти из сухариков 240 гр.</t>
  </si>
  <si>
    <t>Ассорти из смесей для выпечки кексов 1200 гр. 3шт (лимонная, ванильный, шоколадный)</t>
  </si>
  <si>
    <t>Изделия макаронные	лапша, из пшеничной муки, сорт 1</t>
  </si>
  <si>
    <t>Лапша бешбармачная Мак Мастер,120г.</t>
  </si>
  <si>
    <t xml:space="preserve">Крипсы со вкусом Сыра Мак Мастер,30гр	</t>
  </si>
  <si>
    <t>Вафли с фундуком с низким содержанием белка с подсластителем 150 г (Wafers) Flavis</t>
  </si>
  <si>
    <t>Низкобелковые макаронные изделия «Flavis Anellini» (колечки) 250 гр.</t>
  </si>
  <si>
    <t>Крипсы со вкусом ПИЦЦЫ Мак Мастер,30гр.</t>
  </si>
  <si>
    <t>Концентрат песочного теста низкобелковый 500 гр.</t>
  </si>
  <si>
    <t xml:space="preserve">Печенье ванильное 100 г	</t>
  </si>
  <si>
    <t>Мука кукурузная, сеяная</t>
  </si>
  <si>
    <t>Смесь безбелковая Мак Мастер 700гр</t>
  </si>
  <si>
    <t>Шоколад низкобелковый CHOCOTINO</t>
  </si>
  <si>
    <t xml:space="preserve">Печенье слоеное	</t>
  </si>
  <si>
    <t>Соломка без соли «Paluszki»; Соломка с солью «Paluszki z zola»</t>
  </si>
  <si>
    <t>Хлебцы	из смеси ржаной и пшеничной муки</t>
  </si>
  <si>
    <t>Крипсы с томатом и зеленью Мак Мастер,30гр.</t>
  </si>
  <si>
    <t>Низкобелковое печенье с ванильной начинкой Vanilla Duo 220гр</t>
  </si>
  <si>
    <t>Сахаристые изделия МакМастер КУБИКИ 75 гр.</t>
  </si>
  <si>
    <t>Печенье шоколадное в белой глазури 100 гр.</t>
  </si>
  <si>
    <t>Низкобелковые макаронные изделия Mevalia 500 гр. (Мелкая трубочка, крупная трубочка, спиральки, спагетти, перья) 500 гр.</t>
  </si>
  <si>
    <t>Шоколад форме зверей низкобелковый 16г</t>
  </si>
  <si>
    <t xml:space="preserve">	Печенье Salti 175 гр.</t>
  </si>
  <si>
    <t>Ассорти десертное 750 гр</t>
  </si>
  <si>
    <t>Заменитель яиц 200 гр.</t>
  </si>
  <si>
    <t>Йогурт без пищевых добавок</t>
  </si>
  <si>
    <t>Ассорти сырно-йогуртовое</t>
  </si>
  <si>
    <t>Смесь для выпечки домашняя «Пекарь» «Piekarz mix domowy maki niskobiatkowy PKU» 500 гр.</t>
  </si>
  <si>
    <t>Крупа овсяная	сорт высший</t>
  </si>
  <si>
    <t xml:space="preserve">	Ассорти для завтраков из каш 450 гр (3 шт.)</t>
  </si>
  <si>
    <t>Смесь универсальная для приготовления теста для пельменей, лапши, блинов Mehl Farine 1000 гр.</t>
  </si>
  <si>
    <t>Смесь для выпечки кексов низкобелковая Cake Mix 500 гр.</t>
  </si>
  <si>
    <t>Хлецы из смеси ржаной и пшеничной муки</t>
  </si>
  <si>
    <t>Крипсы со вкусом паприки Crispies Paprika 100гр.</t>
  </si>
  <si>
    <t>Безбелковый заменитель молока 500 гр.</t>
  </si>
  <si>
    <t>Смесь для наггетсов низкобелковая 200гр</t>
  </si>
  <si>
    <t>Заменитель курятины низкобелковый 180гр</t>
  </si>
  <si>
    <t xml:space="preserve">Печенье сдобное	</t>
  </si>
  <si>
    <t>Крекеры «Crackers» 210 гр.</t>
  </si>
  <si>
    <t>Крипсы с овощами "Мексиканская смесь" Мак Мастер,30гр</t>
  </si>
  <si>
    <t xml:space="preserve">	Печенье Звездочки</t>
  </si>
  <si>
    <t xml:space="preserve">	Маффины с абрикосовым джемом Magdalenas 200гр</t>
  </si>
  <si>
    <t>Низкобелковые бисквитные трубочки с клубничной начинкой «Mevalia Fruit Bar» 125 гр.</t>
  </si>
  <si>
    <t>Низкобелковая смесь для выпечки хлеба«Flavis Bread Mix» 500 гр.</t>
  </si>
  <si>
    <t>Низкобелковая Смесь для колбасок мягкая 180гр</t>
  </si>
  <si>
    <t>Ассорти из булочек 12 штук</t>
  </si>
  <si>
    <t>Крендельки луковые «Precelki cebulove»</t>
  </si>
  <si>
    <t>Низкобелковая смесь для приготовления бургеров «Mevalia Burger Mix» 350 гр.</t>
  </si>
  <si>
    <t>Детская поликлиника Караганда</t>
  </si>
  <si>
    <t xml:space="preserve">ТОО «Детская поликлиника 1» </t>
  </si>
  <si>
    <t xml:space="preserve">Карагандинская область, 
г.Караганда, Луначарского, 1 </t>
  </si>
  <si>
    <t>Comida PKU B Formula</t>
  </si>
  <si>
    <t>Сушки Таралли Taralli безглютеновые низкобелковые Dr.Schär</t>
  </si>
  <si>
    <t>Заменитель яиц Balviten</t>
  </si>
  <si>
    <t>Сливки универсальные 43% безбелковыe Schlagfix</t>
  </si>
  <si>
    <t>Сухой завтрак ШОКОЛАДНЫЕ КОЛЕЧКИ безбелковый</t>
  </si>
  <si>
    <t>Молочный напиток PKU drink LQ низкобелковый</t>
  </si>
  <si>
    <t>Смесь для выпечки Пекарь Balviten Baker</t>
  </si>
  <si>
    <t>Заменитель муки Лопрофин</t>
  </si>
  <si>
    <t>Крендельки солёные Салинис Salinis Dr.Schär</t>
  </si>
  <si>
    <t>Чипсы безглютеновые Dr.Schär Original</t>
  </si>
  <si>
    <t>Колбаса картофельная ливерная PKU Metzgerei</t>
  </si>
  <si>
    <t>Каша lp-fruity груша низкобелковая Milupa</t>
  </si>
  <si>
    <t>Концентрат песочного теста Balviten</t>
  </si>
  <si>
    <t>Низкобелковые бисквитные трубочки Mevalia</t>
  </si>
  <si>
    <t>Печенье с шоколадной крошкой CHOCO CHIP</t>
  </si>
  <si>
    <t>Макароны СПАГЕТТИ SPAGHETTI APROTEN</t>
  </si>
  <si>
    <t>Печенье акула без глютена Gullon Dibus</t>
  </si>
  <si>
    <t>Сосиски по-венски Wiener Art Loprofin</t>
  </si>
  <si>
    <t>Мучная смесь для блинов и вафель TARANIS</t>
  </si>
  <si>
    <t>Заменитель яйца Ei-Ersatz Hammermühle</t>
  </si>
  <si>
    <t>Картофельное пюре Арт лайф</t>
  </si>
  <si>
    <t>Мармелад "Червячки" с кислинкой фруктовый</t>
  </si>
  <si>
    <t>Сыр Wilmersburger Stück Classic (кусок)</t>
  </si>
  <si>
    <t>Хлопья медовые lp-flakes Milupa</t>
  </si>
  <si>
    <t>Мука низкобелковая 1кг Anadolu Tanem</t>
  </si>
  <si>
    <t>Смесь для кекса Bezgluten muffin mix pku</t>
  </si>
  <si>
    <t>Молоко pro zerо</t>
  </si>
  <si>
    <t>Шоколад Knusperkrossi с хлопьями Huber</t>
  </si>
  <si>
    <t>Шоколад Kokosina с кокосом Huber</t>
  </si>
  <si>
    <t>Сыр Wilmersburger Pizzaschmelz Classic</t>
  </si>
  <si>
    <t>Суп-крем "По-французски" АртЛайф</t>
  </si>
  <si>
    <t>Макароны спагетти низкобелковые Metax</t>
  </si>
  <si>
    <t>Печенье кокосовое Bezgluten</t>
  </si>
  <si>
    <t>Хлебобулочные изделия Amino</t>
  </si>
  <si>
    <t>Мука низкобелковая Nutri Free Mix per Dolci</t>
  </si>
  <si>
    <t>Мука низкобелковая Nutri Free Mix per Pane</t>
  </si>
  <si>
    <t xml:space="preserve">
Коммунальное государственное предприятие «Поликлиника №2 города Темиртау» управления здравоохранения Карагандинской области</t>
  </si>
  <si>
    <t>Карагандинская область, г.Темиртау, Абая, 53Б</t>
  </si>
  <si>
    <t>Низкобелковая гречневая каша, Макмастер, 150 гр</t>
  </si>
  <si>
    <t>Сливки КЛАССИЧЕСКИЕ низкобелковые Белый Арап, 200 мл</t>
  </si>
  <si>
    <t xml:space="preserve">Крипсы с ОВОЩАМИ "Мексиканская смесь" низкобелковые безглютеновые МакМастер, 30гр	</t>
  </si>
  <si>
    <t>Мука из люцерны</t>
  </si>
  <si>
    <t>Мука ANADOLU TANEM низкобелковая PKU SOFRA, 1000г.</t>
  </si>
  <si>
    <t>Батончик для диетического профилактического питания, фруктовый</t>
  </si>
  <si>
    <t>Фруктовые батончики FRUIT BAR с клубникой низкобелковые FLAVIS, 5х25г, 125гр</t>
  </si>
  <si>
    <t>Низкобелковая кукурузная каша. Макмастер, 150гр.</t>
  </si>
  <si>
    <t>Шоколад	молочный, с начинкой, в плитках</t>
  </si>
  <si>
    <t>Шоколадные плитки БЕЛЫЕ низкобелковые МакМастер, 80гр</t>
  </si>
  <si>
    <t>НИЗКОБЕЛКОВАЯ КАША МакМастер, 150 гр</t>
  </si>
  <si>
    <t>Сливки с минимальным содержанием фенилаланина, 200мл</t>
  </si>
  <si>
    <t>Сушки Таралли Taralli безглютеновые низкобелковые Dr.Schär, 120г</t>
  </si>
  <si>
    <t>Низкобелковая фруктовая каша Макмастер, 150гр.</t>
  </si>
  <si>
    <t>Сухари панировочные кукурузные низкобелковые МакМастер, 200гр</t>
  </si>
  <si>
    <t>Коммунальное государственное предприятие «Поликлиника № 4 города Темиртау» управления здравоохранения Карагандинской области</t>
  </si>
  <si>
    <t>Карагандинская область, г.Темиртау, 9 микрорайон , 43А</t>
  </si>
  <si>
    <t>Крупка гречневая Увелк</t>
  </si>
  <si>
    <t>Заменитель рыбы низкобелковая Taranis</t>
  </si>
  <si>
    <t>Milupa metabolics lp-drink -Choco 375г</t>
  </si>
  <si>
    <t>Заменитель мясо низкобелковая Taranis</t>
  </si>
  <si>
    <t>низкбелковое печенье Amino prodotto
ipoproteico Matinee 180гр/у</t>
  </si>
  <si>
    <t>Астана 4 ГП(№070440005285/260102/00	2026-02-18)</t>
  </si>
  <si>
    <t>Крупа гречневая сорт №1</t>
  </si>
  <si>
    <t>Крупка гречневая низкобелковая (в варочных пакетиках), 5х80г</t>
  </si>
  <si>
    <t>Сосиска говяжья</t>
  </si>
  <si>
    <t>Сосиски низкобелковые</t>
  </si>
  <si>
    <t>Яйцо куриное, диетическое, отборное</t>
  </si>
  <si>
    <t xml:space="preserve">Низкобелковая смесь для омлета с овощами </t>
  </si>
  <si>
    <t>Мука пшеничная, сорт высший, из твердых сортов пшеницы</t>
  </si>
  <si>
    <t>Мучная смесь для блинов, вафель низкобелковая, 300</t>
  </si>
  <si>
    <t>Крупа гречневая сорт высший</t>
  </si>
  <si>
    <t>Каша низкобелковая</t>
  </si>
  <si>
    <t>Каша фруктовая для детей</t>
  </si>
  <si>
    <t>Смесь для выпечки домашняя «Пекарь»</t>
  </si>
  <si>
    <t>Сыр плавленый</t>
  </si>
  <si>
    <t>Сыр безбелковый, 200г</t>
  </si>
  <si>
    <t>Мучная смесь для выпечки безбелковая, 700г</t>
  </si>
  <si>
    <t>Рис очищенный, среднезерный, полированный</t>
  </si>
  <si>
    <t>Рис низкобелковый 500г</t>
  </si>
  <si>
    <t xml:space="preserve">Заменитель яйца без глютена </t>
  </si>
  <si>
    <t>Мучная смесь для блинов и вафель низкобелковая TARANIS, 300г Taranis</t>
  </si>
  <si>
    <t>Шоколад обыкновенный, без начинки с добавкой, в плитках</t>
  </si>
  <si>
    <t>Ассорти низкобелковых шоколадов Sofra GlutensizSofra 100 гр упаковка,</t>
  </si>
  <si>
    <t>Каша lp-fruity груша низкобелковая Milupa, 300г</t>
  </si>
  <si>
    <t>Молоко сухое быстрорастворимое низкобелковое lp-drink Milupa Nutricia 400 гр</t>
  </si>
  <si>
    <t xml:space="preserve"> Макароны ВЕРМИШЕЛЬ безбелковые Софра, 250 г</t>
  </si>
  <si>
    <t>Темиртау 2ГП (№990140002390/260061/00	2026-02-18)</t>
  </si>
  <si>
    <t xml:space="preserve">Заменитель яиц Balviten, 200гр	</t>
  </si>
  <si>
    <t>Nutrifree Мучная смесь для хлеба, 1кг.</t>
  </si>
  <si>
    <t>Шоколад молочный, с начинкой, в плитках</t>
  </si>
  <si>
    <t>Сахаристые изделия MacMaster - Кубики, 750 гр</t>
  </si>
  <si>
    <t>Смесь для выпечки КУКУРУЗНАЯ безглютеновая МакМастер, 700г</t>
  </si>
  <si>
    <t>Низкобелковая  смесь для выпечки хлеба «Andolu» , Sofra Турция, 1000 гр</t>
  </si>
  <si>
    <t>Печенье безглютеновое со вкусом какао Gullon Sharkies, 250гр.</t>
  </si>
  <si>
    <t>Печенье низкобелковое Markizy jiasne z nadzieniem toffi Balviten, 150гр</t>
  </si>
  <si>
    <t>Печенье с шоколадной крошкой Cookies низкобелковое FLAVIS, 200г</t>
  </si>
  <si>
    <t>Крекеры CRACKER низкобелковые FLAVIS, 4х30гр</t>
  </si>
  <si>
    <t>Сахаристые изделия МакМастер Плитка черная, 800 гр</t>
  </si>
  <si>
    <t>Смесь	хлебопекарная, зерновая</t>
  </si>
  <si>
    <t>Смесь для выпечки ХЛЕБА И ПАСТЫ низкобелковая Bezgluten, 1000г</t>
  </si>
  <si>
    <t>Макароны короткие трубочки FLAVIS, 500 гр</t>
  </si>
  <si>
    <t>Печенье Мария Maria безглютеновое низкобелковое , Dr.Schär, 125гр.</t>
  </si>
  <si>
    <t>Вафли с фундуком WAFERS низкобелковые FLAVIS, 3х50г, 150гр</t>
  </si>
  <si>
    <t>Печенье песочное Frollini, 200гр</t>
  </si>
  <si>
    <t>Вафли с лимонным кремом низкобелковые BEZGLUTEN, 090гр.</t>
  </si>
  <si>
    <t>Печенье с шоколадной крошкой CHOCO CHIP Mevalia, 200гр</t>
  </si>
  <si>
    <t>Концентрат песочного теста Balviten, 500гр</t>
  </si>
  <si>
    <t>Шоколад со вкусом клубники Strawberry Flavored Chocolate низкобелковый PKU SOFRA, 25гр</t>
  </si>
  <si>
    <t>Низкобелковое печенье с шоколадной крошкой без глютена LOW PROTEIN AND GLUTEN FREE CHOCOLATE CHIP COOKIE Sofra, 200гр</t>
  </si>
  <si>
    <t>Шоколад со вкусом апельсина Orange Flavored Chocolate низкобелковый PKU SOFRA, 25гр.</t>
  </si>
  <si>
    <t>Булочки для сэндвича Амино 200гр</t>
  </si>
  <si>
    <t>Смесь хлебопекарная, овощная</t>
  </si>
  <si>
    <t>Основа для пиццы PIZZA BASE низкобелковая FLAVIS, 2х150, 300гр</t>
  </si>
  <si>
    <t xml:space="preserve">Изделия макаронные	лапша, крахмальная </t>
  </si>
  <si>
    <t>Pizzaboden vorgebacken (основание для пиццы 3 коржа) Hammermuhle, 450гр.</t>
  </si>
  <si>
    <t>Макароны низкобелковые в ассортименте Balviten паутинка Thin-Cienka, 250гр</t>
  </si>
  <si>
    <t>Печенье с джемом ВОСТОРГ низкобелковое Чудесница, 200гр</t>
  </si>
  <si>
    <t>Печенье Salti Dr.Schär Италия, 175гр.</t>
  </si>
  <si>
    <t>Картофельное пюре для дранников, 210 гр.</t>
  </si>
  <si>
    <t>Мука Mix it Farina Dr Shar Италия, 500гр</t>
  </si>
  <si>
    <t>Печенье ЭТЮД низкобелковое Чудесница, 200гр</t>
  </si>
  <si>
    <t xml:space="preserve">	Печенье НОВЕЛЛА низкобелковое Чудесница, 200г</t>
  </si>
  <si>
    <t>Смесь для выпечки домашней пиццы. Продукт не содержит молоко и яйца. На 100 г: белки 0,2 г,фенилаланин 3,45 мг, 500 гр</t>
  </si>
  <si>
    <t>Смесь для выпечки Пекарь Balviten Baker, 500 гр</t>
  </si>
  <si>
    <t>Paniermehl (панировочные сухари) Amino, 250 гр</t>
  </si>
  <si>
    <t>Смесь овощная, замороженная</t>
  </si>
  <si>
    <t>Ассорти из смесей для выпечки кексов, 200гр.</t>
  </si>
  <si>
    <t>Издели  макаронные	спагетти, из пшеничной муки, сорт высший</t>
  </si>
  <si>
    <t>Макароны низкобелковые в ассортименте Мак Мастер, 300 гр</t>
  </si>
  <si>
    <t>Сахаристые изделия МакМастер Плитка белая, 800 гр</t>
  </si>
  <si>
    <t>Вафли с шоколадным кремом низкобелковые BEZGLUTEN, 90гр</t>
  </si>
  <si>
    <t>Коммунальное государственное предприятие на праве хозяйственного ведения «Курмангазинская районная больница» Управления здравоохранения Атырауской области»</t>
  </si>
  <si>
    <t>Атырауская область, Курмангазинский район, с.Құрманғазы улица Шафхат Бекмухамедова, 27</t>
  </si>
  <si>
    <t>Курмангазы РБ (№070240006206/260088/00, 02.03.2026) БИН 070240006206</t>
  </si>
  <si>
    <t>Темиртау 4 ГП №090140006444/260119/00 	2026-02-19 бин 090140006444</t>
  </si>
  <si>
    <t>Темиртау 4 ГП (№090140006444/260116/00 	2026-02-17), бин 090140006444</t>
  </si>
  <si>
    <t>Коммунальное государственное
предприятие на праве хозяйственного
ведения "Поликлиника № 9 города Семей"
управления здравоохранения области
Абай</t>
  </si>
  <si>
    <t>область Абай, г.Семей, Стаханова, 17</t>
  </si>
  <si>
    <t>Картофель (ломтики, соломка, чипсы) обжаренный/подсушенный</t>
  </si>
  <si>
    <t>Булочки МакМастер ассорти безбелковые безглютеновые, 300 г</t>
  </si>
  <si>
    <t xml:space="preserve">Печенье сахарное </t>
  </si>
  <si>
    <t xml:space="preserve"> Вафли Bezgluten с лимонной начинкой, низкобелковые, 90 г</t>
  </si>
  <si>
    <t xml:space="preserve">Мука фосфоритная, сорт А </t>
  </si>
  <si>
    <t xml:space="preserve"> Смесь низкобелковая для овощного супа Sofra Low-protein Vegetable Soup Mix
20 г</t>
  </si>
  <si>
    <t>Молоко сухое Milupa lp-drink Choco низкобелковое, 375 г</t>
  </si>
  <si>
    <t>Какао-порошок с сахаром</t>
  </si>
  <si>
    <t xml:space="preserve"> Молоко сухое Milupa lp-drink низкобелковое, 400 г</t>
  </si>
  <si>
    <t>Сухарики Крутон МакМастер со вкусом пиццы, 80 г</t>
  </si>
  <si>
    <t>Мясо ягненка охлажденная, туша, I категори</t>
  </si>
  <si>
    <t xml:space="preserve"> Колбаса Loprofin Paprikalyoner Art, с перцем, низкобелковая, 195 г</t>
  </si>
  <si>
    <t xml:space="preserve">Изделия макаронные спагетти, из пшеничной муки, сорт высший </t>
  </si>
  <si>
    <t>Макароны низкобелковые Loprofin Conchiglie Королевские ракушки, 500 г</t>
  </si>
  <si>
    <t>Гречневая каша МакМастер низкобелковая, 150 г</t>
  </si>
  <si>
    <t>Печенье безбелковое без глютена МакМастер Звездочки, с луком 50 г</t>
  </si>
  <si>
    <t>Батончик фруктовый Flavis Fruit Bar с клубничной начинкой низкобелковый,
125 г/5 шт</t>
  </si>
  <si>
    <t>Заменитель сухих сливок Белый Арап Классический 200 г</t>
  </si>
  <si>
    <t>Коммунальное государственное предприятие на праве хозяйственного ведения "Риддерская городская больница" управления здравоохранения Восточно-Казахстанского областного акимата</t>
  </si>
  <si>
    <t>Восточно-Казахстанская область, г.Риддер, Тохтарова, 4а</t>
  </si>
  <si>
    <t>Мука	соевая, обезжиренная</t>
  </si>
  <si>
    <t>Сухари	из мучных продуктов, высушенные</t>
  </si>
  <si>
    <t>Вафли	с пралиновыми начинками</t>
  </si>
  <si>
    <t>Вафли Flavis с фундуком с низким содержанием белка, с подсластителем, 150
г</t>
  </si>
  <si>
    <t>Низкобелковый молочный напиток Mevalia Lattis, 500 мл</t>
  </si>
  <si>
    <t>Изделия макаронные	сочни, из пшеничной муки, сорт высший</t>
  </si>
  <si>
    <t>Макароны Flavis "Anellini" низкобелковые, колечки 250 гр</t>
  </si>
  <si>
    <t>Рис	необрушенный, тип 3</t>
  </si>
  <si>
    <t>Низкобелковый заменитель риса Mevalia Rice, 400 г</t>
  </si>
  <si>
    <t>Мастичный пудинг GlutensizSofra замороженный, безглютеновый, 120 гр</t>
  </si>
  <si>
    <t>Хлеб	из ржаной муки</t>
  </si>
  <si>
    <t>Хлеб темный МакМастер безбелковый ароматный, 300 г</t>
  </si>
  <si>
    <t>Мука	картофельная, сорт высший</t>
  </si>
  <si>
    <t>Смесь для супа Glutensiz Sofra Эзо Гелин, низкобелковая, 20 г</t>
  </si>
  <si>
    <t>Печенье FLAVIS Frollini низкобелковое, 200 г</t>
  </si>
  <si>
    <t>Заменитель мяса для гамбургеров Mevalia Burger Mix, низкобелковый, 350 г</t>
  </si>
  <si>
    <t>Мука	пшенично-ржаная, сорт 2</t>
  </si>
  <si>
    <t>Смесь мучная Dr.Schar Farine Mehl, 1 кг</t>
  </si>
  <si>
    <t>Картофельное пюре МакМастер низкобелковое с овощами, 140 г</t>
  </si>
  <si>
    <t>Смесь Flavis bread mix низкобелковая, 500 г</t>
  </si>
  <si>
    <t>Смесь для выпечки кексов Mevalia Cake Mix, 500 г</t>
  </si>
  <si>
    <t>Печенье	с кремовыми начинками</t>
  </si>
  <si>
    <t>Соломка низкобелковая Balviten "Paluszki" 70 г</t>
  </si>
  <si>
    <t>Шоколад	десертный, без начинки и без добавок, в брикетах</t>
  </si>
  <si>
    <t>Шоколад	десертный, без начинки и без добавок, в плитках</t>
  </si>
  <si>
    <t>Сахаристые изделия МакМастер Плитка белая, 80 г</t>
  </si>
  <si>
    <t>Изделия макаронные МакМастер Крупка, безбелковые, безглютеновые, 500 г</t>
  </si>
  <si>
    <t>Шоколад	десертный, без начинки и без добавок, в пластинах</t>
  </si>
  <si>
    <t>Заменитель риса Flavis rice, 400 гр</t>
  </si>
  <si>
    <t>Семей 9 ГП(№080640000888/260085/00 2026-02-26) бин 080640000888</t>
  </si>
  <si>
    <t>Риддер РБ (№990440001750/260147/00   09/02/2026) БИН 990440001750</t>
  </si>
  <si>
    <t>Хлопья безглютеновые, кукурузные, 250 гр</t>
  </si>
  <si>
    <t>Аминокислотные круассаны с абрикосовой начинкой — 220г — 48мг PHE / 100г Круассаны</t>
  </si>
  <si>
    <t>Молочный напиток PKU dalia низкобелковый , 200мл</t>
  </si>
  <si>
    <t>Смесь для картофельных крокетов Potato Croquette Mix низкобелковая , 300г</t>
  </si>
  <si>
    <t>Рис с низким содержанием белка — саше 200 гр</t>
  </si>
  <si>
    <t>Мучная смесь для блинов и вафель низкобелковая , 300г</t>
  </si>
  <si>
    <t>Смесь для овощного омлета Vegetable Omelet Mix низкобелковая , 180г</t>
  </si>
  <si>
    <t>Мармелад " Червячки ","мишка" с кислинкой низкобелковый Фруктовый ,80г</t>
  </si>
  <si>
    <t>Вафли низкобелковые, 95 г., с клубничной начинкой</t>
  </si>
  <si>
    <t>Рис с низким содержанием белка 1000 г невареный 15 мг PHE / 100 г</t>
  </si>
  <si>
    <t>Заменитель курятины Chicken Substitute низкобелковый , 180г</t>
  </si>
  <si>
    <t>Заменитель ризотто 1,2 кг, готовый продукт</t>
  </si>
  <si>
    <t>Заменитель мясо низкобелковая , 248 гр.</t>
  </si>
  <si>
    <t>Чипсы с низким содержанием белка — с солью и паприка 140 гр</t>
  </si>
  <si>
    <t>Кексы Cake CITRON со вкусом лимона и обрикоса ,240гр</t>
  </si>
  <si>
    <t>Заменитель мяса Meat Substitute низкобелковый PKU, 180г</t>
  </si>
  <si>
    <t>Заменитель рыбы низкобелковая 248 гр</t>
  </si>
  <si>
    <t>Вафли с лимонной начинкой, низкобелковые, 90 г</t>
  </si>
  <si>
    <t>Чиабатта CIABATTINE низкобелковая , 4х65г</t>
  </si>
  <si>
    <t>Аминокислотные круассаны — 200 г — 61 мг PHE / 100 г без начинки Круассаны</t>
  </si>
  <si>
    <t>Макароны лапша низкобелковые софра, 250г</t>
  </si>
  <si>
    <t>Заменитель риса Rice Substitute низкобелковый PKU , 300г</t>
  </si>
  <si>
    <t>Лимонный, малиновый пудинг без глютена, 120 г низкобелковый замороженный продукт</t>
  </si>
  <si>
    <t>Низкобелковая мука для выпечки , 1 кг</t>
  </si>
  <si>
    <t>Смесь колбасная нежная Bland Sausage Mix низкобелковая , 180г</t>
  </si>
  <si>
    <t>панировочные сухари для нагетсов 200 гр.</t>
  </si>
  <si>
    <t>Смесь котлетная для гамбургеров Hamburger Patties Mix низкобелковая PKU , 300г</t>
  </si>
  <si>
    <t>Apricot — 290г — 37мг PHE / 100г Apricot специально</t>
  </si>
  <si>
    <t>Низкобелковая смесь для выпечки хлеба 1000 гр</t>
  </si>
  <si>
    <t>Алматы 13ГП(№011240001891/260011/00	2026-01-15), БИН 011240001891</t>
  </si>
  <si>
    <t>Коммунальное государственное предприятие на праве хозяйственного ведения "Городская поликлиника № 13" Управления общественного здравоохранения города Алматы</t>
  </si>
  <si>
    <t>г.Алматы, Проспект СЕЙФУЛЛИНА, 97/32</t>
  </si>
  <si>
    <t>Алматы 13ГП (№011240001891/260010/00 2026-01-15)</t>
  </si>
  <si>
    <t>Алматы 13ГП(№011240001891/260009/00 2026-01-15)</t>
  </si>
  <si>
    <t>Мука фосфоритная, сорт С</t>
  </si>
  <si>
    <t>Алматы 13ГП 	(№011240001891/260008/00 2026-01-15)</t>
  </si>
  <si>
    <t>Смесь для омлета GlutensizSofra, низкобелковая, 180 г</t>
  </si>
  <si>
    <t>Алматы 13 ГП(№011240001891/260006/00 2026-01-15)</t>
  </si>
  <si>
    <t>Вафли с жировыми начинками</t>
  </si>
  <si>
    <t>Печенье апельсиновое GlutensizSofra, безглютеновое, 85 г</t>
  </si>
  <si>
    <t>Алматы 13 ГП(№011240001891/260005/00 2026-01-15)</t>
  </si>
  <si>
    <t>Государственное коммунальное
предприятие на праве хозяйственного
ведения "Сайрамская центральная
районная больница" управления
здравоохранения Туркестанской области</t>
  </si>
  <si>
    <t>Туркестанская область, Сайрамский
район, с.Алаш, Б.КЫСТАУБАЕВА, 11А</t>
  </si>
  <si>
    <t>Картофель
(ломтики,
соломка,
чипсы)
обжаренный/подсушенный</t>
  </si>
  <si>
    <t>Изделия
макаронные
сочни, из пшеничной
муки, сорт высший</t>
  </si>
  <si>
    <t>Крупа
пшеничная крупная</t>
  </si>
  <si>
    <t>Продукт специализированный, для
энтерального питания</t>
  </si>
  <si>
    <t>Сарделька говяжья</t>
  </si>
  <si>
    <t>Изделия
макаронные
спагетти, из пшеничной
муки, сорт высший</t>
  </si>
  <si>
    <t>Государственное коммунальное предприятие на праве хозяйственного ведения: "Кордайская центральная районная больница управления здравоохранения акимата Жамбылской области"</t>
  </si>
  <si>
    <t>КАЗАХСТАН, Жамбылская область, Кордайский район, с.Кордай, ул.Толе би 54</t>
  </si>
  <si>
    <t>Какао-порошок изкобелковый с йодом и витаминами АртЛайф, 400г</t>
  </si>
  <si>
    <t>Смесь котлетная для гамбургеров Hamburger Patties Mix низкобелковая PKU SOFRA, 300г</t>
  </si>
  <si>
    <t>Шоколад со вкусом апельсина Chocolate низкобелковый PKU SOFRA, 25г</t>
  </si>
  <si>
    <t>Смеси для выпечки кексов (лимонная, ванильная,шоколадная ) 1000гр sofra</t>
  </si>
  <si>
    <t>COMIDA-PKU B формула является смесью, не содержащий фенилалалин ,и предназначен для диетического лечения фенилкетонурии (ФКУ) 400 гр.</t>
  </si>
  <si>
    <t>Мука низкобелковая 1 кг Andoly Sofra Турция</t>
  </si>
  <si>
    <t>Шоколад "Софра" низкобелковый с клубничной начинкой, 25 гр</t>
  </si>
  <si>
    <t>панировочные сухари для нагетсов 200 гр.Sofra Турция</t>
  </si>
  <si>
    <t>Макароны ГНЁЗДА TAGLIATELLE низкобелковые софрв ,250 гр</t>
  </si>
  <si>
    <t>Низкобелковые смесь картофельные крокеты 300 гр.</t>
  </si>
  <si>
    <t>суп овощной 20 гр Софра Турция</t>
  </si>
  <si>
    <t>макароны лапша по домашнему софра 250гр</t>
  </si>
  <si>
    <t>Крем-паста со вкусом лесного ореха и шоколадный Cream Spread низкобелковая PKU SOFRA,300 гр</t>
  </si>
  <si>
    <t>Основа для пиццы PIZZA низкобелковая Sofra 200 гр.</t>
  </si>
  <si>
    <t>Шоколадные ложечки Spoon Chocolate низкобелковые PKU SOFRA, 6х10г</t>
  </si>
  <si>
    <t>Овощные трубочки АССОРТИ ( маленькая упаковка)низкобелковые САRАМВА,35 гр</t>
  </si>
  <si>
    <t>Батончик «Харифен» с абрикосовой начинкой 6 шт 125 гр.</t>
  </si>
  <si>
    <t>Молоко сухое Ip-drink низкобелковое Milupa, 400г шоколадное</t>
  </si>
  <si>
    <t>Мармелад "Червячки" с кислинкой низкобелковый фруктовый ,100гр</t>
  </si>
  <si>
    <t>Безглютеновые низкобелковые вафли с лимонной начинкой — 90 г — менее 6 мг PHE / 100 г</t>
  </si>
  <si>
    <t>Макароны ВЕРМИШЕЛЬ безбелковые Софра, 250 г</t>
  </si>
  <si>
    <t>Кусочек Шоколадного Кекса 144 гр. Софра</t>
  </si>
  <si>
    <t>супы готовые, низкобелковые, ассорти 20 гр. Арт лайф Россия</t>
  </si>
  <si>
    <t>Сухие завтраки софра 250 гр кукурузные и шоколадные</t>
  </si>
  <si>
    <t>Низкобелковое шоколадное печенье с шоколадной крошкой sofra 100 гр</t>
  </si>
  <si>
    <t>Заменитель курятины Chicken Substitute низкобелковый PKU</t>
  </si>
  <si>
    <t>Безглютеновый бублик (2 штуки) софра 190 гр.</t>
  </si>
  <si>
    <t>хлеб низкобелковый белый и черный 250 гр</t>
  </si>
  <si>
    <t>Заменитель мяса Meat Substitute низкобелковый PKU SOFRA, 180г</t>
  </si>
  <si>
    <t>Смесь для овощного омлета Vegetable Omelet Mix низкобелковая PKU SOFRA, 180г</t>
  </si>
  <si>
    <t>Чипсы с низким содержанием белка — паприка 70 гр. Besgluten crisps</t>
  </si>
  <si>
    <t>Пюре картофельное с жареным луком низкобелковое АртЛайф, 30г</t>
  </si>
  <si>
    <t>Шоколадные капли Chocolate Drops низкобелковые PKU SOFRA, 50г</t>
  </si>
  <si>
    <t xml:space="preserve">Алматы 36ГП (№170740011310/260065/00. 11/02/26) БИН 170740011310 </t>
  </si>
  <si>
    <t>Вафли  с фруктовыми начинками</t>
  </si>
  <si>
    <t>Макароны спагетти низкобелковые MetaX, 500 г</t>
  </si>
  <si>
    <t>Основа для пиццы FLAVIS PIZZA BASE, низкобелковая , 2×150г</t>
  </si>
  <si>
    <t>Изделия макаронные	вермишель, из пшеничной муки, сорт высший</t>
  </si>
  <si>
    <t>Макароны Sofra Vermicelli Low-protein Vermicelli, вермишель низкобелковые, 250 г</t>
  </si>
  <si>
    <t>Булочка	без начинки</t>
  </si>
  <si>
    <t>Мука	рисовая, сеяная</t>
  </si>
  <si>
    <t>Шоколад	молочный, с начинкой, в брикетах</t>
  </si>
  <si>
    <t>Коммунальное государственное предприятие на праве хозяйственного ведения "Городская поликлиника №22" Управления общественного здравоохранения города Алматы</t>
  </si>
  <si>
    <t>г.Алматы, Микрорайон ШАНЫРАК-2 , Улица ЖАНКОЖА БАТЫР, 193А</t>
  </si>
  <si>
    <t>Сясное ассорти Loprofin Zum Aufschneiden Paprikalyoner Art, с низким
содержанием белка, 195 г</t>
  </si>
  <si>
    <t xml:space="preserve"> Вафли низкобелковые Bezgluten, 95 г., с клубничной начинкой</t>
  </si>
  <si>
    <t>Низкобелковая смесь для гамбургеров Sofra Low-protein Hamburger Patties
Mix 300 г</t>
  </si>
  <si>
    <t>Безглютеновый низкобелковый хлеб Sofra Low Protein Gluten-free bread 250 г</t>
  </si>
  <si>
    <t>Смесь	для выпечки блинов,оладий</t>
  </si>
  <si>
    <t>Пирожное	слоеное</t>
  </si>
  <si>
    <t>Кексы Taranis ABRICOT, со вкусом абрикоса, низкобелковые, 240 г.</t>
  </si>
  <si>
    <t>Крупа пшеничная	средняя</t>
  </si>
  <si>
    <t xml:space="preserve"> Безглютеновый хлеб Sofra Gluten-free Bagel, 290 г</t>
  </si>
  <si>
    <t>Булочка	с начинкой</t>
  </si>
  <si>
    <t>Печенье Glutensiz Sofra, с шоколадной крошкой, без глютена, 100 гр.</t>
  </si>
  <si>
    <t>Шоколад со вкусом апельсина Sofra Orange Flavored Chocolate
низкобелковый, 25 г</t>
  </si>
  <si>
    <t>Сосиски Loprofin Metzgers Beste Fränkische Art, 222 г</t>
  </si>
  <si>
    <t>Крупа пшеничная	мелкодробленая</t>
  </si>
  <si>
    <t>Каша Milupa lp-fruity, яблоко-банан, низкобелковая, 300 г.</t>
  </si>
  <si>
    <t>Алматы 22ГП  	(№100740012346/260055/00.     23.02.2026)     БИН 100740012346</t>
  </si>
  <si>
    <t>Коммунальное государственное предприятие «Поликлиника №2 города Темиртау» управления здравоохранения Карагандинской области</t>
  </si>
  <si>
    <t>НИЗКОБЕЛКОВАЯ КАША МакМастер, 150гр</t>
  </si>
  <si>
    <t>Снеки картофельные со вкусом лобстера низкобелковые CARAMBA, 100гр.</t>
  </si>
  <si>
    <t>Сыр Пармезан "VEGPARMESAN" (кусок) безбелковый Green Idea, 200гр</t>
  </si>
  <si>
    <t>Сыр Гауда "VEGGOUDA" (нарезка) безбелковый Green Idea, 150гр</t>
  </si>
  <si>
    <t>Каша "5 злаков" с абрикосом и льном низкобелковая АртЛайф, 30гр</t>
  </si>
  <si>
    <t>Хлопья медовые lp-flakes низкобелковые Milupa, 375гр</t>
  </si>
  <si>
    <t>Рис Reis желтый низкобелковый MetaX 500гр</t>
  </si>
  <si>
    <t>Сливки КЛАССИЧЕСКИЕ низкобелковые Белый Арап, 200гр</t>
  </si>
  <si>
    <t>Смесь для выпечки кексов Cake mix, 500 гр.</t>
  </si>
  <si>
    <t>Сыр Моцарелла "VEGMOZZARELLA" (тёртый) безбелковый Green Idea, 200гр</t>
  </si>
  <si>
    <t>Темиртау 2ГП 	(№990140002390/260070/00,   23.02.2026)    БИН 990140002390</t>
  </si>
  <si>
    <t>Государственное коммунальное предприятие "Мартукская районная больница" на праве хозяйственного ведения государственного учреждения "Управление здравоохранения Актюбинской области"</t>
  </si>
  <si>
    <t>Актюбинская область, Мартукский район, с.Мартук, АКБУЛАКСКАЯ, 1</t>
  </si>
  <si>
    <t>Безбелковый заменитель Молока 500,0 гр. Лечебные продукты для детей больных ФКУ.</t>
  </si>
  <si>
    <t>Мартукская РБ  (№990240006713/260045/00         23.02.2026)   БИН 990240006713</t>
  </si>
  <si>
    <t>Актюбинская область, г.Актобе, район Астана, ул.Бр.Жубановых , 293Б</t>
  </si>
  <si>
    <t>Государственное коммунальное предприятие "Городская поликлиника №4" на праве хозяйственного ведения государственного учреждения "Управление здравоохранения Актюбинской области"</t>
  </si>
  <si>
    <t>Печенье 	слоеное</t>
  </si>
  <si>
    <t>Печенье	 слоеное</t>
  </si>
  <si>
    <t xml:space="preserve">Актобе 4ГП 	(№020640002615/260058/00      23.02.2026)   БИН 020640002615 </t>
  </si>
  <si>
    <t>Актобе 4ГП	 (№020640002615/260059/00       23.02.2026)  БИН 020640002615</t>
  </si>
  <si>
    <t>Смесь MD мил ФКУ-3,  400 гр</t>
  </si>
  <si>
    <t>Шоколадные ложечки GlutensizSofra, низкобелковые, 60 г</t>
  </si>
  <si>
    <t>NTIN</t>
  </si>
  <si>
    <t>0200089377202</t>
  </si>
  <si>
    <t>0200087037115</t>
  </si>
  <si>
    <t>0200126865662</t>
  </si>
  <si>
    <t>0200088683113</t>
  </si>
  <si>
    <t>0200126853331</t>
  </si>
  <si>
    <t>0200088682970</t>
  </si>
  <si>
    <t>0200087037047</t>
  </si>
  <si>
    <t>0200087026539</t>
  </si>
  <si>
    <t>0200087030284</t>
  </si>
  <si>
    <t>0200090798195</t>
  </si>
  <si>
    <t>0200120788134</t>
  </si>
  <si>
    <t>0200265463002</t>
  </si>
  <si>
    <t>0200126893627</t>
  </si>
  <si>
    <t>0200085111404</t>
  </si>
  <si>
    <t>0200126881051</t>
  </si>
  <si>
    <t>0200084597940</t>
  </si>
  <si>
    <t>0200265462982</t>
  </si>
  <si>
    <t>0200087037832</t>
  </si>
  <si>
    <t>0200087026263</t>
  </si>
  <si>
    <t>0200088919274</t>
  </si>
  <si>
    <t>0200087026959</t>
  </si>
  <si>
    <t>0200087026034</t>
  </si>
  <si>
    <t>0200126852303</t>
  </si>
  <si>
    <t>0200090797235</t>
  </si>
  <si>
    <t>0200265462142</t>
  </si>
  <si>
    <t>0200126853300</t>
  </si>
  <si>
    <t>0200120795798</t>
  </si>
  <si>
    <t>0200084597810</t>
  </si>
  <si>
    <t>0200126853379</t>
  </si>
  <si>
    <t>0200091381990</t>
  </si>
  <si>
    <t>0200090797464</t>
  </si>
  <si>
    <t>0200087319204</t>
  </si>
  <si>
    <t>0200091403883</t>
  </si>
  <si>
    <t>0200084997399</t>
  </si>
  <si>
    <t>0200083821206</t>
  </si>
  <si>
    <t>0200090841617</t>
  </si>
  <si>
    <t>0200091382294</t>
  </si>
  <si>
    <t>0200085095063</t>
  </si>
  <si>
    <t>Кызылорда(№940740000406/260006/00 2026-01-06) БИН 940740000406</t>
  </si>
  <si>
    <t>0200085120154</t>
  </si>
  <si>
    <t>0200086824006</t>
  </si>
  <si>
    <t>0200085122554</t>
  </si>
  <si>
    <t>0200085123209</t>
  </si>
  <si>
    <t>0200085095315</t>
  </si>
  <si>
    <t>0200085100118</t>
  </si>
  <si>
    <t>0200085121984</t>
  </si>
  <si>
    <t>0200090841464</t>
  </si>
  <si>
    <t>0200084598114</t>
  </si>
  <si>
    <t>0200126776197</t>
  </si>
  <si>
    <t>0200087037610</t>
  </si>
  <si>
    <t>0200090305966</t>
  </si>
  <si>
    <t>0200126796171</t>
  </si>
  <si>
    <t>0200126789081</t>
  </si>
  <si>
    <t>0200126769212</t>
  </si>
  <si>
    <t>0200126448872</t>
  </si>
  <si>
    <t>0200126881044</t>
  </si>
  <si>
    <t>0200084995135</t>
  </si>
  <si>
    <t>0200126747418</t>
  </si>
  <si>
    <t>0200087037986</t>
  </si>
  <si>
    <t>0200084230083</t>
  </si>
  <si>
    <t>0200126789111</t>
  </si>
  <si>
    <t>0200126805262</t>
  </si>
  <si>
    <t>0200126852341</t>
  </si>
  <si>
    <t>0200120794524</t>
  </si>
  <si>
    <t>0200126768680</t>
  </si>
  <si>
    <t>0200126852280</t>
  </si>
  <si>
    <t>0200126853362</t>
  </si>
  <si>
    <t>0200084999119</t>
  </si>
  <si>
    <t>0200087047565</t>
  </si>
  <si>
    <t>0200126865686</t>
  </si>
  <si>
    <t>0200090306208</t>
  </si>
  <si>
    <t>0200126852310</t>
  </si>
  <si>
    <t>0200084998846</t>
  </si>
  <si>
    <t>0200087027796</t>
  </si>
  <si>
    <t>0200126793309</t>
  </si>
  <si>
    <t>0200084703532</t>
  </si>
  <si>
    <t>0200126840386</t>
  </si>
  <si>
    <t>0200084996156</t>
  </si>
  <si>
    <t>0200126744219</t>
  </si>
  <si>
    <t>0200087049507</t>
  </si>
  <si>
    <t>0200126853348</t>
  </si>
  <si>
    <t>0200126744196</t>
  </si>
  <si>
    <t>0200084229582</t>
  </si>
  <si>
    <t>0200126744240</t>
  </si>
  <si>
    <t>0200126796195</t>
  </si>
  <si>
    <t>0200087731433</t>
  </si>
  <si>
    <t>0200087731167</t>
  </si>
  <si>
    <t>0200088688781</t>
  </si>
  <si>
    <t>0200090797549</t>
  </si>
  <si>
    <t>0200126788862</t>
  </si>
  <si>
    <t>0200084996507</t>
  </si>
  <si>
    <t>0200087025198</t>
  </si>
  <si>
    <t>0200087029721</t>
  </si>
  <si>
    <t>0200126871663</t>
  </si>
  <si>
    <t>0200120792773</t>
  </si>
  <si>
    <t>0200126875333</t>
  </si>
  <si>
    <t>0200090798713</t>
  </si>
  <si>
    <t>0200126840492</t>
  </si>
  <si>
    <t>0200084711629</t>
  </si>
  <si>
    <t>0200085589043</t>
  </si>
  <si>
    <t>0200126865648</t>
  </si>
  <si>
    <t>СКО Многопрофильная  (№990240006189/260145/00, 20.02.2026) БИН 990240006189</t>
  </si>
  <si>
    <t>Коммунальное государственное предприятие на праве хозяйственного ведения "Центральная районная больница района им. Т.Рыскулова управления здравоохранения акимата Жамбылской области"</t>
  </si>
  <si>
    <t>Жамбылская область, район Турара Рыскулова, с.Кулан, ул.Тлепова,2</t>
  </si>
  <si>
    <t>Сухари Flavis Fette Biscottate с низким содержанием белка, 300 г</t>
  </si>
  <si>
    <t>ЦРБ Турар Рыскулов (№990240002126/260085/00, 13.03.2026) БИН 990240002126</t>
  </si>
  <si>
    <t>Сырымская РБ (№070340006616/260080/00,  БИН 070340006616</t>
  </si>
  <si>
    <t>Западно-Казахстанская область, Сырымский район, с.Жымпиты Сырым Датова 83</t>
  </si>
  <si>
    <t>Государственное коммунальное предприятие на праве хозяйственного ведения "Сырымская районная больница" управления здравоохранения акимата Западно-Казахстанской области</t>
  </si>
  <si>
    <t>Конфета	глазированная, с желейным корпусам</t>
  </si>
  <si>
    <t>Вафли Flavis с фундуком с низким содержанием белка, с подсластителем, 150 г</t>
  </si>
  <si>
    <t>Батончик фруктовый Flavis Fruit Bar с клубничной начинкой низкобелковый, 125 г/5 шт</t>
  </si>
  <si>
    <t>Безглютеновый мини-кекс Sofra Gluten-free с какао, 144 г</t>
  </si>
  <si>
    <t>Сырымская РБ (№070340006616/260077/00, 12.03.2026)</t>
  </si>
  <si>
    <t>0200126840379</t>
  </si>
  <si>
    <t>0200084597988</t>
  </si>
  <si>
    <t>0200084711674</t>
  </si>
  <si>
    <t>0200084999287</t>
  </si>
  <si>
    <t>0200090798263</t>
  </si>
  <si>
    <t>0200090574492</t>
  </si>
  <si>
    <t>0200090796504</t>
  </si>
  <si>
    <t>0200090798577</t>
  </si>
  <si>
    <t>0200084597612</t>
  </si>
  <si>
    <t>0200090796627</t>
  </si>
  <si>
    <t>0200126872868</t>
  </si>
  <si>
    <t>0200084996422</t>
  </si>
  <si>
    <t>0200090796818</t>
  </si>
  <si>
    <t>0200089498617</t>
  </si>
  <si>
    <t>0200090796894</t>
  </si>
  <si>
    <t>0200087731976</t>
  </si>
  <si>
    <t>0200090797730</t>
  </si>
  <si>
    <t>0200126865600</t>
  </si>
  <si>
    <t>0200085398065</t>
  </si>
  <si>
    <t>0200085104802</t>
  </si>
  <si>
    <t>0200085095445</t>
  </si>
  <si>
    <t>0200088596536</t>
  </si>
  <si>
    <t>0200088904584</t>
  </si>
  <si>
    <t xml:space="preserve">Астана 4 ГП(	№070440005285/260025/00	 2026-01-20)бин 070440005285 </t>
  </si>
  <si>
    <t>Шымкент ГП 2 (№991240004551/260064/00, 27.02.2026) БИН 991240004551</t>
  </si>
  <si>
    <t>Каргалы (№090240008820/260036/00, 20.02.2026) 090240008820 бин</t>
  </si>
  <si>
    <t>Текели  (№020240003798/260063/00	2026-02-19) бин 020240003798</t>
  </si>
  <si>
    <t>0200265462791</t>
  </si>
  <si>
    <t>0200090796771</t>
  </si>
  <si>
    <t>0200085111152</t>
  </si>
  <si>
    <t>0200090797693</t>
  </si>
  <si>
    <t>0200090797570</t>
  </si>
  <si>
    <t>0200085008100</t>
  </si>
  <si>
    <t>0200087730856</t>
  </si>
  <si>
    <t>0200090957868</t>
  </si>
  <si>
    <t>0200087049422</t>
  </si>
  <si>
    <t>0200084998952</t>
  </si>
  <si>
    <t>0200084997832</t>
  </si>
  <si>
    <t>0200090796009</t>
  </si>
  <si>
    <t>0200091382256</t>
  </si>
  <si>
    <t>0200091411611</t>
  </si>
  <si>
    <t>0200084597643</t>
  </si>
  <si>
    <t>Какао плитка Mevalia Chocotino, 100 г</t>
  </si>
  <si>
    <t>Концентрат песочного теста Balviten Premium, низкобелковый, 500 г</t>
  </si>
  <si>
    <t>Заменитель молока Comidamed Calo Lipid, безбелковый, 500 г</t>
  </si>
  <si>
    <t>Макароны Flavis Fusilli низкобелковые, 500 г</t>
  </si>
  <si>
    <t>Макароны FLAVIS PENNE, низкобелковые , 500 г</t>
  </si>
  <si>
    <t>Низкобелковое печенье Mevalia Cookies с шоколадной крошкой, 200 г</t>
  </si>
  <si>
    <t>Сухой завтрак МакМастер Колечки без глютена, 300 г</t>
  </si>
  <si>
    <t>Смесь для выпечки хлеба Mevalia Bread Mix с низким содержанием белка, 500
г</t>
  </si>
  <si>
    <t>Заменитель яиц Balviten, низкобелковый, 200 г</t>
  </si>
  <si>
    <t>Сушки Dr. Schar Taralli низкобелковые, безглютеновые, 120 г</t>
  </si>
  <si>
    <t>Макароны Flavis Spaghetti низкобелковые, 500 г</t>
  </si>
  <si>
    <t>Крем-паста GlutensizSofra Cream Spread, со вкусом лесного ореха,
низкобелковая, 300 г</t>
  </si>
  <si>
    <t>0200087476310</t>
  </si>
  <si>
    <t>ндс вычет</t>
  </si>
  <si>
    <t>0200126762916</t>
  </si>
  <si>
    <t>Государственное коммунальное предприятие на праве хозяйственного ведения "Городская поликлиника № 8" акимата города Астаны</t>
  </si>
  <si>
    <t>г.Астана, район Байқоңыр, Альмухана Сембинова, 4/1</t>
  </si>
  <si>
    <t>Сливки универсальные 43% безбелковые (Фенилкетонурия)</t>
  </si>
  <si>
    <t>Шоколадная паста низкобелковая (фенилкетонурия)</t>
  </si>
  <si>
    <t>Чипсы безглютеновые/низкобелковые (фенилкетонурия)</t>
  </si>
  <si>
    <t>Крем-паста со вкусом лесного ореха низкобелковая (фенилкетонурия)</t>
  </si>
  <si>
    <t>Молочный напиток низкобелковый (фенилкетонурия)</t>
  </si>
  <si>
    <t>Кексы с абрикосовым джемом низкобелковые (фенилкетонурия)</t>
  </si>
  <si>
    <t>Бисквитные трубочки с клубничной начинкой низкобелковые (фенилкетонурия)</t>
  </si>
  <si>
    <t>Заменитель мяса низкобелковый (фенилкетонурия)</t>
  </si>
  <si>
    <t>Кексы со вкусом лимона низкобелковые (фенилкетонурия)</t>
  </si>
  <si>
    <t>Макаронные изделия (фигурные) низкобелковые (фенилкетонурия)</t>
  </si>
  <si>
    <t>Хлопья медовые низкобелковые (фенилкетонурия)</t>
  </si>
  <si>
    <t>Смесь для выпечки низкобелковая (фенилкетонурия)</t>
  </si>
  <si>
    <t>Вафли с низким содержанием белка и шоколадной начинкой (фенилкетонурия)</t>
  </si>
  <si>
    <t>Суп-крем в ассортименте низкобелковый (фенилкетонурия)</t>
  </si>
  <si>
    <t>Сухари низкобелковые (фенилкетонурия)</t>
  </si>
  <si>
    <t>Крупа кус-кус низкобелковая (фенилкетонурия)</t>
  </si>
  <si>
    <t>Хлопья клубничные низкобелковые (фенилкетонурия)</t>
  </si>
  <si>
    <t>Заменитель муки низкобелковый (фенилкетонурия)</t>
  </si>
  <si>
    <t>Какао-порошок низкобелковый с содержанием железа и йода (фенилкетонурия)</t>
  </si>
  <si>
    <t>Ризотто низкобелковое (фенилкетонурия)</t>
  </si>
  <si>
    <t>Основы для пиццы низкобелковые (фенилкетонурия)</t>
  </si>
  <si>
    <t>Смесь для овощного омлета низкобелковая (фенилкетонурия)</t>
  </si>
  <si>
    <t>Заменитель риса низкобелковый (фенилкетонурия)</t>
  </si>
  <si>
    <t>Пюре картофельное с курицей и грибами низкобелковое (фенилкетонурия)</t>
  </si>
  <si>
    <t>Колечки (завтраки сухое) низкобелковые (фенилкетонурия)</t>
  </si>
  <si>
    <t>Макаронные изделия (пенне) низкобелковые (фенилкетонурия)</t>
  </si>
  <si>
    <t>Смесь для выпечки кондитерских изделий низкобелковая (фенилкетонурия)</t>
  </si>
  <si>
    <t>Смесь низкобелковая для приготовления котлет/гамбургеров (фенилкетонурия)</t>
  </si>
  <si>
    <t>Рис желтый низкобелковый (фенилкетонурия)</t>
  </si>
  <si>
    <t>Печенье песочное с низким содержанием фенилаланина (фенилкетонурия)</t>
  </si>
  <si>
    <t>Молоко сухое низкобелковое(Фенилкетонурия)</t>
  </si>
  <si>
    <t>Шоколад в ассортименте низкобелковый (фенилкетонурия)</t>
  </si>
  <si>
    <t>Рацион питания индивидуальный	автономный</t>
  </si>
  <si>
    <t>Картофельное пюре низкобелковое (фенилкетонурия)</t>
  </si>
  <si>
    <t>Продукт диетического (лечебного) питания для детей старше года, больных фенилкетонурией</t>
  </si>
  <si>
    <t>Заменитель курятины низкобелковый (фенилкетонурия)</t>
  </si>
  <si>
    <t>Спагетти низкобелковые (фенилкетонурия)</t>
  </si>
  <si>
    <t>Астана 8ГП 	(№070740003864/260099/00, 04.03.2026) БИН 070740003864</t>
  </si>
  <si>
    <t xml:space="preserve">Сайрамская РБ  (№091040002074/260011/00, 27.01.2026) БИН 091040002074       </t>
  </si>
  <si>
    <t>Государственное коммунальное предприятие на праве хозяйственного ведения "Актауская городская поликлиника №2" Управления здравоохранения Мангистауской области</t>
  </si>
  <si>
    <t>Мангистауская область, г.Актау, 26 микрорайон, Здание №54</t>
  </si>
  <si>
    <t>Актау 2ГП 	(№050740004472/260099/00, 11.03.2026) БИН 050740004472</t>
  </si>
  <si>
    <t>Государственное коммунальное предприятие на праве хозяйственного ведения "Актауская городская поликлиника №1" Управления здравоохранения Мангистауской области</t>
  </si>
  <si>
    <t>Мангистауская область, г.Актау, Микрорайон 7, 35А</t>
  </si>
  <si>
    <t>Заменитель риса Rice Substitute низкобелковый PKU SOFRA, 300г</t>
  </si>
  <si>
    <t>Специализированный продукт диетического (лечебного) питания для детей старше 1 года, больных фенилкетонурией, сухая смесь Нутриген 40 - phe 400гр</t>
  </si>
  <si>
    <t>Смесь для тортов и кексов CAKE MIX низкобелковая кондитерская мука Sofra 1000 GR</t>
  </si>
  <si>
    <t>Хлеб низкобелковый Хлебушек chlebus balviten, 100гр</t>
  </si>
  <si>
    <t>Печенье апельсиновый бисквит низкобелковый, 85г софра</t>
  </si>
  <si>
    <t>Специализированный продукт диетического (лечебного) питания для детей старше 1 года, больных фенилкетонурией, сухая смесь «ФКУ-2» белок-40 гр на 100 гр</t>
  </si>
  <si>
    <t>Крем-паста со вкусом лесного ореха и шоколадный Cream Spread низкобелковая PKU SOFRA, 300г</t>
  </si>
  <si>
    <t>Нутриген напиток сухой безбелковый 400гр</t>
  </si>
  <si>
    <t>Какао-порошок низкобелковый с йодом и витаминами АртЛайф, 400г</t>
  </si>
  <si>
    <t>Молочный напиток PKU drink LQ низкобелковый Loprofin SHS, 200мл</t>
  </si>
  <si>
    <t>Макароны Колечки Софра низкобелковые ассорти, 250г</t>
  </si>
  <si>
    <t>Низкобелковая мука Sofra 1000 GR Andolu</t>
  </si>
  <si>
    <t>Молоко сухое быстрорастворимое и шоколадное низкобелковое lp-drink Milupa</t>
  </si>
  <si>
    <t>Сосиски по-венски Wiener Art низкобелковые Loprofin SHS, 204г</t>
  </si>
  <si>
    <t>Суп-крем "Сырный", "По-французски", "Куриный", "Вегетарианский" с крутонами низкобелковый АртЛайф, 20г</t>
  </si>
  <si>
    <t>Печенье Безглютеновый апельсиновый бисквит 85 GR Софра,</t>
  </si>
  <si>
    <t>Макароны ракушки низколбековые Софра 500гр</t>
  </si>
  <si>
    <t>Макароны лапша, вермешель низкобелковые софра, 250г</t>
  </si>
  <si>
    <t>Сухие завтраки софра 250 гр кукурузные и шоколадные низкобелковые</t>
  </si>
  <si>
    <t>Заменитель курятины Chicken Substitute низкобелковый PKU SOFRA, 180г</t>
  </si>
  <si>
    <t>Низкобелковая каша (Овсяная каша без глютена) 250 гр. Софра Турция</t>
  </si>
  <si>
    <t>Ассорти каш-Каша "5 злаков" с абрикосом и льном низкобелковая 30г, Каша "Арктика" с морошкой, цетрарией и льном, 30г,Каша "По-домашнему" с яблоками и льняной мукой АртЛайф, 35г</t>
  </si>
  <si>
    <t>Кусочек Шоколадного и апельсинового Кекса 144 гр. Софра</t>
  </si>
  <si>
    <t>Коммунальное государственное предприятие "Поликлиника № 4 города Костанай" Управления здравоохранения акимата Костанайской области</t>
  </si>
  <si>
    <t>Костанайская область, г.Костанай, 9, 6А</t>
  </si>
  <si>
    <t>Низкобелковая смесь для выпечки кексов в ассортименте 1200гр,лимонная-8,ванильная-4,шоколадное-4</t>
  </si>
  <si>
    <t>Низкобелковое печенье бисквитное "Mevalia Frollini"200гр</t>
  </si>
  <si>
    <t>Молочный напиток (белок 0,0 в 100гр) Loprofin 200 мл</t>
  </si>
  <si>
    <t>Чипсы Curvies 170гр</t>
  </si>
  <si>
    <t>Специализированный пищевой продукт диетического лечебного питания Kanso Масло растительное 100% Kanso МСТoil</t>
  </si>
  <si>
    <t>Крупка низкобелковая 500гр</t>
  </si>
  <si>
    <t>Хлеб темный низкобелковый МакМастер</t>
  </si>
  <si>
    <t>Low Protein Omelet Mix\смесь омлетная низкобелковая 180гр</t>
  </si>
  <si>
    <t>Концентрат низкобелковый быстрорастворимое картофельное пюре для дранников 210гр</t>
  </si>
  <si>
    <t>Низкобелковая смесь для колбасок (мягкая)180гр</t>
  </si>
  <si>
    <t>низкобелковые крендельки соленые 60гр Salinis</t>
  </si>
  <si>
    <t>Ассорти для завтраков из каш 450гр(3шт)</t>
  </si>
  <si>
    <t>Продукт с низким содержанием фенилаланина Сливки Белый Арап 200гр.</t>
  </si>
  <si>
    <t>Специализированный продукт для диетического лечебного и профилактического питания:Крендельки луковые низкобелковые для больных фенилкетонурией "Precelki cebulove"</t>
  </si>
  <si>
    <t>Печенье "Salti"175гр</t>
  </si>
  <si>
    <t>Молочный напиток низким содержанием фенилаланина Mevalia Lattis 500мл</t>
  </si>
  <si>
    <t>Шоколад низкобелковый CHOCOTI NO</t>
  </si>
  <si>
    <t>Ассорти десертное 750гр(3шт)</t>
  </si>
  <si>
    <t>Смесь универсальная для приготовления теста для пельменей ,лапши,блинов MehlFarine 1000гр</t>
  </si>
  <si>
    <t>печенье шоколадное в белой шоколадной глазури 100гр</t>
  </si>
  <si>
    <t>Крекеры "Crackers"210гр</t>
  </si>
  <si>
    <t>Вафли с фундуком с низким содержанием белка с подслатителем 150гр Wafers Flavis</t>
  </si>
  <si>
    <t>Шоколадный батончик Viabite 175гр(7*25)</t>
  </si>
  <si>
    <t>Западно-Казахстанская область, Сырымский район, с.Жымпиты, С. ДАТОВА, 83</t>
  </si>
  <si>
    <t>Сырым РБ (№070340006616/260079/00)     БИН 070340006616</t>
  </si>
  <si>
    <t>Смесь для приготовления бургеров (котлет)350гр Burder Mix</t>
  </si>
  <si>
    <t>Кордай ЦРБ (№990240002463/260067/00 05/02/26) БИН 990240002463</t>
  </si>
  <si>
    <t>Жамбылская область, район Турара Рыскулова, с.Кулан, АМИРЕ ТЛЕПОВ, 2</t>
  </si>
  <si>
    <t>Столбик дорожный	сигнальный, железобетонный</t>
  </si>
  <si>
    <t>Напиток Нутриген сухой с молочным вкусом безбелковый 400 г</t>
  </si>
  <si>
    <t>Мука	марка Б, андезитовая, кислотоупорная</t>
  </si>
  <si>
    <t>Смесь	для приготовления кексов, тортов, пирожных, печенья</t>
  </si>
  <si>
    <t>Печенье без глютена МакМастер Шоколадное в белом шоколаде
низкобелковое, 100 г</t>
  </si>
  <si>
    <t>Низкобелковые макароны Sofra Low-protein Fusilli Pasta Спиральки, 250 г</t>
  </si>
  <si>
    <t>Макаронные изделия Mevalia Короткие трубочки Ditali 500 г</t>
  </si>
  <si>
    <t>Низкобелковое печенье Flavis Cookies с шоколадной крошкой, 200 г</t>
  </si>
  <si>
    <t>Ореховая крем-паста Taranis, низкобелковая, 230 гр</t>
  </si>
  <si>
    <t>Каша МакМастер низкобелковая фруктовая, 150 г</t>
  </si>
  <si>
    <t>Смесь для приготовления низкобелковых драников Nutricia Loprofin, 170г</t>
  </si>
  <si>
    <t>Чипсы Bezgluten с паприкой, без глютена, 70 г</t>
  </si>
  <si>
    <t>Колбаса Loprofin Paprikalyoner Art, с перцем, низкобелковая, 195 г</t>
  </si>
  <si>
    <t>Спагетти Mevalia "Spagetti" низкобелковые, 500 гр</t>
  </si>
  <si>
    <t>Десерт со вкусом клубники Taranis, 4 шт по 125 г</t>
  </si>
  <si>
    <t>Кексы FLAVIS MAGDALENAS с абрикосовым джемом, 4х50 г</t>
  </si>
  <si>
    <t>Дрожжи	пекарные, сушеные</t>
  </si>
  <si>
    <t>Haas дрожжи 7 г</t>
  </si>
  <si>
    <t>Мука	льняная, крупного помола</t>
  </si>
  <si>
    <t>Мука Гарнец Универсальная, без глютена, 600 г</t>
  </si>
  <si>
    <t>сыр низкобелковый 150 гр. Лечебные продукты для детей больных ФКУ.</t>
  </si>
  <si>
    <t>Сыр Чеддар VEGCHEDDA (нарезка ) безбелковый Green Idea 150
гр</t>
  </si>
  <si>
    <t>Государственное коммунальное предприятие на праве хозяйственного ведения "Меркенская многопрофильная центральная районная больница управления здравоохранения акимата Жамбылской области"</t>
  </si>
  <si>
    <t>Жамбылская область, Меркенский район, с.Мерке, КАБЫЛБЕК САРЫМОЛДАЕВ, 148</t>
  </si>
  <si>
    <t>Десертный пудинг со вкусом ванили и какао Taranis, 5 шт по 19 г</t>
  </si>
  <si>
    <t>Йогурт со вкусом карамели низкобелковый</t>
  </si>
  <si>
    <t xml:space="preserve">Актау 2ГП (№050740004472/260100/00)  11.03.2026,  БИН 050740004472            </t>
  </si>
  <si>
    <t>Низкобелковая смесь для картофельных крокетов , 300 гр.</t>
  </si>
  <si>
    <t>Макаронные изделия ракушки 400 гр.</t>
  </si>
  <si>
    <t>Хлебцы низкобелковые</t>
  </si>
  <si>
    <t>Сливки универсальные 43% безбелковыe, 200мл</t>
  </si>
  <si>
    <t>Десерт со вкусом какао и ванили</t>
  </si>
  <si>
    <t>Сушки 160 гр. Низкобелковые сушки</t>
  </si>
  <si>
    <t>Низкобелковые универсальные Взбитые сливки</t>
  </si>
  <si>
    <t>PKU низкобелковый белый хлеб 320 г</t>
  </si>
  <si>
    <t>Актау 2ГП (№050740004472/260097/00,  06.03.2026) БИН 050740004472</t>
  </si>
  <si>
    <t>Государственное коммунальное предприятие "Шалкарская районная больница" на праве хозяйственного ведения государственного учреждения "Управление здравоохранения Актюбинской области"</t>
  </si>
  <si>
    <t>Актюбинская область, Шалкарский район, г.Шалкар, ОТЕГЕН СЕЙИТОВ, 33</t>
  </si>
  <si>
    <t>Шалкар РБ (№990140004009/260124/00, 04.03.2026)     БИН 990140004009</t>
  </si>
  <si>
    <t>Шоколад Huber Kokosina, низкобелковый, с кокосом, 80 г.</t>
  </si>
  <si>
    <t>Мерке ЦРБ (№990240002176/260068/00,  06.03.2026)   БИН 990240002176</t>
  </si>
  <si>
    <t>Мерке ЦРБ (№990240002176/260067/00, 06.03.2026) БИН 990240002176</t>
  </si>
  <si>
    <t xml:space="preserve"> Cухая смесь Nutricia PKU Nutri 2 Concentrated, 500 г</t>
  </si>
  <si>
    <t>Десерт безглютеновый GlutensizSofra, кешкюль, 120 гр</t>
  </si>
  <si>
    <t>Шалкар РБ 	(№990140004009/260121/00, 03.03.2026)     БИН 990140004009</t>
  </si>
  <si>
    <t>Конфета	неглазированная, желейная</t>
  </si>
  <si>
    <t>Филе	сельди, свежее</t>
  </si>
  <si>
    <t>Филе	говяжье, мороженое</t>
  </si>
  <si>
    <t>Чипсы Bezgluten Crisps, соленые, без глютена, 70 г</t>
  </si>
  <si>
    <t>Мерке ЦРБ 	(№990240002176/260064/00, 10.03.2026)    БИН 990240002176</t>
  </si>
  <si>
    <t>Смесь МакМастер для драников низкобелковая, 210 г</t>
  </si>
  <si>
    <t>Чипсы Dr. Schar Curvies Original безглютеновые, 170 г</t>
  </si>
  <si>
    <t>Смесь для выпечки безбелковая МакМастер Кекс шоколадный, 400 г</t>
  </si>
  <si>
    <t xml:space="preserve"> Крекеры Delser Crackers Salato Крекеры с солью, 200 г</t>
  </si>
  <si>
    <t>Шалкар РБ (№990140004009/260117/00, 02.03.2026)       БИН 990140004009</t>
  </si>
  <si>
    <t>Сухая молочная смесь Беллакт "Нәресте" с рождения до 12 месяцев, 400 г</t>
  </si>
  <si>
    <t>Смесь	для детей 0-12 месяцев, молочная, сухая, кисломолочная</t>
  </si>
  <si>
    <t>Кызылординская область, г.Кызылорда, Балкы Базар, 1а, А</t>
  </si>
  <si>
    <t>Коммунальное государственное предприятие на праве хозяйственного ведения "Городская поликлиника № 5" управления здравоохранения Кызылординской области"</t>
  </si>
  <si>
    <t>Кызылорда 5ГП (№041040004795/260040/00, 27.02.2026)  БИН 041040004795</t>
  </si>
  <si>
    <t>Макаронные изделия Amino Spaghetti, низкобелковые, 400 г</t>
  </si>
  <si>
    <t>Макароны Taranis, низкобелковые, безглютеновые, 500 г</t>
  </si>
  <si>
    <t>Атырауская область, г.Атырау, проспект АЗАТТЫК, 32</t>
  </si>
  <si>
    <t>Коммунальное государственное предприятие "Атырауская городская поликлиника №2" Управления здравоохранения Атырауской области</t>
  </si>
  <si>
    <t>Атырау 2ГП (№990140001401/260061/00, 27.02.2026)     БИН 990140001401</t>
  </si>
  <si>
    <t>г.Алматы, Микрорайон АКСАЙ-4, 17</t>
  </si>
  <si>
    <t>Коммунальное государственное предприятие на праве хозяйственного ведения "Городская поликлиника № 10" Управления общественного здравоохранения города Алматы</t>
  </si>
  <si>
    <t>Алматы 10ГП 	(№990240002661/260087/00, 02.03.2026)    БИН 990240002661</t>
  </si>
  <si>
    <t>Алматы 22ГП (№100740012346/260057/00, 24.02.2026)      БИН 100740012346</t>
  </si>
  <si>
    <t>Мясо ягненка	охлажденная, туша, II категория</t>
  </si>
  <si>
    <t>Алматы 10ГП (№990240002661/260086/00, 02.03.2026)       БИН 990240002661</t>
  </si>
  <si>
    <t>Коммунальное государственное предприятие "Поликлиника № 2 города Костанай" Управления здравоохранения акимата Костанайской области</t>
  </si>
  <si>
    <t>Костанайская область, г.Костанай, Марьям Хакимжанова , 56 А</t>
  </si>
  <si>
    <t>Низкобелковая мучная смесь для приготовления блинов и вафель</t>
  </si>
  <si>
    <t>Сыр (пармезан) низкобелковый 150 грамм</t>
  </si>
  <si>
    <t>Костанай 2ГП (№960140000488/260120/00, 04.03.2026)  БИН 960140000488</t>
  </si>
  <si>
    <t>Смесь Nutricia PKU Nutri 3 Energy, 454 г</t>
  </si>
  <si>
    <t>Смесь	для детей 6-12 месяцев, молочная, сухая, кисломолочная</t>
  </si>
  <si>
    <t>Жамбылская область, г.Тараз, РЫСБЕК БАТЫРА, 13 "А"</t>
  </si>
  <si>
    <t>Государственное коммунальное предприятие на праве хозяйственного ведения «Городская поликлиника № 5 управления здравоохранения акимата Жамбылской области»</t>
  </si>
  <si>
    <t>Тараз 5ГП (№010940002046/260080/00, 25.02.2026)    БИН 010940002046</t>
  </si>
  <si>
    <t>Смесь Малютка (Nutricia) 2 (с 6 месяцев) 600 г</t>
  </si>
  <si>
    <t>Молочная смесь Nutricia Малютка 1, 600г</t>
  </si>
  <si>
    <t>Жамбылская область, Жуалынский район, с.им.Б.Момышулы, Султан Бейбарыс, 1</t>
  </si>
  <si>
    <t>Государственное коммунальное предприятие на праве хозяйственного ведения "Центральная районная больница Жуалынского района Управления здравоохранения акимата Жамбылской области"</t>
  </si>
  <si>
    <t xml:space="preserve"> Смесь Nutricia PKU Nutri 3 Concentrated 500 г</t>
  </si>
  <si>
    <t>Филе	сельди, мороженое</t>
  </si>
  <si>
    <t>Пирожное	песочное</t>
  </si>
  <si>
    <t>г.Алматы, Микрорайон 12, 19</t>
  </si>
  <si>
    <t>Коммунальное государственное предприятие на праве хозяйственного ведения "Городская поликлиника № 16" Управления общественного здравоохранения города Алматы</t>
  </si>
  <si>
    <t>Сыр VioLife CREAMY original flavour низкобелковый плавленный сыр 150гр</t>
  </si>
  <si>
    <t>Специализированный пищевой продукт детского диетического лечебного питания. Низкобелковое печенье с шоколадной крошкой ,200гр</t>
  </si>
  <si>
    <t>Специализированный пищевой продукт детского диетического лечебного питания. Соломка низкобелковая крекеры с кунжутом 100гр</t>
  </si>
  <si>
    <t>Специализированный пищевой продукт детского диетического лечебного питания. Тропические фрукты низкобелковые 8,0гр</t>
  </si>
  <si>
    <t>Специализированный пищевой продукт детского диетического лечебного питания. Шоколад низкобелковый с клубничной начинкой,25гр</t>
  </si>
  <si>
    <t>Актюбинская область, Мугалжарский район, г.Кандыагаш, ЕРЕВАН БАЙМУХАМБЕТОВ, 2</t>
  </si>
  <si>
    <t>Государственное коммунальное предприятие "Мугалжарская районная больница" на праве хозяйственного ведения государственного учреждения "Управление здравоохранения Актюбинской области"</t>
  </si>
  <si>
    <t>Коммунальное государственное предприятие на праве хозяйственного ведения "Шуская центральная районная больница управления здравоохранения акимата Жамбылской области"</t>
  </si>
  <si>
    <t>Жамбылская область, Шуский район, с.Толе би, Переулок АЛТЫНСАРИНА, 1А</t>
  </si>
  <si>
    <t>Низкобелковые печенье бисквитное 200 гр.</t>
  </si>
  <si>
    <t>Низкобелковые бисквитные трубочки с клубничной начинкой 125 гр</t>
  </si>
  <si>
    <t>Продукт диетического (лечебного) питания для детей старше года,больных фенилкетонурией "Нутриген 70-phe"</t>
  </si>
  <si>
    <t>Шоколад низкобелковый Chocotino100 гр.</t>
  </si>
  <si>
    <t>Ассорти десертное 750 гр.</t>
  </si>
  <si>
    <t>Макароны Мак мастер в ассортименте 300,0 г</t>
  </si>
  <si>
    <t>Печенье шоколадное в белой шоколадной глазури 100 гр.</t>
  </si>
  <si>
    <t>Ассорти сырно-йогуртовое 240 гр.</t>
  </si>
  <si>
    <t>Государственное коммунальное предприятие на праве хозяйственного ведения "Мунайлинская районная больница" Управления здравоохранения Мангистауской области</t>
  </si>
  <si>
    <t>Мангистауская область, Мунайлинский район, с.Мангистау, Квартал 24, 45</t>
  </si>
  <si>
    <t>Макароны низкобелковые Loprofin Tagliatelle, 250 г</t>
  </si>
  <si>
    <t>Низкобелковые макароны Sofra Low-protein Pipe Pasta Трубочки, 250 г</t>
  </si>
  <si>
    <t>Смесь Nutricia PKU Lophlex LQ10 Juicy Berry, 62,5 мл</t>
  </si>
  <si>
    <t>Макароны FLAVIS DITALI, низкобелковые , 500 г</t>
  </si>
  <si>
    <t xml:space="preserve"> Чипсы Dr. Schar Curvies Original безглютеновые, 170 г</t>
  </si>
  <si>
    <t xml:space="preserve"> Крупка гречневая Увелка низкобелковая, в варочных пакетиках, 5х80 г</t>
  </si>
  <si>
    <t>Сухари панировочные МакМастер кукурузные низкобелковые, 200 гр</t>
  </si>
  <si>
    <t>Сухой завтрак Loprofin Loops Колечки, низкобелковые, 375 г</t>
  </si>
  <si>
    <t>Универсальная смесь Bezgluten Multi Mix, низкобелковая, 1000 г</t>
  </si>
  <si>
    <t>Низкобелковые макароны Sofra Low-protein Vegetable Fusilli Pasta Овощные
Спиральки, 250 г</t>
  </si>
  <si>
    <t>Чиабатта FLAVIS CIABATTINE, низкобелковая, 4х65 г</t>
  </si>
  <si>
    <t>Суп-крем Арт Лайф "Куриный со сливками" , низкокалорийный, 10 порц. по 20
г</t>
  </si>
  <si>
    <t>Бобы	кофейный</t>
  </si>
  <si>
    <t>Макароны низкобелковые Loprofin Penne Пенне, 500 г</t>
  </si>
  <si>
    <t>Кускус Taranis, низкобелковый, 500г</t>
  </si>
  <si>
    <t>Безглютеновый хлеб c отрубями Sofra Gluten-free Bran Bread 250 г</t>
  </si>
  <si>
    <t>Мунайлинская РБ	(№940340000055/260149/00, 18.03.2026)    БИН 940340000055</t>
  </si>
  <si>
    <t>Смесь низкобелковая для овощного супа Sofra Low-protein Vegetable Soup Mix
20 г</t>
  </si>
  <si>
    <t>Макароны Taranis Спагетти короткие, 500 г</t>
  </si>
  <si>
    <t>Лепешка Amino Piadine, низкобелковая, 220 гр</t>
  </si>
  <si>
    <t xml:space="preserve"> Суп-крем Арт Лайф "Куриный" со сливками низкобелковый, 20 г</t>
  </si>
  <si>
    <t>Мангистауская область, г.Жанаозен, Микрорайон ЖАЛЫН, 1Г</t>
  </si>
  <si>
    <t>Государственное коммунальное предприятие на праве хозяйственного ведения "Жанаозенская городская поликлиника № 1" Управления здравоохранения Мангистауской области</t>
  </si>
  <si>
    <t xml:space="preserve">Жанаозен 1ГП (№990340007170/260036/00, 17.03.2026)   </t>
  </si>
  <si>
    <t>Лопрофин Рис 500 гр</t>
  </si>
  <si>
    <t>Низкобелкова Низкобелковая смесь для выпечки хлеба FLAVIS Bread Mix 500 гр.</t>
  </si>
  <si>
    <t>Ассорти для завтраков из каш (гречневая, кукурузная, фруктовая, 450 гр.) (3шт)</t>
  </si>
  <si>
    <t>Продукт сухой специализированный для диетического лечебного питания детей старше одного года, больных фенилкетонурией 40-phe</t>
  </si>
  <si>
    <t>месь универсальная для приготовления теста для пельменей, лапши, блинов Mehl Farine 1000 гр.</t>
  </si>
  <si>
    <t xml:space="preserve"> Смесь безбелковая для выпечки Мак Мастер 700 гр.</t>
  </si>
  <si>
    <t>Низкобелковые макаронные изделия Mevalia (Мелкая трубочка,крупная трубочка, спиральки,спагетти,перья 500 гр</t>
  </si>
  <si>
    <t>Низкобелковая смесь для колбасок (маягка) 180 гр</t>
  </si>
  <si>
    <t>Сыр нарезка Гауда 150 гр.</t>
  </si>
  <si>
    <t>Мука низкобелковая Лопрофин 500 гр.</t>
  </si>
  <si>
    <t>Заменитель яйца 200 гр.</t>
  </si>
  <si>
    <t>Низкобелковые макаронные изделия Aproten Tagliatelle, 250 г.</t>
  </si>
  <si>
    <t>Изделия макаронные	макароны, из пшеничной муки, сорт высший</t>
  </si>
  <si>
    <t>Хлеб	из обогащенной муки</t>
  </si>
  <si>
    <t>Смесь для выпечки пиццы Balviten Pizza низкобелковая, 500 г</t>
  </si>
  <si>
    <t>Крупа манная	марка Т</t>
  </si>
  <si>
    <t>Гречиха	класс 1</t>
  </si>
  <si>
    <t>Костанайская область, г.Костанай, Проспект КОБЫЛАНДЫ БАТЫРА, 21</t>
  </si>
  <si>
    <t>Коммунальное государственное предприятие "Поликлиника № 3 города Костанай" Управления здравоохранения акимата Костанайской области</t>
  </si>
  <si>
    <t>Низкобелковые макароны Sofra Low-protein Bead Pasta Бусинки, 250 г</t>
  </si>
  <si>
    <t>Смесь Neocate (Junior) 400 г. Продукт специализированный для диетического лечебного питания для детей от 1 года до 10 лет</t>
  </si>
  <si>
    <t>г.Алматы, ПРОСПЕКТ ДОСТЫК, 220</t>
  </si>
  <si>
    <t>Фарш	не мороженный, говяжий</t>
  </si>
  <si>
    <t>Алматинская область, Жамбылский район, с.Узынагаш, ЖАНАКУРЫЛЫС, 48А</t>
  </si>
  <si>
    <t>Коммунальное государственное предприятия на праве хозяйственного ведения "Жамбылская многопрофильная центральная районная больница" государственного учреждения "Управление здравоохранения Алматинской области"</t>
  </si>
  <si>
    <t>Узынагаш (№100340003293/260153/00, 18.03.2026) БИН 100340003293</t>
  </si>
  <si>
    <t>Сырым РБ (№070340006616/260081/00,  13.03.2026) БИН 070340006616</t>
  </si>
  <si>
    <t>Макароны Granoro Spaghetti, без глютена, 400 г</t>
  </si>
  <si>
    <t>Хлопья безглютеновые GlutensizSofra, овсяные, 250 г</t>
  </si>
  <si>
    <t>Хлопья	овсяные, геркулес</t>
  </si>
  <si>
    <t>Крендельки луковые низкобелковые Balviten Precelki cebulove 120 г</t>
  </si>
  <si>
    <t>Макароны Granoro Tubetti, без глютена, 400 г</t>
  </si>
  <si>
    <t>Вафли	с жировыми начинками</t>
  </si>
  <si>
    <t>Крекеры Gullon Crackers низкобелковые безглютеновые, 200 г</t>
  </si>
  <si>
    <t>Шоколадная плитка GlutensizSofra, низкобелковая, 100 г</t>
  </si>
  <si>
    <t>Актюбинская область, Шалкарский район, г.Шалкар,</t>
  </si>
  <si>
    <t>Шалкар РБ (№990140004009/260140/00,  16.03.2026)</t>
  </si>
  <si>
    <t xml:space="preserve">Мугалжарская РБ (№990140003021/260083/00)   БИН 990140003021.  </t>
  </si>
  <si>
    <t>Актобе 4ГП (№020640002615/260068/00, 10.03.2026)    БИН 020640002615</t>
  </si>
  <si>
    <t>0200084996064</t>
  </si>
  <si>
    <t>0200083460986</t>
  </si>
  <si>
    <t>0200089624955</t>
  </si>
  <si>
    <t>Печенье Glutensiz Sofra, с шоколадной крошкой, без глютена, 100 гр</t>
  </si>
  <si>
    <t>0200087730627</t>
  </si>
  <si>
    <t>0200089377233</t>
  </si>
  <si>
    <t>0200126852396</t>
  </si>
  <si>
    <t>Хлопья овсяные Сташевское из голозерного овса, без глютена, 275 г,</t>
  </si>
  <si>
    <t>0200082933603</t>
  </si>
  <si>
    <t>0200084997689</t>
  </si>
  <si>
    <t xml:space="preserve">Чипсы с низким содержанием белка — с солью и паприка 140 гр. Besgluten crisps, </t>
  </si>
  <si>
    <t>Кексы Cake CITRON со вкусом лимона и абрикоса ,240гр</t>
  </si>
  <si>
    <t>Низкобелковые
макаронные изделия Metax (Мелкая трубочка, спиральки, спагетти) 500 гр</t>
  </si>
  <si>
    <t>Низкобелковая
КАША Арт лайф 20 гр 3 злака</t>
  </si>
  <si>
    <t>Хлеб
GlutensizSofra, кукурузные, 250 гр</t>
  </si>
  <si>
    <t>Десерт «Пауза» со вкусом клубники и карамели йогурт 4*125 гр.</t>
  </si>
  <si>
    <t xml:space="preserve">Хлеб Bezgluten повседневный, низкобелковый, 300 г, </t>
  </si>
  <si>
    <t>Какао порошок низкебелковый с йодом и витаминами Арт Лайф 400 гр</t>
  </si>
  <si>
    <t>суп низкобелковый по 20 гр. Ассорти Арт Лайф Россия,</t>
  </si>
  <si>
    <t>Заменитель яиц 200 гр</t>
  </si>
  <si>
    <t>низкобелковые сосиски 204 гр. Loprofin по венски</t>
  </si>
  <si>
    <t>Заменитель мясо низкобелковая, 248 гр</t>
  </si>
  <si>
    <t>Смесь котлетная для гамбургеров Hamburger Patties Mix низкобелковая , 300г</t>
  </si>
  <si>
    <t>Заменитель курятины Chicken Substitute низкобелковый , 180г,</t>
  </si>
  <si>
    <t>Основа для пиццы PIZZA низкобелковая 200 гр</t>
  </si>
  <si>
    <t>Смесь для овощного омлета Vegetable Omelet Mix низкобелковая, 180г</t>
  </si>
  <si>
    <t>Мучная смесь для блинов и вафель низкобелковая , 300г,</t>
  </si>
  <si>
    <t>Пюре картофельное с жареным луком низкобелковое АртЛайф, 30г,</t>
  </si>
  <si>
    <t>Специализированный продукт диетического (лечебного) питания для детей старше 1 года, больных фенилкетонурией, сухая инстантная смесь на основе аминокислот без фенилаланина, с фруктовым вкусом</t>
  </si>
  <si>
    <t>Spaghetti низкобелковые Loprofin SHS, 500г,</t>
  </si>
  <si>
    <t>Заменитель курятины Chicken Substitute низкобелковый
PKU SOFRA, 180г</t>
  </si>
  <si>
    <t>MDмил ФКУ-3 — спец. продукт диет. питания (от 1 года)</t>
  </si>
  <si>
    <t>Низкобелковый молочный напиток Flavis lattis, 500 мл</t>
  </si>
  <si>
    <t>Картофельное пюре Loprofin 130 гр</t>
  </si>
  <si>
    <t>Безбелковый заменитель яйца Egg Substitute PKU Low
Protein SOFRA. 500 гр</t>
  </si>
  <si>
    <t>Макароны Звери Animal Pasta низкобелковые Loprofin SHS,
500г</t>
  </si>
  <si>
    <t>Шоколад в ассортименте 80гр</t>
  </si>
  <si>
    <t>Молоко сухое lp-drink низкобелковое Milupa, 400г</t>
  </si>
  <si>
    <t>Продукт с низким содержанием фенилаланина печенье
песочное «Frollini» 200 гр,</t>
  </si>
  <si>
    <t>Рис Reis желтый низкобелковый MetaX, 500г,</t>
  </si>
  <si>
    <t>Смесь котлетная для гамбургеров Hamburger Patties Mix
низкобелковая PKU SOFRA, 300г,</t>
  </si>
  <si>
    <t>Макароны Cпиральки Fusilli низкобелковые Loprofin SHS</t>
  </si>
  <si>
    <t>Колечки Loops низкобелковые Loprofin SHS, 375г,</t>
  </si>
  <si>
    <t>Рис Reisersatz низкобелковый Loprofin SHS, 500г,</t>
  </si>
  <si>
    <t>Крупа кус-кус Couscous HARIFEN низкобелковая SANAVI,
500г</t>
  </si>
  <si>
    <t>Смесь для овощного омлета Vegetable Omelet Mix
низкобелковая PKU SOFRA, 180г,</t>
  </si>
  <si>
    <t>Заменитель муки Mix низкобелковый Loprofin SHS, 500г</t>
  </si>
  <si>
    <t>Какао – порошок низкобелковый с железом/йодом 400 гр</t>
  </si>
  <si>
    <t>Сухари низкобелковые 300 гр</t>
  </si>
  <si>
    <t>Вафли с низким содержанием белка и шоколадной
начинкой 90 гр</t>
  </si>
  <si>
    <t>Хлопья медовые lp-flakes низкобелковые Milupa, 375г,</t>
  </si>
  <si>
    <t>Макароны Пенне Penne низкобелковые Loprofin SHS, 500г,</t>
  </si>
  <si>
    <t>Кексы Cake CITRON со вкусом лимона TARANIS
низкобелковые, 240г,</t>
  </si>
  <si>
    <t>Заменитель мяса Meat Substitute низкобелковый PKU
SOFRA, 180г,</t>
  </si>
  <si>
    <t>Низкобелковые бисквитные трубочки с клубничной
начинкой 125 гр</t>
  </si>
  <si>
    <t>Кексы с абрикосовым джемом MAGDALENAS
низкобелковые FLAVIS, 4х50г</t>
  </si>
  <si>
    <t>Молочный напиток PKU drink LQ Loprofin SHS 200 мл</t>
  </si>
  <si>
    <t>Чипсы безглютеновые Dr.Schär, 170г,</t>
  </si>
  <si>
    <t>Шымкент 5ГП (№991240004511/260044/00, 03.03.2026) БИН 991240004511</t>
  </si>
  <si>
    <t>Государственное коммунальное предприятие на праве хозяйственного ведения "Городская поликлиника №5" управления здравоохранения города Шымкент</t>
  </si>
  <si>
    <t>г.Шымкент, Енбекшинский район ул. Сайрамская, №192Б</t>
  </si>
  <si>
    <t>0200084544258</t>
  </si>
  <si>
    <t>0200087731136</t>
  </si>
  <si>
    <t>0200126744233</t>
  </si>
  <si>
    <t>0200084597681</t>
  </si>
  <si>
    <t>0200265461725</t>
  </si>
  <si>
    <t>0200084229902</t>
  </si>
  <si>
    <t>0200085111336</t>
  </si>
  <si>
    <t>0200084999034</t>
  </si>
  <si>
    <t>0200265413687</t>
  </si>
  <si>
    <t>0200084997740</t>
  </si>
  <si>
    <t>0200126767775</t>
  </si>
  <si>
    <t>0200088242495</t>
  </si>
  <si>
    <t>0200265462777</t>
  </si>
  <si>
    <t>0200265413793</t>
  </si>
  <si>
    <t>0200120794531</t>
  </si>
  <si>
    <t>Караганда Многопрофильная больница (№971140001262/260074/00, 26.03.2026) бин 971140001262</t>
  </si>
  <si>
    <t>Коммунальное государственное предприятие на праве хозяйственного ведения «Многопрофильная детская больница города Караганды» управления здравоохранения Карагандинской области</t>
  </si>
  <si>
    <t>Карагандинская область, г.Караганда, район Әлихан Бөкейхан город Караганда, улица К.Либкнехта 106В</t>
  </si>
  <si>
    <t>Смесь для энтерального питания Nutridrink Нутризон Эдванс Нутридринк 322 г</t>
  </si>
  <si>
    <t>Смесь Neocate (Nutricia) Neocate Junior (от 1 года) 400 г</t>
  </si>
  <si>
    <t>Смесь Nutrilon (Nutricia) Безлактозный (с рождения) 400 г</t>
  </si>
  <si>
    <t>Высококолорийная смесь Нутриция Нутридринк (Nutricia Nutridrink) со вкусом ванили, 200 мл</t>
  </si>
  <si>
    <t>количество</t>
  </si>
  <si>
    <t>нутрини дринк</t>
  </si>
  <si>
    <t xml:space="preserve">Печенье	сдобное	</t>
  </si>
  <si>
    <t>Темиртау 2 ГП(№990140002390/260065/00, 20.02.2026)</t>
  </si>
  <si>
    <t xml:space="preserve"> Йогурт Taranis клубничный, безбелковый, 4х125 г</t>
  </si>
  <si>
    <t>Атырау 2ГП	(№990140001401/260061/00,  27.02.2026)    БИН 990140001401</t>
  </si>
  <si>
    <t>Атырау 2 ГП (№990140001401/260059/00, 26.02.2026)</t>
  </si>
  <si>
    <t>0200265462173</t>
  </si>
  <si>
    <t>0200265462692</t>
  </si>
  <si>
    <t>Основа для пиццы МакМастер безбелковая безглютеновая 2шт, 250 г</t>
  </si>
  <si>
    <t>Чипсы Bezgluten, с паприкой, 70 гр</t>
  </si>
  <si>
    <t xml:space="preserve">Вафли Bezgluten с лимонной начинкой, низкобелковые, 90 </t>
  </si>
  <si>
    <t>Молочная смесь Nutricia Infatrini, с 0 до 18 месяцев, 125 мл</t>
  </si>
  <si>
    <t>Печенье без глютена МакМастер Ванильное с белой глазурью низкобелковое,
100 г</t>
  </si>
  <si>
    <t>Печенье GlutensizSofra, кунжутное, безглютеновое, 85 г</t>
  </si>
  <si>
    <t>Печенье Умные сладости с семенами льна, 160 г</t>
  </si>
  <si>
    <t>Хлеб низкобелковый Flavis Pan carre, 300 г</t>
  </si>
  <si>
    <t xml:space="preserve"> Печенье без глютена МакМастер Шоколадное в белом шоколаде
низкобелковое, 100 г</t>
  </si>
  <si>
    <t>Хлеб Bezgluten, благородный, белый, низкобелковый, ФКУ, 200 г</t>
  </si>
  <si>
    <t>Вермишель Bezgluten, тонкая, низкобелковая, 250 г.</t>
  </si>
  <si>
    <t>Коммунальное государственное предприятие на праве хозяйственного ведения "Городская поликлиника № 11" Управления общественного здравоохранения города Алматы</t>
  </si>
  <si>
    <t>г.Алматы, Микрорайон АЙНАБУЛАК, 87</t>
  </si>
  <si>
    <t xml:space="preserve"> Макароны Amino Conchiglie, низкобелковые, 400 г</t>
  </si>
  <si>
    <t xml:space="preserve"> Мука для хлеба GlutensizSofra, без глютена, кукурузная, 1 кг</t>
  </si>
  <si>
    <t xml:space="preserve"> Печенье Bezgluten, с начинкой тоффи, безглютеновое, 200 г</t>
  </si>
  <si>
    <t xml:space="preserve">Мука фосфоритная, сорт </t>
  </si>
  <si>
    <t xml:space="preserve"> Пюре картофельное Арт Лайф, с жареным луком низкобелковое , 30г</t>
  </si>
  <si>
    <t>Мясо ягненка	охлажденная, полутуша, I категория</t>
  </si>
  <si>
    <t xml:space="preserve"> Какао-порошок Артлайф «Взрослей-ка» с йодом, 400 г.</t>
  </si>
  <si>
    <t>Конфета неглазированная, желейная</t>
  </si>
  <si>
    <t xml:space="preserve"> Смесь Nutricia PKU Nutri 2 Energy, 454 г</t>
  </si>
  <si>
    <t>Десерт со вкусом карамели Taranis, 4 шт по 125 г</t>
  </si>
  <si>
    <t xml:space="preserve"> Заменитель риса Sofra Low-protein Rice Substitute низкобелковый, 300 г</t>
  </si>
  <si>
    <t>Узынагаш (№100340003293/260170/00,  30.03.2026)       БИН 100340003293</t>
  </si>
  <si>
    <t>Овощные трубочки АССОРТИ (маленькая упаковка) низкобелковые CARAMBA, 35г</t>
  </si>
  <si>
    <t>Темиртау 4ГП (№090140006444/260135/00, 20.03.2026)</t>
  </si>
  <si>
    <t>Мунайлинская ЦРБ №940340000055/260152/00     	20.03.2026       БИН 940340000055</t>
  </si>
  <si>
    <t xml:space="preserve">Мунайлинская ЦРБ №940340000055/260158/00.       БИН 940340000055.  </t>
  </si>
  <si>
    <t>Сыр безбелковый (большой кусок), 400г -предназначенные для диетотерапии пациентов с фенилкетонурией (ФКУ)</t>
  </si>
  <si>
    <t>Сыр (тёртый) безбелковый объем 200г    -предназначенные для диетотерапии пациентов с фенилкетонурией (ФКУ)</t>
  </si>
  <si>
    <t>Государственное коммунальное предприятие на праве хозяйственного ведения "Городская поликлиника №1" управления здравоохранения акимата Западно-Казахстанской области</t>
  </si>
  <si>
    <t>Западно-Казахстанская область, г.Уральск, Проспект НУРСУЛТАН НАЗАРБАЕВ, 206А</t>
  </si>
  <si>
    <t>Макаронные изделия с низким содержанием белка, 200гр.</t>
  </si>
  <si>
    <t>Специализированный продукт диетического (лечебного) питания для детей, Заменитель риса 300гр</t>
  </si>
  <si>
    <t>Специализированный продукт диетического лечебного питания для детей Молоко сухое быстрорастворимое низкобелковое 400 гр</t>
  </si>
  <si>
    <t>Специализированный продукт диетического лечебного питания для детей, Низкобелковая КАША 20гр 3 злака</t>
  </si>
  <si>
    <t>Смесь для выпечки домашняя, низкобелковая для больных фенилкетонурией – 500 гр</t>
  </si>
  <si>
    <t>Ассорти для завтраков из каш 450 гр</t>
  </si>
  <si>
    <t>Низкобелковые сухари 300 гр</t>
  </si>
  <si>
    <t>Специализированный продукт диетического лечебного питания для детей старше 8 лет и взрослых больных фенилкетонурии и гиперфенилаланинемией PUK Nutri 3 Concentrated 500 гр</t>
  </si>
  <si>
    <t>Низкобелковые макаронные изделия (Квадратики) и тонкая вермишель</t>
  </si>
  <si>
    <t>Макароны Spagetti безбелковые , 250 г</t>
  </si>
  <si>
    <t>Макароны ВЕРМИШЕЛЬ безбелковые 250 г</t>
  </si>
  <si>
    <t>Ассорти сухарики 240гр</t>
  </si>
  <si>
    <t>Ассорти сырно -йогуртовое 300 гр</t>
  </si>
  <si>
    <t>Концентрат низкобелковый быстрорастворимое картофельное пюре для дранников 210 гр.</t>
  </si>
  <si>
    <t>Соломка низкобелковая для больных фенилкетонурией –крекеры с кунжутом 100 гр</t>
  </si>
  <si>
    <t>Специализированный продукт диетического лечебного питания для детей Молочный напиток PKU , 200 мл</t>
  </si>
  <si>
    <t>Печенье безглютеновое , с тахини,85гр</t>
  </si>
  <si>
    <t>Макароны 300гр. в ассортименте</t>
  </si>
  <si>
    <t>Молочный напиток с низким содержанием фенилаланина, 500мл</t>
  </si>
  <si>
    <t>Молочный напиток PKU drink LQ низкобелковый , 200мл</t>
  </si>
  <si>
    <t>Сушки 180г</t>
  </si>
  <si>
    <t>Мармелад "Червячки" с кислинкой низкобелковый фруктовый, 100г</t>
  </si>
  <si>
    <t>Хлеб темный низкобелковый 300гр</t>
  </si>
  <si>
    <t>Печенье шоколадное в белой шоколадной глазури 100 гр</t>
  </si>
  <si>
    <t>Печенье безглютеновое , с кокосовой начинкой,210 гр</t>
  </si>
  <si>
    <t>Профитроли замароженные , без глютена, 120 гр в стаканчике</t>
  </si>
  <si>
    <t>Специализированный продукт диетического лечебного питания для детей Крупа гречневая 5*80гр шоколадное</t>
  </si>
  <si>
    <t>Ассорти для завтраков из каш 450 гр (3шт)</t>
  </si>
  <si>
    <t>Сливки с низким содержанием белка 200г</t>
  </si>
  <si>
    <t>Печенье безглютеновое , с начинкой тоффи,200гр</t>
  </si>
  <si>
    <t>Йогурт со вкусом клубники низкобелковый , 500г (в одном 4 х 125г)</t>
  </si>
  <si>
    <t>Специализированный продукт диетического лечебного питания для детей Хлеб повседневный, низкобелковый, 300 гр</t>
  </si>
  <si>
    <t>Специализированный продукт диетического лечебного питания для детей панировочные сухари для нагетсов 200 гр</t>
  </si>
  <si>
    <t>Специализированные продукты диетического лечебного и профилактического питания для детей Мучная смесь для блинов и вафель низкобелковая, 300мл</t>
  </si>
  <si>
    <t>Печенье "Звездочки" 50гр</t>
  </si>
  <si>
    <t>Каша низкобелковая, 300г</t>
  </si>
  <si>
    <t>Низкобелковые макаронные изделия (Колечки) 250 гр</t>
  </si>
  <si>
    <t>Сливки универсальные 43% безбелковые , 200мл</t>
  </si>
  <si>
    <t>Макароны ГНЁЗДА низкобелковые , 250г</t>
  </si>
  <si>
    <t>Специализированные продукты диетического лечебного и профилактического питания: Соломка низкобелковая для больных фенилкетонурией – ;</t>
  </si>
  <si>
    <t>Манная крупа низкобелковая , 500 г</t>
  </si>
  <si>
    <t>Ассорти из смесей для выпечки кексов 1200гр</t>
  </si>
  <si>
    <t>Низкобелковый бульон с лапшой 22 г</t>
  </si>
  <si>
    <t>Сахаристые изделия КУБИКИ 75 г</t>
  </si>
  <si>
    <t>Специализированные продукты диетического лечебного и профилактического питания: Соломка низкобелковая для больных фенилкетонурией</t>
  </si>
  <si>
    <t>Какао-порошок низкобелковый с йодом и витаминами , 400г</t>
  </si>
  <si>
    <t>Макароны Звери низкобелковые , 250г</t>
  </si>
  <si>
    <t>Крендельки соленые 60 гр</t>
  </si>
  <si>
    <t>Какао-напиток растворимый ГОРЯЧИЙ ШОКОЛАД низкобелковый 22,5г</t>
  </si>
  <si>
    <t>Низкобелковая смесь для выпечки хлеба 500г</t>
  </si>
  <si>
    <t>Низкобелковые макаронные изделия ( спагетти, трубочка, спиральки) 500 гр.</t>
  </si>
  <si>
    <t>Сушки безглютеновые низкобелковые 120г</t>
  </si>
  <si>
    <t>Специализированный продукт диетического лечебного питания для детей МДмил ФКУ - 3 , 400гр</t>
  </si>
  <si>
    <t>Смесь безбелковая 700гр</t>
  </si>
  <si>
    <t>Специализированный продукт диетического лечебного питания для детей старше 8 лет и взрослых, больных фенилкетонурией и гиперфенилаланинемией PKU Бенами 70 РНЕ 500 гр</t>
  </si>
  <si>
    <t>7 Сухие завтраки 300 гр</t>
  </si>
  <si>
    <t>Смесь для овощного омлета низкобелковая , 180г</t>
  </si>
  <si>
    <t>Коммунальное государственное предприятие на праве хозяйственного ведения "Поликлиника № 1 города Усть-Каменогорска" управления здравоохранения Восточно-Казахстанской области</t>
  </si>
  <si>
    <t>Восточно-Казахстанская область, г.Усть-Каменогорск, Проспект Ауэзова, 18</t>
  </si>
  <si>
    <t xml:space="preserve">Смесь для выпечки кексов, не менее 500 гр. </t>
  </si>
  <si>
    <t>Молоко сухое низкобелковое, не менее 400 г, шоколадное</t>
  </si>
  <si>
    <t>Порошок яичный, сухой</t>
  </si>
  <si>
    <t xml:space="preserve">одна услуга </t>
  </si>
  <si>
    <t>Продукт с низким содержанием фенилаланина, заменитель яйца, не менее 200 г</t>
  </si>
  <si>
    <t>Субпродукты говяжьи охлажденные, мясокостные</t>
  </si>
  <si>
    <t>Сосиски по-венски, низкобелковые, не менее 204 г.</t>
  </si>
  <si>
    <t>Чипсы с низким содержанием белка — с солью и паприка не меннее 70 гр.</t>
  </si>
  <si>
    <t>Печенье песочное низкобелковое, не менее 200 г.</t>
  </si>
  <si>
    <t>Продукт с низким содержанием фенилаланина бисквитные трубочки с клуб.начинкой не менее 125 грамм</t>
  </si>
  <si>
    <t>Печенье ванильное не менее 100 гр.</t>
  </si>
  <si>
    <t>Печенье шоколадное в белой глазури, не менее 100 гр</t>
  </si>
  <si>
    <t>Печенье формы звездочки, не менее 50 гр.</t>
  </si>
  <si>
    <t>Шоколад десертный, без начинки с добавками, в плитках</t>
  </si>
  <si>
    <t>Шоколадная плитка, низкобелковая, не менее 100 г.</t>
  </si>
  <si>
    <t>Низкобелковое печенье с шоколадной крошкой не менее 200 гр.</t>
  </si>
  <si>
    <t>Солома кукурузная</t>
  </si>
  <si>
    <t>Соломка низкобелковая для больных фенилкетонурией , не менее 70 гр</t>
  </si>
  <si>
    <t>Низкобелковые макаронные изделия в ассортименте не менее 500 гр.</t>
  </si>
  <si>
    <t>Смесь для выпечки хлеба вес не менее 500 грамм</t>
  </si>
  <si>
    <t>Сливки жирность более 1,5%, сухие</t>
  </si>
  <si>
    <t>Сливки низкобелковые не менее 200 грамм</t>
  </si>
  <si>
    <t>Ассорти овощное консервированное</t>
  </si>
  <si>
    <t xml:space="preserve">Сухие завтраки не менее 300 гр. </t>
  </si>
  <si>
    <t>Низкобелковая мука для выпечки, не менее 1 кг</t>
  </si>
  <si>
    <t>Крахмал кукурузный</t>
  </si>
  <si>
    <t>Заменитель курятины, низкобелковый, не менее 500 гр.</t>
  </si>
  <si>
    <t>Продукт с низким содержанием ФА сухари не менее 210 грамм.</t>
  </si>
  <si>
    <t>Макароны низкобелковые в ассортименте не менее 250 г</t>
  </si>
  <si>
    <t>Каша, груша, низкобелковая, не менее 300 г</t>
  </si>
  <si>
    <t>Заменитель мяса не менее 180 грамм</t>
  </si>
  <si>
    <t>Концентрат песочного теста, не менее 500 гр</t>
  </si>
  <si>
    <t>Ассорти сухариков (пицца, сыр, сметана с луком) не менее 240 гр</t>
  </si>
  <si>
    <t>Печенье, не менее175 гр</t>
  </si>
  <si>
    <t xml:space="preserve">Вафли с фундуком с низким содержанфием белка с подсластителем не более 150 гр. </t>
  </si>
  <si>
    <t>Продукт с низким содержанием фенилаланина, ПШЕНИЧНЫЕ ВОЛОКНА, не менее 350 г</t>
  </si>
  <si>
    <t xml:space="preserve">Шоколадные ложечки, низкобелковые, 6х10г, не менее 60 гр. </t>
  </si>
  <si>
    <t>Крупка низкобелковая не меннее 500 грамм</t>
  </si>
  <si>
    <t>Ассорти сырно йогуртное, не менее 750 гр.</t>
  </si>
  <si>
    <t>Батончик для диетического профилактического питания, шоколадный</t>
  </si>
  <si>
    <t>Шоколадный батончик не менее 175 гр. (7*25)</t>
  </si>
  <si>
    <t>Крупа пшеничная средн</t>
  </si>
  <si>
    <t xml:space="preserve">Крупа кус-кус, низкобелковая, не менее 500 </t>
  </si>
  <si>
    <t>Молоко натуральное	обезжиренное,сухое</t>
  </si>
  <si>
    <t>Молочный напиток низкобелковый, не менее 200мл</t>
  </si>
  <si>
    <t>Низкобелковая смесь для картофельных крокетов не менее 300 гр</t>
  </si>
  <si>
    <t>Чипсы безглютеновые, не менее 170г</t>
  </si>
  <si>
    <t>Вафли низкобелковые не менее 95 г., с клубничной начинкой</t>
  </si>
  <si>
    <t xml:space="preserve">Панировочные сухари для нагетсов, не менее 200 гр. </t>
  </si>
  <si>
    <t>Макароны лапша низкобелковые, софра, не менее 250 г.</t>
  </si>
  <si>
    <t>Крахмал рисовый</t>
  </si>
  <si>
    <t>Заменитель риса, низкобелковый, не менее 300 гр.</t>
  </si>
  <si>
    <t>Пюре овощное концентрированное</t>
  </si>
  <si>
    <t>Картофельного пюре с овощами вес не менее 140 грамм</t>
  </si>
  <si>
    <t>Ассорти десернтое не менее 750 гр</t>
  </si>
  <si>
    <t>Крекеры не менее 210 гр</t>
  </si>
  <si>
    <t>Сахарин порошок</t>
  </si>
  <si>
    <t>Сахаристые изделия, КУБИКИ, не менее 75 г</t>
  </si>
  <si>
    <t>Макароны Трубочки овощные, не менее 250 гр</t>
  </si>
  <si>
    <t>Заменитель манной крупы с низким содержанием белка, не менее 300 гр</t>
  </si>
  <si>
    <t>Крендельки луковые, не менее 120 гр.</t>
  </si>
  <si>
    <t>Смесь для картофельных крокетов, низкобелковая, не менее 300 г.</t>
  </si>
  <si>
    <t>Крендельки соленые не менее 60 гр.</t>
  </si>
  <si>
    <t>Ассорти из смесей для выпечки кексов не менее 1200 гр, не менее 3 шт (со вкусом лимона, ванили, шоколада)</t>
  </si>
  <si>
    <t xml:space="preserve">Низкобелковые универсальные сливки 43%, не менее 200 мл. </t>
  </si>
  <si>
    <t>Сушки низкобелковые, безглютеновые не менее 120 гр.</t>
  </si>
  <si>
    <t xml:space="preserve">Молоко сухое быстрорастворимое низкобелковое, не менее 400 гр. </t>
  </si>
  <si>
    <t>Овощные трубочки АССОРТИ (большая упаковка) низкобелковые, не менее 100 гр</t>
  </si>
  <si>
    <t>Безбелковый заменитель молока с низким содержанием фенилаланина не менее 500 грамм</t>
  </si>
  <si>
    <t>0200265461930</t>
  </si>
  <si>
    <t xml:space="preserve">Жуалынская ЦРБ	(№990240002334/260089/00, 18.03.2026)  БИН 990240002334.  </t>
  </si>
  <si>
    <t>Коммунальное государственное предприятие на праве хозяйственного ведения "Карасайская клиническая многопрофильная центральная районная больница" государственного учреждения "Управление здравоохранения Алматинской области"</t>
  </si>
  <si>
    <t>Алматинская область, Карасайский район, г.Каскелен, ЖАНГОЗИН, 14</t>
  </si>
  <si>
    <t>Сыр (кусок) безбелковый 200 гр.</t>
  </si>
  <si>
    <t>Сыр тертый</t>
  </si>
  <si>
    <t xml:space="preserve">Сыр (тертый) безбелковый 200 гр. </t>
  </si>
  <si>
    <t>Колбаса ливерная</t>
  </si>
  <si>
    <t>Колбаса картофельная ливерная низкобелковая 200 гр</t>
  </si>
  <si>
    <t>Сосиски по венски низкобелковые . ФКУ</t>
  </si>
  <si>
    <t>Картофель (ломтики, соломка, чипсы )обжаренный/подсушенный</t>
  </si>
  <si>
    <t>Чипсы безглютеновые 170 гр</t>
  </si>
  <si>
    <t>Каша груша низкобелковые 300 г</t>
  </si>
  <si>
    <t>Хлеб кукурузный низкобелковый безглютеновый 250г</t>
  </si>
  <si>
    <t>Крупа кукурузная сорт №1</t>
  </si>
  <si>
    <t>Крупа кус кус низкобелковые 500 гр</t>
  </si>
  <si>
    <t>Низкобелковая каша (фруктовая, кукурузная) 150</t>
  </si>
  <si>
    <t>Низкобелковая смесь для выпечек хлеба</t>
  </si>
  <si>
    <t>Сухарики со вкусом сыр 80г. ФКУ</t>
  </si>
  <si>
    <t>Карасайская РБ (№100340000118/260152/00, 20.02.2026)</t>
  </si>
  <si>
    <t>Карасайская РБ (№100340000118/260166/00, 	20.02.2026)  бин 100340000118</t>
  </si>
  <si>
    <t>Тарталетки Huber, из сдобного теста, с низким содержанием белка, 375 г</t>
  </si>
  <si>
    <t>Балхашская РБ  (№020240003847/260027/00, 12.02.2026)</t>
  </si>
  <si>
    <t>Тараз 5 ГП (№010940002046/260057/00 2026-02-10)</t>
  </si>
  <si>
    <t>Хлебцы из ржаной муки</t>
  </si>
  <si>
    <t>Гречиха класс 1</t>
  </si>
  <si>
    <t>Пирожное воздушное</t>
  </si>
  <si>
    <t>Мерке №990240002176/260095/00.      27.03.2026.       БИН 990240002176</t>
  </si>
  <si>
    <t>0200090467497</t>
  </si>
  <si>
    <t>Лечебная смесь БенАмин 20 – phe, 500 грамм</t>
  </si>
  <si>
    <t>Узынагаш(№100340003293/260162/00, 31.03.2026)</t>
  </si>
  <si>
    <t>Кулан ЦРБ	(№990240002126/260086/00, 20.03.2026)          БИН 990240002126</t>
  </si>
  <si>
    <t>Кулан ЦРБ (№990240002126/260084/00, 20.03.2026)          БИН 990240002126</t>
  </si>
  <si>
    <t>Кулан(№990240002126/260112/00, 20.03.2026)</t>
  </si>
  <si>
    <t>Сырым РБ (№070340006616/260076/00, 12.03.2026)   БИН 070340006616</t>
  </si>
  <si>
    <t>0200084998037</t>
  </si>
  <si>
    <t>0200084996460</t>
  </si>
  <si>
    <t>0200091053163</t>
  </si>
  <si>
    <t>0200087841798</t>
  </si>
  <si>
    <t>0200087153839</t>
  </si>
  <si>
    <t>0200126788534</t>
  </si>
  <si>
    <t>0200087025501</t>
  </si>
  <si>
    <t>Костанай 4ГП  (№101240019487/260065/00, 26.03.2026)  БИН 101240019487</t>
  </si>
  <si>
    <t>Костаеай 4ГП (№101240019487/260062/00, 20.03.2026)  БИН 101240019487</t>
  </si>
  <si>
    <t xml:space="preserve">Костанай 4ГП (№101240019487/260068/00, 27.03.2026) БИН 101240019487.   </t>
  </si>
  <si>
    <t>Костанай 3ГП (№950540000490/260069/00, 31.03.2026)  БИН 950540000490</t>
  </si>
  <si>
    <t>0200089498259</t>
  </si>
  <si>
    <t>0200087736254</t>
  </si>
  <si>
    <t>0200090796580</t>
  </si>
  <si>
    <t>0200084598183</t>
  </si>
  <si>
    <t>0200090796665</t>
  </si>
  <si>
    <t>0200090796757</t>
  </si>
  <si>
    <t>0200089970748</t>
  </si>
  <si>
    <t>0200088953674</t>
  </si>
  <si>
    <t>0200084999201</t>
  </si>
  <si>
    <t>0200084998907</t>
  </si>
  <si>
    <t>0200084621096</t>
  </si>
  <si>
    <t>0200084996552</t>
  </si>
  <si>
    <t>0200089497931</t>
  </si>
  <si>
    <t>0200126788541</t>
  </si>
  <si>
    <t>0200126768864</t>
  </si>
  <si>
    <t>0200087731815</t>
  </si>
  <si>
    <t>0200091079026</t>
  </si>
  <si>
    <t>Алматы 11ГП (№990240003005/260082/00,	20.03.2026) бин 990240003005</t>
  </si>
  <si>
    <t>Оскемен 1ГП(№110940015914/260086/00, 	24.02.2026)</t>
  </si>
  <si>
    <t>Актау 1ГП 	(№050740003840/260087/00, 18.03.2026) БИН 050740003840</t>
  </si>
  <si>
    <t>Рис	необрушенный, тип 1</t>
  </si>
  <si>
    <t>Шоколад	пористый, без начинки и без добавок, в брикетах</t>
  </si>
  <si>
    <t>Крупа кукурузная	сорт №1</t>
  </si>
  <si>
    <t xml:space="preserve"> Чипсы Bezgluten, с паприкой, 70 гр.</t>
  </si>
  <si>
    <t>Шоколад со вкусом клубники Sofra Strawberry Flavored Chocolate низкобелковый, 25 г</t>
  </si>
  <si>
    <t>Мартукская РБ  (№990240006713/260076/00      09.04.2026)   БИН 990240006713</t>
  </si>
  <si>
    <t>Мартукская РБ	(№990240006713/260055/00, 10.03.2026)     БИН 990240006713</t>
  </si>
  <si>
    <t>Коммунальное государственное предприятие на праве хозяйственного ведения "Городская поликлиника № 8" Управления общественного здравоохранения города Алматы</t>
  </si>
  <si>
    <t>г.Алматы, Туркебаева, 40</t>
  </si>
  <si>
    <t>Пудинг GlutensizSofra Магнолия, безглютеновый, шоколадный, 120 г</t>
  </si>
  <si>
    <t>Вафли	с кремовыми начинками</t>
  </si>
  <si>
    <t>Шоколад Huber Schokovani низкобелковый, ванильный, 80 г</t>
  </si>
  <si>
    <t>Макароны МакМастер Безбелковая овощная ракушка, 300 г</t>
  </si>
  <si>
    <t>Крупа пшеничная	мелкая</t>
  </si>
  <si>
    <t>Булгур GlutensizSofra, для плова, безглютеновый, 1 кг</t>
  </si>
  <si>
    <t>Макароны МакМастер Безбелковая, 350 г</t>
  </si>
  <si>
    <t>Изделия макаронные	макароны, из пшеничной муки, сорт 2</t>
  </si>
  <si>
    <t>Изделия макаронные	лапша, из пшеничной муки, сорт высший</t>
  </si>
  <si>
    <t>Шоколад	молочный, с начинкой, в батонах</t>
  </si>
  <si>
    <t>Шоколад со вкусом клубники Sofra Strawberry Flavored Chocolate
низкобелковый, 25 г</t>
  </si>
  <si>
    <t>Шоколадные капли Sofra Chocolate Drops низкобелковые, 50 г</t>
  </si>
  <si>
    <t>Десерт безглютеновый GlutensizSofra, тирамису, в стаканчике, 80 гр</t>
  </si>
  <si>
    <t xml:space="preserve"> Шоколад со вкусом апельсина Sofra Orange Flavored Chocolate
низкобелковый, 25 г</t>
  </si>
  <si>
    <t>Десерт безглютеновый GlutensizSofra, шоколадный, в стаканчике, 80 гр</t>
  </si>
  <si>
    <t>Рис	шелушеный, круглозерный, коричневый</t>
  </si>
  <si>
    <t>Шоколадная плитка GlutensizSofra, низкобелковая, 100 г.</t>
  </si>
  <si>
    <t>Безглютеновый мини-кекс Sofra Gluten-free с апельсином, 144 г</t>
  </si>
  <si>
    <t>Алматы 8ГП (№990240003045/260070/00,  02.04.2024)     БИН 990240003045</t>
  </si>
  <si>
    <t>Смесь для энтерального питания Nutridrink Нутризон Эдванс Нутридринк 322
г</t>
  </si>
  <si>
    <t>Узынагаш (№100340003293/260183/00,  02.04.2026) БИН 100340003293</t>
  </si>
  <si>
    <t>Смесь Nutrilon Пре 0 (с рождения) 400 г</t>
  </si>
  <si>
    <t>Западно-Казахстанская область, г.Уральск, Героя Советского Союза К.Ахмирова, 4</t>
  </si>
  <si>
    <t>Государственное коммунальное предприятие на праве хозяйственного ведения "Областной перинатальный центр" управления здравоохранения акимата Западно-Казахстанской области</t>
  </si>
  <si>
    <t xml:space="preserve">Уральск роддом (№090140001007/260079/00,  01.04.2026) БИН 090140001007.   </t>
  </si>
  <si>
    <t>Коммунальное государственное предприятие на праве хозяйственного ведения "Городская поликлиника № 12" Управления общественного здравоохранения города Алматы</t>
  </si>
  <si>
    <t>г.Алматы, Бостандыкский район, Попова, 23</t>
  </si>
  <si>
    <t xml:space="preserve">Алматы 12ГП (№990240002825/260043/00, 08.04.2026)   БИН 990240002825.   </t>
  </si>
  <si>
    <t xml:space="preserve">Уральск роддом (№090140001007/260081/00, 10.04.2026)  БИН 090140001007   </t>
  </si>
  <si>
    <t>Сосиски по-венски низкобелковые 204г</t>
  </si>
  <si>
    <t>Сыр мozzarella безбелковый, 400 г</t>
  </si>
  <si>
    <t>Сыр Моцарелла (тёртый) безбелковый, 200г</t>
  </si>
  <si>
    <t>Сыр Гауда (нарезка) безбелковый 150 гр</t>
  </si>
  <si>
    <t>Низкобелковый рис 400 гр.</t>
  </si>
  <si>
    <t>Сыр (нарезка) безбелковый 200гр</t>
  </si>
  <si>
    <t>Рис с низким содержанием белка - 1000гр невареный - 15мг PHE/100гр</t>
  </si>
  <si>
    <t>Колбаса с перцем низкобелковая,195г</t>
  </si>
  <si>
    <t>Универсальный мучной концентрат с низким содержанием белка для ФКУ, 1 кг</t>
  </si>
  <si>
    <t>Колбаса для жарки низкобелковая, 195г</t>
  </si>
  <si>
    <t>Рис с низким содержанием белка - 200гр</t>
  </si>
  <si>
    <t xml:space="preserve">Уральск 1ГП (№990240004102/260061/00,  07.04.2026)   БИН 990240004102.   </t>
  </si>
  <si>
    <t>Крем	сгущенный, сливочный</t>
  </si>
  <si>
    <t>Кексы с абрикосом 240г.</t>
  </si>
  <si>
    <t>Йогурт в ассортименте 100 гр.</t>
  </si>
  <si>
    <t>Сыр безбелковый 150г.</t>
  </si>
  <si>
    <t>Талдыкорган (№090240012125/260164/00, 14.04.2026)    БИН 090240012125</t>
  </si>
  <si>
    <t xml:space="preserve">Шалкар РБ (№990140004009/260163/00,  10.04.2026)  БИН 990140004009.  </t>
  </si>
  <si>
    <t xml:space="preserve"> Заменитель курятины SOFRA Chicken Substitute низкобелковый PKU, 180 г</t>
  </si>
  <si>
    <t>г.Алматы, Микрорайон ДОСТЫК , Улица ЖАЙДАРМАН, 17</t>
  </si>
  <si>
    <t>Коммунальное государственное предприятие на праве хозяйственного ведения "Городская поликлиника № 15" Управления общественного здравоохранения города Алматы</t>
  </si>
  <si>
    <t>Алматы 15ГП (№990740001483/260074/00,  14.04.2026)    БИН 990740001483</t>
  </si>
  <si>
    <t xml:space="preserve">Алматы 12ГП (№990240002825/260049/00,  14.04.2026)   БИН 990240002825.  </t>
  </si>
  <si>
    <t>Сосиска	говяжья</t>
  </si>
  <si>
    <t xml:space="preserve"> Томатный суп с лапшой Bezgluten, низкобелковый, 17 г</t>
  </si>
  <si>
    <t xml:space="preserve">Жанаозен 1ГП (№990340007170/260055/00,  15.04.2026) БИН 990340007170     </t>
  </si>
  <si>
    <t>Жанаозен 1ГП (№990340007170/260054/00,  15.04.2026)   БИН 990340007170</t>
  </si>
  <si>
    <t>Каргалы РБ (№090240008820/260042/00,  23.02.2026)       БИН 090240008820</t>
  </si>
  <si>
    <t>Заменитель риса Harifen, низкобелковый, 500 г.</t>
  </si>
  <si>
    <t>Алматы 4ГП (№990240003471/260055/00,   20.02.2026)        БИН 990240003471</t>
  </si>
  <si>
    <t>Колбаса Лионская Lyoner Art низкобелковая Loprofin SHS, 195г</t>
  </si>
  <si>
    <t>Лепешка Piadine Amino/220 гр</t>
  </si>
  <si>
    <t>Ассорти из сухариков Мак Мастер, 240гр</t>
  </si>
  <si>
    <t>Крем-паста со вкусом фундука 230 Taranis</t>
  </si>
  <si>
    <t>Каша манная низкобелковая Grießersatz MetaX, 300гр</t>
  </si>
  <si>
    <t>Низкобелковый заменитель рыбы Taranis, 248 гр</t>
  </si>
  <si>
    <t>Колбаса для жарки Bratwurst Art низкобелковая Loprofin SHS, 195г</t>
  </si>
  <si>
    <t>Напиток молочный. «Лопрофин», 200 мл</t>
  </si>
  <si>
    <t>Сливки универсальные 43% жирности безбелковые Schlagfix Германия ,LeHa GmbH, 200мл.</t>
  </si>
  <si>
    <t>Хлопья клубничные Flakes Erdbeergeschmack низкобелковые Loprofin, 375гр.</t>
  </si>
  <si>
    <t>Безглютеновая выпечка (2 штуки) низкобелковые булочки. Софра, 250гр</t>
  </si>
  <si>
    <t>Каша lp-fruity яблоко-банан низкобелковая Milupa, 300гр</t>
  </si>
  <si>
    <t>Круассаны Amino 200 г — 61 мг PHE / 100 г без начинки, 200гр</t>
  </si>
  <si>
    <t>Каша lp-fruity груша низкобелковая Milupa, 300гр</t>
  </si>
  <si>
    <t>Йогурт со вкусом клубники и карамели Taranis йогурт 4*125гр. Готовый продукт</t>
  </si>
  <si>
    <t>Круассаны CORNETTO ALLALBICOCCA Amino, 220гр</t>
  </si>
  <si>
    <t>Сыр Пармезан "VEGPARMESAN" (тёртый) безбелковый Green Idea, 200гр</t>
  </si>
  <si>
    <t>Хлопья шоколадные Flakes Chocolate низкобелковые Loprofin SHS, 375гр.</t>
  </si>
  <si>
    <t>Безглютеновый ВЕГАНСКИЙ БУБЛИК НИЗКОБЕЛКОВЫЙ Sofra, 190гр</t>
  </si>
  <si>
    <t>Каша "По-домашнему" с яблоками и льняной мукой АртЛайф, 35гр</t>
  </si>
  <si>
    <t>Кексы Cake ABRICOT со вкусом абрикоса TARANIS низкобелковые, 240гр</t>
  </si>
  <si>
    <t>Суп вермишелевый низкобелковый ВНИИК, 500г</t>
  </si>
  <si>
    <t>Хлебная смесь безглютеновая мука Mix per Pane Senza Glutine NUTRI FREE, 1000гр</t>
  </si>
  <si>
    <t>Симит турецкий, низкобелковая Софра, 250гр</t>
  </si>
  <si>
    <t>Каша овсяно-ржаная с брусникой и малиной АртЛайф, 35гр</t>
  </si>
  <si>
    <t>Хлопья медовые Ip-flakes низкобелковые Milupa, 375гр</t>
  </si>
  <si>
    <t>Круассаны Amino с абрикосовой начинкой 220гр — 48мг PHE / 100г</t>
  </si>
  <si>
    <t>Снеки картофельные со вкусом мяса из печи низкобелковые CARAMBA, 75гр.</t>
  </si>
  <si>
    <t>Манная крупа низкобелковая Taranis, 500гр</t>
  </si>
  <si>
    <t>Пирожные Amino с вишневой начинкой/180 гр</t>
  </si>
  <si>
    <t>Темиртау 2ГП (№990140002390/260067/00,  23.02.2026)     БИН 990140002390</t>
  </si>
  <si>
    <t>Смесь для выпечки кексов Cake mix, 500гр</t>
  </si>
  <si>
    <t>Заменитель яйца Ei-Ersatz низкобелковый Hammermühle, 250г.</t>
  </si>
  <si>
    <t>Смесь для выпечки низкобелковый заменитель яиц (белок 0,3 г в 100 г), 200гр.</t>
  </si>
  <si>
    <t>Смесь для выпечки РИСОВАЯ безглютеновая МакМастер, 700г</t>
  </si>
  <si>
    <t>Макароны спагетти низкобелковые MetaX, 500гр</t>
  </si>
  <si>
    <t>Макароны ракушки CONCHIGLIE APROTEICA низкобелковые Amino, 400гр</t>
  </si>
  <si>
    <t>Макароны "Колечки" ANELLINI низкобелковые FLAVIS, 250гр</t>
  </si>
  <si>
    <t>Макароны "Ригатони" RIGATONI низкобелковые FLAVIS, 500г.</t>
  </si>
  <si>
    <t>Макароны спирали FUSILLI APROTEICA низкобелковые Amino, 400г.</t>
  </si>
  <si>
    <t>Макароны Вермишель Vermicelli низкобелковые PKU SOFRA , 250гр.</t>
  </si>
  <si>
    <t>Макароны Спиральки овощные Vegetable Fusilli SOFRA, 250гр.</t>
  </si>
  <si>
    <t>Макароны Трубочки овощные Vegetable Pipe Pasta SOFRA , 250гр.</t>
  </si>
  <si>
    <t>Безглютеновая низкобелковая мука SOFRA GLUTEN FREE Low Protein Flour PKU SOFRA ( Пищевая ценность на 100 грамм: белки – 0,3 г), 1000гр.</t>
  </si>
  <si>
    <t>Смесь для овощного омлета Vegetable Omelet Mix низкобелковая PKU, 180г.</t>
  </si>
  <si>
    <t>Макароны Пенне Penne низкобелковые MetaX, 500г.</t>
  </si>
  <si>
    <t>Макароны "Ракушки" CONCHIGLIETTE низкобелковые FLAVIS, 500г.</t>
  </si>
  <si>
    <t>Harifen Suppennudeln (вермишель для супа), 500гр.</t>
  </si>
  <si>
    <t>Какао-порошок низкобелковый с йодом и витаминами АртЛайф, 400г.</t>
  </si>
  <si>
    <t>Сухарики Крутон со вкусом СМЕТАНА-ЛУК МакМастер, 80гр</t>
  </si>
  <si>
    <t>Сухие завтраки MacMaster, 300гр.</t>
  </si>
  <si>
    <t>Макароны спагетти, Mevalia, 500гр.</t>
  </si>
  <si>
    <t>Макароны трубы MEZZI RIGATONI APROTEICA низкобелковые Amino, 400г.</t>
  </si>
  <si>
    <t>Спагетти FLAVIS, 500гр</t>
  </si>
  <si>
    <t>Крендельки соленые Salinis Dr Shar Италия, 60 гр</t>
  </si>
  <si>
    <t>Заменитель яйца ZAMIENNIK JAJKA низкобелковый Bezgluten, 200гр</t>
  </si>
  <si>
    <t>Панировочная смесь Nugget Coating Mixture низкобелковая PKU SOFRA, 200гр.</t>
  </si>
  <si>
    <t>Макароны "Таглиателли" TAGLIATELLE низкобелковые FLAVIS, 200гр</t>
  </si>
  <si>
    <t>Макароны перья PENNE RIGATE APROTEICA низкобелковые Amino, 400г.</t>
  </si>
  <si>
    <t>Макароны низкобелковые в ассортименте Balviten, 250 гр</t>
  </si>
  <si>
    <t>Макароны спагетти SPAGHETTI APROTEICA низкобелковые Amino, 400гр</t>
  </si>
  <si>
    <t>Spaghetti (спагетти) Hammermuhle, 500гр</t>
  </si>
  <si>
    <t>Макароны HARIFEN суповая вермишель , 500гр.</t>
  </si>
  <si>
    <t>Смесь "Овощные блинчики" низкобелковая ВНИИК, 500гр</t>
  </si>
  <si>
    <t>Макароны "Спагетти" SPAGHETTI низкобелковые FLAVIS, 500г</t>
  </si>
  <si>
    <t>Соломка низкобелковая Paluszki, 60 гр</t>
  </si>
  <si>
    <t xml:space="preserve">Темирату 2ГП 	(№990140002390/260055/00, 16.02.2026)       БИН 990140002390. </t>
  </si>
  <si>
    <t>Риддер РБ (№990440001750/260154/00,  10.02.2026)       БИН 990440001750</t>
  </si>
  <si>
    <t>Государственное коммунальное предприятие "Хромтауская районная больница" на праве хозяйственного ведения государственного учреждения "Управление здравоохранения Актюбинской области"</t>
  </si>
  <si>
    <t>Актюбинская область, Хромтауский район, г.Хромтау, Проспект АБАЯ, 11</t>
  </si>
  <si>
    <t xml:space="preserve"> Вафли Flavis с фундуком с низким содержанием белка, с подсластителем, 150
г</t>
  </si>
  <si>
    <t>Яичный заменитель Bezgluten низкобелковый 200 г</t>
  </si>
  <si>
    <t>Хромтауская РБ (№990240006931/260077/00,  10.02.2026) БИН 990240006931</t>
  </si>
  <si>
    <t>г.Алматы, Наурызбайский</t>
  </si>
  <si>
    <t>Алматы 36ГП (№170740011310/260068/00,  10.02.2026)      БИН 170740011310</t>
  </si>
  <si>
    <t>Заменитель ризотто Taranis 1,2 кг, готовый продукт.</t>
  </si>
  <si>
    <t xml:space="preserve">Десерт «Пауза» со вкусом клубники и карамели Taranis йогурт 4*125 г. Готовый продукт. </t>
  </si>
  <si>
    <t>Смесь для приготовления Сырного соуса низкобелковая Taranis 200 г.</t>
  </si>
  <si>
    <t>Десерт со вкусом какао и ванили низкобелковый Taranis. 95 г. В 100гр.кол-ва белка -</t>
  </si>
  <si>
    <t>Алматы 30ГП (№040340003894/260045/00,  02.04.2026)         БИН 040340003894</t>
  </si>
  <si>
    <t>Сыр Моцарелла «VEGPARMEZAN» безбелковый Green
Idea, 150 г</t>
  </si>
  <si>
    <t>Ореховая паста Taranis Пластиковая банка 230 г с
многоразовой крышкой.</t>
  </si>
  <si>
    <t>Круассаны Amino 200 г - 61 мг РНЕ / 100 г без начинки.</t>
  </si>
  <si>
    <t>Печенье с шоколадной крошкой (органическое)
низкобелковое Taranis</t>
  </si>
  <si>
    <t>Сухари Амино с абрикосовым вкусом 290г - 37мг
РНЕ/100 г.</t>
  </si>
  <si>
    <t>Рис Echigo с низким содержанием белка - 1000 г
невареный - 15 мг РНЕ / 100г .</t>
  </si>
  <si>
    <t xml:space="preserve">Алматы 30ГП (№040340003894/260044/00,  04.02.2026)     БИН 040340003894.   </t>
  </si>
  <si>
    <t>Алматы 30ГП (№040340003894/260036/00,  04.02.2026)     БИН 040340003894</t>
  </si>
  <si>
    <t>Смесь	овощная, сушеная</t>
  </si>
  <si>
    <t>Мука	кукурузная, сеяная</t>
  </si>
  <si>
    <t xml:space="preserve">Mix B </t>
  </si>
  <si>
    <t>spaghetti</t>
  </si>
  <si>
    <t>Hoops 220г</t>
  </si>
  <si>
    <t>Digestive Landtaler 150г</t>
  </si>
  <si>
    <t>салинис</t>
  </si>
  <si>
    <t>Pan multigrano 250г schar</t>
  </si>
  <si>
    <t>schar</t>
  </si>
  <si>
    <t>bon matin</t>
  </si>
  <si>
    <t>hamburger 300г</t>
  </si>
  <si>
    <t>круассаны шэр 220г</t>
  </si>
  <si>
    <t>сушки</t>
  </si>
  <si>
    <t>фку</t>
  </si>
  <si>
    <t>Смесь Nutrilon (Nutricia) 2 гипоаллергенный (c 6 месяцев) 800 г50</t>
  </si>
  <si>
    <t xml:space="preserve">Алматы 8ГП (№990240003045/260068/00, 01.04.2026)    БИН 990240003045.      </t>
  </si>
  <si>
    <t>0200085589005</t>
  </si>
  <si>
    <t>0200084597780</t>
  </si>
  <si>
    <t>0200084620990</t>
  </si>
  <si>
    <t>Палочки хлебные Grissni Flavis 150гр.</t>
  </si>
  <si>
    <t>0200090798645</t>
  </si>
  <si>
    <t>0200084597551</t>
  </si>
  <si>
    <t>0200087049583</t>
  </si>
  <si>
    <t>0200083362549</t>
  </si>
  <si>
    <t>0200091560951</t>
  </si>
  <si>
    <t>0200089498143</t>
  </si>
  <si>
    <t>0200087695292</t>
  </si>
  <si>
    <t>0200126893436</t>
  </si>
  <si>
    <t>0200090797921</t>
  </si>
  <si>
    <t>0200009571277</t>
  </si>
  <si>
    <t>0200090795934</t>
  </si>
  <si>
    <t xml:space="preserve">Шуская ЦРБ 	(№990240002295/260110/00, 30.03.2026)     БИН 990240002295.  </t>
  </si>
  <si>
    <t>Алматы 36 ГП (	№170740011310/260089/00, 20.02.2026), бин 170740011310</t>
  </si>
  <si>
    <t xml:space="preserve"> </t>
  </si>
  <si>
    <t>Алматы 21 ГП(	№100140005292/260040/00, 20.02.2026) БИН 100140005292</t>
  </si>
  <si>
    <t>Шуская ЦРБ (№990240002295/260107/00, 30.03.2026) БИН 990240002295</t>
  </si>
  <si>
    <t>Алматы 19ГП(№090140017707/260116/00, 	2026-04-14) 090140017707</t>
  </si>
  <si>
    <t>Мерке ЦРБ 	(№990240002176/260075/00, 13.03.2026)        БИН 990240002176</t>
  </si>
  <si>
    <t>Мерке ЦРБ (№990240002176/260083/00, 20.03.2026)</t>
  </si>
  <si>
    <t xml:space="preserve">Алматы 5ГКБ (№990240002919/260157/00, 16.03.2026)  БИН 990240002919. </t>
  </si>
  <si>
    <t>Коммунальное государственное предприятие на праве хозяйственного ведения "Городская поликлиника №17" Управления общественного здравоохранения города Алматы</t>
  </si>
  <si>
    <t>г.Алматы, Басенова, 2</t>
  </si>
  <si>
    <t>Кусочек Оранжевый мини-торт 144GR софра</t>
  </si>
  <si>
    <t>Низкобелковые картофельные оладьи из Лопрофина — 170г</t>
  </si>
  <si>
    <t>Шоколад низкобелковый Софра, Турция 100г</t>
  </si>
  <si>
    <t>Десерт «Пауза» со вкусом клубники и карамели Taranis йогурт 4*125 гр. Готовый продукт</t>
  </si>
  <si>
    <t>Рис Echigo с низким содержанием белка — саше 200 гр</t>
  </si>
  <si>
    <t>Крем-паста со вкусом лесного и шоколада ореха Cream Spread низкобелковая PKU SOFRA, 300г</t>
  </si>
  <si>
    <t>Специализированный продукт диетического лечебного питания для детей, Булочки чиабатта Bezgluten, низкобелковые, 3х70 г</t>
  </si>
  <si>
    <t>Шоколад Knusperkrossi с хрустящими хлопьями низкобелковый Huber, 80г</t>
  </si>
  <si>
    <t>Соломка низкобелковая для больных фенилкетонурией –крекеры Meko Krak с кунжутом 100 гр</t>
  </si>
  <si>
    <t>Сливки универсальные 43% безбелковыe Schlagfix, 200мл</t>
  </si>
  <si>
    <t>Низкобелковая КАША КОРНФЛОР с витаминами МакМастер, 150г</t>
  </si>
  <si>
    <t>Каша lp-fruity яблоко-банан низкобелковая Milupa, 300г</t>
  </si>
  <si>
    <t>Сыр Моцарелла "VEGMOZZARELLA" (тёртый) безбелковый Green Idea, 200г</t>
  </si>
  <si>
    <t>Специализированный продукт диетического лечебного питания для детей Хлеб GlutensizSofra, кукурузные, 250 гр</t>
  </si>
  <si>
    <t>Специализированный продукт диетического лечебного питания для детей Заменитель яиц 200 гр. Sofra</t>
  </si>
  <si>
    <t>Мучная смесь для блинов и вафель низкобелковая TARANIS, 300г</t>
  </si>
  <si>
    <t>Молоко сухое быстрорастворимое низкобелковое lp-drink Milupa 400 гр.</t>
  </si>
  <si>
    <t>Печенье с шоколадной крошкой Cookies низкобелковое FLAVIS - диетический продукт специального медицинского предназначения для диетического питания при фенилкетонурии (ФКУ). 200 гр.</t>
  </si>
  <si>
    <t>Специализированный продукт диетического лечебного питания для детей, Чиабатта CIABATTINE низкобелковая Bezgluten, 4х65г</t>
  </si>
  <si>
    <t>Специализированный продукт диетического лечебного питания для детей, Овощные трубочки АССОРТИ (маленькая упаковка) низкобелковые CARAMBA, 35г</t>
  </si>
  <si>
    <t>Vitaflo ProZero Chocolate 250 мл — это вкусный безбелковый напиток со вкусом шоколада для питания в рамках диеты с пониженным содержанием белка при PKU, MSUD и подобных заболеваниях белкового обмена.</t>
  </si>
  <si>
    <t>Низкобелковое шоколадное печенье с шоколадной крошкой sofra 100гр</t>
  </si>
  <si>
    <t>Аминокислотные круассаны — 200 г — 61 мг PHE / 100 г без начинки Круассаны Amino</t>
  </si>
  <si>
    <t>Заменитель манной круппы с низким содержанием белка</t>
  </si>
  <si>
    <t>Специализированный продукт диетического лечебного питания для детей, Хлопья безглютеновые GlutensizSofra, кукурузные, 250 гр</t>
  </si>
  <si>
    <t>Низкобелковая смесь для выпечки хлеба «Ekmek unu» 1000 гр</t>
  </si>
  <si>
    <t>Amino Rusk Apricot — 290г — 37мг PHE / 100г Amino Rusk Apricot — это вкусный низкобелковый сухарь с абрикосовым вкусом, подслащенный фруктозой.</t>
  </si>
  <si>
    <t>Специализированный продукт диетического лечебного питания для детей, Мармелад " Червячки ","мишка" с кислинкой низкобелковый Фруктовый ,80гр</t>
  </si>
  <si>
    <t>Специализированный продукт диетического лечебного питания для детей, Заменитель риса Rice Substitute низкобелковый PKU SOFRA, 300г</t>
  </si>
  <si>
    <t>Печенье безглютеновое Bezgluten, с кокосовой начинкой, 210 г</t>
  </si>
  <si>
    <t>Смесь для картофельных крокетов Potato Croquette Mix низкобелковая PKU SOFRA, 300г</t>
  </si>
  <si>
    <t>тропические фрукты низкобелковый 80г Sofra</t>
  </si>
  <si>
    <t>Смесь для выпечки домашняя «Пекарь» низкобелковая для больных фенилкетонурией – «Tanem» 500 гр.</t>
  </si>
  <si>
    <t>Аминокислотные круассаны с абрикосовой начинкой — 220г — 48мг PHE / 100г Круассаны Amino с абрикосовой начинкой</t>
  </si>
  <si>
    <t>Сыр Моцарелла "VEGMOZZARELLA" безбелковый Green Idea</t>
  </si>
  <si>
    <t>Специализированный продукт диетического лечебного питания для детей Хлеб Bezgluten повседневный, низкобелковый, 300 г</t>
  </si>
  <si>
    <t>Лимонный, малиновый пудинг GlutensizSofra без глютена, 120 г низкобелковый замороженный продукт</t>
  </si>
  <si>
    <t>Специализированный продукт диетического лечебного питания для детей Заменитель мясо низкобелковая Taranis SHS, 248 гр</t>
  </si>
  <si>
    <t>Специализированный продукт диетического лечебного питания для детей, Заменитель мяса Meat Substitute низкобелковый PKU SOFRA, 180г</t>
  </si>
  <si>
    <t>Шоколадная плитка с кусочками хрустящего печенья низкобелковая Huber, 75г</t>
  </si>
  <si>
    <t>хлебное ассорти, булочки чеабатта низкобелковая Sofra, 4х65г</t>
  </si>
  <si>
    <t>Печенье песочное Frollini низкобелковое FLAVIS Флавис - диетический продукт специального медицинского предназначения для диетического питания при фенилкетонурии (ФКУ) 200 гр</t>
  </si>
  <si>
    <t>Ломтики подсушенного белого хлеба - тосты хрустящие FETTE BISCOTTATE низкобелковые продукт для питания при фенилкетонурии (ФКУ). 300 гр.</t>
  </si>
  <si>
    <t>Крупка гречневая Увелка низкобелковая (в варочных пакетиках), 5х80г</t>
  </si>
  <si>
    <t>Низкобелковые макаронные изделия Metax (Мелкая трубочка, спиральки, спагетти) 500 гр.</t>
  </si>
  <si>
    <t>Смеси для приготовление тесто пельмени, бешбармака, манты, для пресного тесто 1000 гр</t>
  </si>
  <si>
    <t>Taranis - Абрикосовые пирожные с низким содержанием белка - Абрикосовые пирожные Тарани 240 гр</t>
  </si>
  <si>
    <t>Макароны лапша TAGLIATELLE, вермишель, рожки, спиралики низкобелковые софра, 250г</t>
  </si>
  <si>
    <t>Суп-крем "Вегетарианский", "Лесной", "Куриный","Сырный", Суп-крем "По-французски" низкобелковый АртЛайф, 15г</t>
  </si>
  <si>
    <t>Шоколад со вкусом апельсина и клубники Chocolate низкобелковый PKU SOFRA, 25г</t>
  </si>
  <si>
    <t>Специализированный продукт диетического лечебного питания для детей панировочные сухари для нагетсов 200 гр.</t>
  </si>
  <si>
    <t>Смесь колбасная нежная Bland Sausage Mix низкобелковая PKU SOFRA, 180г</t>
  </si>
  <si>
    <t>Специализированный продукт диетического лечебного питания для детей Сыр Моцарелла "VEGPARMEZAN" безбелковый Green Idea 150 гр</t>
  </si>
  <si>
    <t>Печенье Безглютеновый апельсиновый бисквит 85 GR Софра</t>
  </si>
  <si>
    <t>Заменитель рыбы низкобелковая Taranis 248 гр</t>
  </si>
  <si>
    <t>Шоколадные Сердце Валентина — 200 г Huber</t>
  </si>
  <si>
    <t>Леденец с низким содержанием белка, 3 шт. 100 гр. Huber</t>
  </si>
  <si>
    <t>Шоколадные звери на палочке низкобелковые Huber, 60г</t>
  </si>
  <si>
    <t>Молочный напиток PKU dalia низкобелковый LTaranis, 200мл</t>
  </si>
  <si>
    <t>Основа для пиццы PIZZA низкобелковая Sofra 200 гр</t>
  </si>
  <si>
    <t>Низкобелковые макаронные изделия Софра (Мелкая трубочка, спиральки, спагетти) 500 гр.</t>
  </si>
  <si>
    <t>Какао-напиток растворимый ГОРЯЧИЙ ШОКОЛАД низкобелковый Версаль, 22,5г</t>
  </si>
  <si>
    <t>низкобелковые торты, пирожное замороженное продукция 360 гр. Sofra Турция</t>
  </si>
  <si>
    <t>Рис Echigo с низким содержанием белка — 1000 г невареный — 15 мг PHE / 100 г</t>
  </si>
  <si>
    <t>Ассорти низкобелковых шоколадов 100гр Sofra</t>
  </si>
  <si>
    <t>Основа для пиццы 200 гр. Низкобелковая Sofra</t>
  </si>
  <si>
    <t>Ореховая паста Taranis Пластиковая банка 230 г с многоразовой крышкой.</t>
  </si>
  <si>
    <t>Крекеры солёные САЛТИ Salti безглютеновые низкобелковые Dr.Schär, 175г</t>
  </si>
  <si>
    <t>Низкобелковая КАША Арт лайф 20 гр 3 злака</t>
  </si>
  <si>
    <t>Сыр Моцарелла "VEGPARMEZAN" безбелковый Green Idea 150 гр</t>
  </si>
  <si>
    <t>пирожное амико с вишней 25 г</t>
  </si>
  <si>
    <t>снеки нутри фри</t>
  </si>
  <si>
    <t>Чипсы с низким содержанием белка — с солью и паприка 140 гр. Besgluten crisps</t>
  </si>
  <si>
    <t>заменитель мяса таранис</t>
  </si>
  <si>
    <t>круассан амико с абрикосом 25 г</t>
  </si>
  <si>
    <t>сливки низкобелковые</t>
  </si>
  <si>
    <t>Низкобелковые хлопья для завтрака ассорти Лопрофин Loprofin SHS. 375 гр.</t>
  </si>
  <si>
    <t>Мармелад " Червячки ","мишка" с кислинкой низкобелковый Фруктовый ,80гр</t>
  </si>
  <si>
    <t>низкобелковая смесь для бургеров mysnack</t>
  </si>
  <si>
    <t>Специализированный продукт диетического лечебного питания для детей - риса таранис</t>
  </si>
  <si>
    <t>Специализированный продукт диетического лечебного питания для детей - печенье с шоколадной крошкой 50 г</t>
  </si>
  <si>
    <t>Какао-порошок низкебелковый с йодом и витаминами Арт Лайф 400 гр</t>
  </si>
  <si>
    <t>Amino Rusk Apricot — 290г — 37мг PHE / 100г</t>
  </si>
  <si>
    <t>заменитель сыра таранис</t>
  </si>
  <si>
    <t>десерт замороженный малина глютен софра 80 гр.</t>
  </si>
  <si>
    <t>Чипсы классические Curvies безглютеновые, 170г</t>
  </si>
  <si>
    <t>Специализированный продукт диетического лечебного питания для детей - домашние печенье с низким содержанием белка</t>
  </si>
  <si>
    <t>Специализированный продукт диетического лечебного питания для детей - сливки низкобелковые взбитые</t>
  </si>
  <si>
    <t>Специализированный продукт диетического лечебного питания для детей - Кускус</t>
  </si>
  <si>
    <t>Специализированный продукт диетического лечебного питания для детей - манная крупа</t>
  </si>
  <si>
    <t>Низкобелкове взбитые сливки</t>
  </si>
  <si>
    <t>Кускус низкобелковый</t>
  </si>
  <si>
    <t>Крендельки солёные Салинис Salinis безглютеновые низкобелковые Dr.Schär, 60г</t>
  </si>
  <si>
    <t>миндальный торт замороженный тёмный шоколад</t>
  </si>
  <si>
    <t>Кексы Cake CITRON со вкусом лимона и обрикоса TARANIS,240гр</t>
  </si>
  <si>
    <t xml:space="preserve">Алматы 17ГП (№990640000184/260299/00,  07.04.2026)    БИН 990640000184.   </t>
  </si>
  <si>
    <t>0200084559399</t>
  </si>
  <si>
    <t>0200126863750</t>
  </si>
  <si>
    <t>0200084621225</t>
  </si>
  <si>
    <t xml:space="preserve">Алматы 17ГП (№990640000184/260298/00,    07.04.2026)     БИН 990640000184.    </t>
  </si>
  <si>
    <t xml:space="preserve"> Лепешка Amino Piadine, низкобелковая, 220 гр</t>
  </si>
  <si>
    <t>Макаронные изделия Nutricia Loprofin Lasagne, 250 г., низкобелковые</t>
  </si>
  <si>
    <t>Шоколадные звери на палочке Huber низкобелковые, 60 г</t>
  </si>
  <si>
    <t>Мясо ягненка	замороженное, туша, II категория</t>
  </si>
  <si>
    <t>Текели (№020240003798/260127/00,  21.04.2026)     БИН 020240003798</t>
  </si>
  <si>
    <t>Палочки крупяные	пшеничные</t>
  </si>
  <si>
    <t>Ассорти овощное	консервированное</t>
  </si>
  <si>
    <t>Сливки	жирность более 1,5%, сухие</t>
  </si>
  <si>
    <t>Консерва мясная	из субпродуктов</t>
  </si>
  <si>
    <t>Порошок	яичный, сухой</t>
  </si>
  <si>
    <t>Йогурт	с пищевыми добавками</t>
  </si>
  <si>
    <t>Порошок	картофельный</t>
  </si>
  <si>
    <t>Восточно-Казахстанская область, район Алтай, г.Алтай, ТАУЕЛСИЗДИК, 16</t>
  </si>
  <si>
    <t>Коммунальное государственное предприятие на праве хозяйственного ведения "Межрайонная больница района Алтай" управления здравоохранения Восточно-Казахстанской области</t>
  </si>
  <si>
    <t>Межрайонная больница района Алтай (№130440013041/260229/00)       БИН 130440013041</t>
  </si>
  <si>
    <t>ГКП на праве хозяйственного ведения "Коксуская центральная районная больница" государственного учреждения "Управление здравоохранения области Жетісу" акимата области Жетісу.</t>
  </si>
  <si>
    <t>область Жетісу, Коксуский район, с.Балпык би, И. ИЗМАЙЛОВ, 4</t>
  </si>
  <si>
    <t>Шоколадный батончик низкобелковые и высокой калорийности со вкусом шоколада</t>
  </si>
  <si>
    <t>Безбелковый бублик в упаковке (2шт) 190гр</t>
  </si>
  <si>
    <t>Алматы 11ГП (№990240003005/260105/00,  20.04.2026)    БИН 990240003005</t>
  </si>
  <si>
    <t xml:space="preserve">Государственное коммунальное предприятие "Городская поликлиника №4" на праве хозяйственного ведения государственного учреждения "Управление здравоохранения Актюбинской области". </t>
  </si>
  <si>
    <t xml:space="preserve">Смесь	для детей 0-12 месяцев, молочная, сухая, пресная     </t>
  </si>
  <si>
    <t xml:space="preserve">Актобе 4ГП (№020640002615/260094/00.  20.04.2026)   БИН 020640002615.  </t>
  </si>
  <si>
    <t xml:space="preserve">Павлодар 5ГП (№990240004221/260087/00)    17.04.2026.  БИН 990240004221.  </t>
  </si>
  <si>
    <t>Печенье безглютеновое кунжутное</t>
  </si>
  <si>
    <t>Государственное коммунальное предприятие на праве хозяйственного ведения "Районная поликлиника Сауран" управления здравоохранения Туркестанской области</t>
  </si>
  <si>
    <t>Туркестанская область, район Сауран, с.Чернак, КУАТБЕК ТЕМИРБАЕВ, 2А</t>
  </si>
  <si>
    <t>МД мил ФКУ – 1</t>
  </si>
  <si>
    <t>Mevalia Lattis 500 мл</t>
  </si>
  <si>
    <t>Напиток PKU-200 мл</t>
  </si>
  <si>
    <t>Низкобелковая смесь для приготовления вареников, макарон, блинов</t>
  </si>
  <si>
    <t>Низкобелковая смесь для выпечки хлеба и пасты</t>
  </si>
  <si>
    <t>Низкобелковые макаронные изделия —ракушки</t>
  </si>
  <si>
    <t>Десертное печенье с низким содержанием белка, 150 грамм</t>
  </si>
  <si>
    <t>Сыр низкобелковый. 150 грамм (плавленный)</t>
  </si>
  <si>
    <t>Сыр 400 грамм</t>
  </si>
  <si>
    <t>Низкобелковые макаронные изделия —тортильони</t>
  </si>
  <si>
    <t>Низкобелковое пирожные с вишневой начинкой</t>
  </si>
  <si>
    <t>Низкобелковые соленые снеки, 120 грамм</t>
  </si>
  <si>
    <t>Вафли с низким содержанием белка с шоколадной начинкой (90 грамм)</t>
  </si>
  <si>
    <t>Низкобелковые тарталетки со вкусом какао</t>
  </si>
  <si>
    <t>Костанай 2ГП (№960140000488/260173/00,   20.04.2026)    БИН 960140000488</t>
  </si>
  <si>
    <t>Сясное ассорти Loprofin Zum Aufschneiden Paprikalyoner Art, с низким содержанием белка, 195 г</t>
  </si>
  <si>
    <t>Тарталетки Huber, из сдобного теста, с низким содержанием белка, 375 г.</t>
  </si>
  <si>
    <t>Смесь низкобелковая для овощного супа Sofra Low-protein Vegetable Soup Mix 20 г</t>
  </si>
  <si>
    <t>Сыр Моцарелла "VEGPARMEZAN" безбелковый Green Idea 150 гр Green Idea</t>
  </si>
  <si>
    <t>малоежка</t>
  </si>
  <si>
    <t>ciocko sticks 150г</t>
  </si>
  <si>
    <t>chocolate os 165г</t>
  </si>
  <si>
    <t>салти 175г</t>
  </si>
  <si>
    <t>0200088123206</t>
  </si>
  <si>
    <t xml:space="preserve">Уральск 1ГП №990240004102/260059/00, 02.04.2026)      БИН 990240004102    </t>
  </si>
  <si>
    <t>0200126853386</t>
  </si>
  <si>
    <t>0200126863842</t>
  </si>
  <si>
    <t>0200265422528</t>
  </si>
  <si>
    <t>0200126881242</t>
  </si>
  <si>
    <t>0200084996187</t>
  </si>
  <si>
    <t>0200126881174</t>
  </si>
  <si>
    <t>0200084621324</t>
  </si>
  <si>
    <t>0200087037160</t>
  </si>
  <si>
    <t>0200087565731</t>
  </si>
  <si>
    <t>0200087002236</t>
  </si>
  <si>
    <t>0200087030154</t>
  </si>
  <si>
    <t>0200126865693</t>
  </si>
  <si>
    <t>0200120771266</t>
  </si>
  <si>
    <t xml:space="preserve">Костанай 3ГП (№950540000490/260110/00, 21.04.2026).    БИН 950540000490.  </t>
  </si>
  <si>
    <t xml:space="preserve">Сауран (№210940008388/260081/00, 28.04.2026)     БИН 210940008388.  </t>
  </si>
  <si>
    <t>Алматы, Дом Ребенка (№№780640000031/260031/00, 29.04.2026) БИН 780640000031</t>
  </si>
  <si>
    <t>г.Алматы, Медеуский район Проспект Достык, 107/5</t>
  </si>
  <si>
    <t>Коммунальное государственное учреждение "Специализированный Дом ребенка" Управления общественного здравоохранения города Алматы"</t>
  </si>
  <si>
    <t>0200126872769</t>
  </si>
  <si>
    <t>0200126872875</t>
  </si>
  <si>
    <t>0200090157725</t>
  </si>
  <si>
    <t>0200091381952</t>
  </si>
  <si>
    <t>0200084997610</t>
  </si>
  <si>
    <t>0200090466988</t>
  </si>
  <si>
    <t>0200087027222</t>
  </si>
  <si>
    <t>0200090798386</t>
  </si>
  <si>
    <t>Коммунальное государственное предприятие на праве хозяйственного ведения "Городская поликлиника № 1" Управления общественного здоравоохранения города Алматы</t>
  </si>
  <si>
    <t>г.Алматы, Медеуский район Гоголя 53/63</t>
  </si>
  <si>
    <t>Алматы 1ГП (№990240001960/260122/00, 26.04.2026) БИН 990240001960</t>
  </si>
  <si>
    <t>Продукт	специализированный, для энтерального питания	Безглютиновое печенье, с шоколадной крошкой</t>
  </si>
  <si>
    <t>Продукт	специализированный, для энтерального питания	Глютенсіз макарон, спагетти / глютенсіз макарон, спагетти</t>
  </si>
  <si>
    <t>Продукт	специализированный, для энтерального питания	Безглютинные макаронные изделия , перья</t>
  </si>
  <si>
    <t>Продукт	специализированный, для энтерального питания	Безглютинные макаронные изделия, спираль</t>
  </si>
  <si>
    <t>Продукт	специализированный, для энтерального питания	Безглютиновое печенье, печенье-палочки в молочном шоколаде</t>
  </si>
  <si>
    <t>Продукт	специализированный, для энтерального питания	Безглютиновые печенье, покрытые шоколадом</t>
  </si>
  <si>
    <t>Продукт	специализированный, для энтерального питания	Безглютиновое печенье, безглютиновые печенье с какао и прослойкой из молочного крема</t>
  </si>
  <si>
    <t>Продукт	специализированный, для энтерального питания	Безглютиновое печенье, бисквиты покрытые шоколадом</t>
  </si>
  <si>
    <t>Продукт	специализированный, для энтерального питания	Завтрак без глютена, хрустящие какао-шарики/безглютеновые сухие завтраки, хрустящие какао-шарики</t>
  </si>
  <si>
    <t>Продукт	специализированный, для энтерального питания	Безглютиновое печенье, с молочной начинкой</t>
  </si>
  <si>
    <t>Продукт	специализированный, для энтерального питания	Безглютинные макаронные издения, вермишель</t>
  </si>
  <si>
    <t>Продукт	специализированный, для энтерального питания	Безглютиновые вафли с какао</t>
  </si>
  <si>
    <t>Коммунальное государственное учреждение "Управление здравоохранения города Шымкент"</t>
  </si>
  <si>
    <t>г.Шымкент, район Тұран Медицинские организаций города Шымкент</t>
  </si>
  <si>
    <t>УЗО (№180740018895/260030/00, 02.05.2026) БИН 180740018895</t>
  </si>
  <si>
    <t>Макаронные изделия спираль 250 гр Состав: кукурузная мука, рисовая мука, эмульгатор: моно- и диглицериды жирных кислот. Может содержать следы сои. Без лактозы, без глютена. Пищевая и энергетическая ценность на 100 гр: энергетическая ценность (калорийность) - 1513/357 кДж/ккал жиры - 1,9 гр в т.ч. насыщенные жирные кислоты - 0,4 гр углеводы - 77 гр в т.ч. сахар – 0,5 гр пищевые волокна – 1,2 гр белок – 7,3 гр соль - 0 гр</t>
  </si>
  <si>
    <t>Печенье с кусочками шоколада Состав: кукурузный крахмал, масло пальмовое, кукурузная мука, кусочки шоколада (сахар, какао тертое*, какао-масло, эмульгатор: лецитины, натуральный ароматизатор), сахар, мальтодекстрин, соевая мука, сушенная мякоть кокоса, загуститель: дикрахмалфосфат оксипропилированный, разрыхлители: гидрокарбонат аммония, гидрокарбонат натрия, соль, ароматизатор натуральный. Пищевая и энергетическая ценность на 100 г энергетическая ценность (калорийность) 2186/523 кДж/ккал жиры 28 г в т.ч. насыщенные жирные кислоты 15 г углеводы 62 г в т.ч. сахар 21 г пищевые волокна 2,8 г белок 4,3 г соль 0,55 г</t>
  </si>
  <si>
    <t>Вафли ореховые Состав: крахмал картофельный, сахар, масло кокосовое, ореховый крем, мука рисовая, сыворотка молочная сухая, мальтодекстрин, обезжиренный какаопорошок*, мука соевая; эмульгатор лецитины, ароматизатор натуральный, загуститель гуаровая камедь, разрыхлитель гидрокарбонат натрия. Без глютена Пищевая и энергетическая ценность на 100 г энергетическая ценность (калорийность) 2142/ 511 кДж/ккал жиры 25 гр в т.ч. насыщенные жирные кислоты 16 гр углеводы 68 гр в т.ч. сахар 27 гр пищевые волокна 1,5 гр белок 3,3 гр соль 0,10 гр</t>
  </si>
  <si>
    <t>Крендельки соленые СОСТАВ: крахмал кукурузный, пальмовое масло, соль морская, сахар, дрожжи, стабилизатор: карбоксиметилцеллюлоза, эмульгатор, лецитины, разрыхлители, дигидропирофосфат натрия, гидрокарбонат натрия, регулятор кислотности, гидроксид натрия. Возможно наличие семян кунжута Энергетическая ценность 2022 кДж /482ккал Жиры 21 гр В том числе насыщенные жирные кислоты 9,9 гр Углеводы 72 гр В том числе сахар 2,0 гр Белок 0,9 гр Соль 2,5 гр</t>
  </si>
  <si>
    <t>Бисквиты покрытые шоколадом Состав: сахар, растительные масла и жиры в разных пропорциях (пальмовое, пальмоядровое), глюкозно-фруктозный сироп, яйца, вода, молоко сухое обезжиренное 7,2%, мука рисовая, крахмал кукурузный, мука кукурузная, крахмал рисовый, какао порошок обезжиренный. *2,3%, эмульгаторы: монодиглицериды жирных кислот, соевый лецитин, натуральные ароматизаторы, клетчатка цикория, соль, разрыхлители: глюконо-дельта-лактон, бикарбонат натрия; загустители: камедь рожкового дерева, ксантовая камедь. Без глютена Пищевая и энергетическая ценность на 100 гр: энергетическая ценность (калорийность) – 1776 кДж/423 ккал жиры - 18 гр в т.ч. насыщенные жирные кислоты – 11 гр углеводы - 59 гр в т.ч. сахар – 36 гр пищевые волокна – 1,1 гр белок – 5,3 гр соль – 0,42 гр.</t>
  </si>
  <si>
    <t>Макаронные изделия спагетти Состав: кукурузная мука, рисовая мука, эмульгатор: моно- и диглицериды жирных кислот. Может содержать следы сои. Без лактозы. Без глютена Пищевая и энергетическая ценность на 100 гр: энергетическая ценность (калорийность) - 1513/357 кДж/ккал жиры - 1,9 гр в т.ч. насыщенные жирные кислоты - 0,4 гр углеводы - 77 гр в т.ч. сахар – 0,5 гр пищевые волокна – 1,2 гр белок – 7,3 гр соль - 0 гр</t>
  </si>
  <si>
    <t>Хрустящие какао-шарики Состав: Крупа кукурузная, сахар, какао-порошок, соль йодированная. Без лактозы. Без глютена Пищевая и энергетическая ценность на 100 гр: энергетическая ценность (калорийность) – 1601 кДж/378 ккал жиры - 2,5 гр в т.ч. насыщенные жирные кислоты – 1,6 гр углеводы - 78 гр в т.ч. сахар – 21 гр пищевые волокна – 4,9 гр белок – 8,4 гр соль – 0,75 гр</t>
  </si>
  <si>
    <t>Печенье с шоколадом Состав: Мука кукурузная, темный шоколад (како тертое*, сахар, масло какао*), крахмал кукурузный, сахар, масло пальмовое, сливочное масло, молоко сухое цельное, глюкозный сироп, модифицированный кукурузный крахмал, разрыхрытели карбонат аммония и гидрокарбонат натрия, модифицированный крахмал тапиоки, соль, натуральный ароматизатор. Возможно наличие следов яиц, миндаля и фундука. Не содержит пшеницы. Пищевая и энергетическая ценность на 100 гр: энергетическая ценность (калорийность) - 2049/489 кДж/ккал жиры - 22 гр в т.ч. насыщенные жирные кислоты – 12 гр углеводы - 67 гр в т.ч. сахар – 23 гр пищевые волокна – 3,1 гр белок – 4,2 гр соль – 0,73 гр.</t>
  </si>
  <si>
    <t>Вафли с какао Состав: картофельный крахмал, сахар, кокосовое масло, обезжиренный какао-порошок, рисовая мука, соевая мука, эмульгатор лецитины; загуститель: гуаровая камедь, разрыхлитель: гидрокарбонат натрия; какао-порошок* 0,3%, карамелизированный сахар. Возможно наличие следов фундука, молока. Без глютена. Пищевая и энергетическая ценность на 100 г энергетическая ценность (калорийность) 2163/ 517 кДж/ккал жиры 27 гр в т.ч. насыщенные жирные кислоты 20 гр углеводы 62 гр в т.ч. сахар 32 гр пищевые волокна 4,1 гр белок 4,6 гр соль 0,14 гр</t>
  </si>
  <si>
    <t>Безглютеновое печение с какао и прослойкой из молочного крема. Состав: молочный крем 35% [растительные жиры (кокосовый, пальмовый), сухое цельное молоко 21,6%, декстроза, сахар, лактоза, эмульгатор: соевый лецитин, натуральный ароматизатор], кукурузный крахмал, сахар, пальмовый масло, кукурузная мука, обезжиренный какаопорошок 5%, соевая мука, картофельный крахмал, сухое цельное молоко, соль, разрыхлители: гидрокарбонат аммония, гидрокарбонат натрия. Может содержать следы люпина Пищевая и энергетическая ценность на 100 гр: энергетическая ценность (калорийность) – 2087 кДж/499 ккал жиры - 24 гр в т.ч. насыщенные жирные кислоты – 15 гр углеводы - 62 гр в т.ч. сахар – 31 гр пищевые волокна – 4,1 гр белок – 6,6 гр соль – 1,0 гр.</t>
  </si>
  <si>
    <t>Палочки в молочном шоколаде Состав: кукурузный крахмал и тапиоковый, мука кукурузная, сахар, масло пальмовое, глюкозный сироп, загуститель- гуаровая камедь, соль, эмульгатор-лецитины, разрыхлители-гидрокарбонат натрия и гидрокарбонат аммония; молочный шоколад (сахар тросниковый, какао тертое*, масло какао*, молоко сухое цельное, эмульгатор-лецитины, ароматизатор натуральный). Возможно наличие следов яиц и орехов (миндаль, фундук). Без глютена. Пищевая и энергетическая ценность на 100 гр: энергетическая ценность (калорийность) – 2079Дж/496 ккал жиры - 23 гр в т.ч. насыщенные жирные кислоты – 13 гр углеводы - 66 гр в т.ч. сахар – 30 гр пищевые волокна – 3,1 гр белок – 4,6 гр соль – 0,38 гр.</t>
  </si>
  <si>
    <t>Печенье сливочное Ингредиенты: кукурузная мука, сливочное масло (молоко) 30%, соевая мука, модифицированный кукурузный крахмал, соль. Может содержать люпин. Без яйца. Без глютена. Пищевая ценность 100 гр Энергетическая ценность 2160 кДж 517 ккал Жиры 28 гр Из которых насыщенные жирные кислоты 16 гр Углеводы 59 гр Из которых сахар 20 гр Пищевые волокна 1,9 гр Белок 6,2 гр Соль 0,55 гр</t>
  </si>
  <si>
    <t>Макаронные изделия перья Состав: кукурузная мука, рисовая мука, эмульгаторы: моно- и диглицериды жирных кислот. Может содержать следы сои. Без лактозы. Без глютена. Пищевая и энергетическая ценность на 100 гр: энергетическая ценность (калорийность) - 1513/357 кДж/ккал жиры - 1,9 гр в т.ч. насыщенные жирные кислоты - 0,4 гр углеводы - 77 гр в т.ч. сахар – 0,5 гр пищевые волокна – 1,2 гр белок – 7,3 гр соль - 0 гр ГОСТ 32196-2013</t>
  </si>
  <si>
    <t>Кукурузные хлопья 250 гр Состав: крупа кукурузная, сахар, соль, эмульгатор: лецитины, витамины: (ниацин, пантотеновая кислота, витамин В6, рибофлавин, тиамин, фолиевая кислота, биотин, витамин В12). Без лактозы. Без глютена Пищевая и энергетическая ценность на 100 гр: энергетическая ценность (калорийность) – 1573 кДж/371 ккал жиры - 1,0 гр в т.ч. насыщенные жирные кислоты – 0,2 гр углеводы - 80 гр в т.ч. сахар – 4,2 гр пищевые волокна – 5,0 гр белок – 8,0 гр соль – 1,8 гр Тиамин 0,90 мг рибофлавин 1,20 мг ниацин 13 мг Витамин В6 1,20 мг Фолиевая кислота 170 мкг Витамин В12 2,00 мкг Биотин 40 мкг Пантотеновая кислота 5,00 мг</t>
  </si>
  <si>
    <t>Макаронные изделия вермишель Состав: кукурузная мука, рисовая мука, пшенная мука, эмульгаторы: моно-и диглицериды жирных кислот. Может содержать следы сои. Без лактозы. Без глютена. Пищевая и энергетическая ценность на 100 гр: энергетическая ценность (калорийность) - 1522/359 кДж/ккал жиры - 2,3 гр в т.ч. насыщенные жирные кислоты - 0,4 гр углеводы - 75 гр в т.ч. сахар – 0,3 гр пищевые волокна – 2,0 гр белок – 8,2 гр соль - 0 гр</t>
  </si>
  <si>
    <t>Безглютеновая мучная смесь для выпечки хлеба Состав: кукурузный крахмал, рисовая мука, пищевые волокна подорожника и бамбука. Мука рисовая обойная, мука чечевичная, декстроза, загуститель гидроксипропилметилцеллюлоза, соль. Может содержать следы сои. Без глютена Без лактозы. Пищевая и энергетическая ценность на 100 гр.: энергетическая ценность (калорийность) 1429 кДж/337 ккал жиры – 0,6 гр в т.ч. насыщенные жирные кислоты - 0.3 гр углеводы - 78 гр в т.ч. сахар – 2,6 гр пищевые волокна – 4,1 гр белок – 2,6 гр соль – 0,73 гр</t>
  </si>
  <si>
    <t>Продукт	специализированный, для энтерального питания 	Специальная мучная смесь для выпечки хлеба/Специальная мучная смесь для выпечки хлеба</t>
  </si>
  <si>
    <t>Продукт	специализированный, для энтерального питания 	Безглютиновые вафли ореховые</t>
  </si>
  <si>
    <t>Продукт	специализированный, для энтерального питания	 Безглютиновые печенье, крендельки соленые</t>
  </si>
  <si>
    <t>Mix B - Bread-Mix 1000г</t>
  </si>
  <si>
    <t>Choco Chip Cookies 100г</t>
  </si>
  <si>
    <t>Wafers alle nocciole
Безглютеновые ореховые вафли.</t>
  </si>
  <si>
    <t>Безглютеновые крендельки Salinis</t>
  </si>
  <si>
    <t>Безглютеновые макаронные изделия.
Spaghetti</t>
  </si>
  <si>
    <t>Penne</t>
  </si>
  <si>
    <t>Ciocko Sticks</t>
  </si>
  <si>
    <t>Biscotti con Cioccolato</t>
  </si>
  <si>
    <t>Corn Flakes</t>
  </si>
  <si>
    <t>Chocolate O's</t>
  </si>
  <si>
    <t>Wafers al cacao</t>
  </si>
  <si>
    <t>Capelli d'Angelo</t>
  </si>
  <si>
    <t>Choco Balls</t>
  </si>
  <si>
    <t>Pausa Ciok
Бисквитные безглютеновые батончики с какао</t>
  </si>
  <si>
    <t>Продукт	специализированный, для энтерального питания 	Завтрак без глютена, кукурузные хлопья/безглютеновые сухие завтраки, кукурузные хлопья</t>
  </si>
  <si>
    <t>Алматы 16ГП 	(№990340002645/260051/00, 27.03.2026)         БИН 990340002645</t>
  </si>
  <si>
    <t>остаток</t>
  </si>
  <si>
    <t>килограмм</t>
  </si>
  <si>
    <t>сумма закупа</t>
  </si>
  <si>
    <t>цена за пачку по договору</t>
  </si>
  <si>
    <t>ндс</t>
  </si>
  <si>
    <t>штук в 1 кг</t>
  </si>
  <si>
    <t xml:space="preserve">цена у полины </t>
  </si>
  <si>
    <t>сумма закупа, с ндс</t>
  </si>
  <si>
    <t>убыточный</t>
  </si>
  <si>
    <t xml:space="preserve">количество </t>
  </si>
  <si>
    <t>Специализированное питание «Nutricia Liquigen 250 мл»</t>
  </si>
  <si>
    <t>Алматы 15ГП (№990740001483/260093/00, 06.05.2026)  БИН 990740001483</t>
  </si>
  <si>
    <t>Алматы 15ГП (№990740001483/260092/01, 06.05.2026)</t>
  </si>
  <si>
    <r>
      <t>Алматы 13ГП(№</t>
    </r>
    <r>
      <rPr>
        <sz val="14"/>
        <color theme="1"/>
        <rFont val="Times New Roman"/>
        <family val="1"/>
      </rPr>
      <t xml:space="preserve">011240001891/260007/00 </t>
    </r>
    <r>
      <rPr>
        <b/>
        <sz val="14"/>
        <color theme="1"/>
        <rFont val="Times New Roman"/>
        <family val="1"/>
      </rPr>
      <t>2026-01-15)</t>
    </r>
  </si>
  <si>
    <t>0200084597872</t>
  </si>
  <si>
    <t>0200084229742</t>
  </si>
  <si>
    <t>0200087730924</t>
  </si>
  <si>
    <t>0200087733512</t>
  </si>
  <si>
    <t>0200085110438</t>
  </si>
  <si>
    <t>0200084997566</t>
  </si>
  <si>
    <t>0200126624962</t>
  </si>
  <si>
    <t>0200084996323</t>
  </si>
  <si>
    <t>0200126865655</t>
  </si>
  <si>
    <t>0200126865679</t>
  </si>
  <si>
    <t>Радюк А</t>
  </si>
  <si>
    <t>Ерленулы О.</t>
  </si>
  <si>
    <t>Алматы 30ГП (№040340003894/260034/00, 30.01.2026)  бин 040340003894</t>
  </si>
  <si>
    <t>Хлебцы	из пшеничной муки</t>
  </si>
  <si>
    <t>0200089106031</t>
  </si>
  <si>
    <t>0200085101979</t>
  </si>
  <si>
    <t>0200071246691</t>
  </si>
  <si>
    <t>0200126893481</t>
  </si>
  <si>
    <t>0200126893306</t>
  </si>
  <si>
    <t>0200084998976</t>
  </si>
  <si>
    <t>0200265462722</t>
  </si>
  <si>
    <t>Безбелковая лапша Бешбармачная 120 гр</t>
  </si>
  <si>
    <t>Сушки низкобелковые безглютеновые 120гр</t>
  </si>
  <si>
    <t>Смеси для выпечки хлеба 500 гр</t>
  </si>
  <si>
    <t>Ассорти для завтраков из каш 450гр</t>
  </si>
  <si>
    <t>Крипцы в ассортименте низкобелковые 30 гр</t>
  </si>
  <si>
    <t>картофельное пюре с овощами 140гр</t>
  </si>
  <si>
    <t>Сахаристые Изделия КУБИКИ 75гр</t>
  </si>
  <si>
    <t>Чипсы 170гр</t>
  </si>
  <si>
    <t>Молочный Напиток безбелковый 500 мл</t>
  </si>
  <si>
    <t>Низкобелковые Крендельки луковые 120гр</t>
  </si>
  <si>
    <t>Сыр мягкий</t>
  </si>
  <si>
    <t>Сыр низкобелковый (плавленный), 150г</t>
  </si>
  <si>
    <t>Бисквитные трубочки с клубничной начинкой 125гр</t>
  </si>
  <si>
    <t>Ассорти из хлебных булочек (12 штук)</t>
  </si>
  <si>
    <t>Напиток безбелковый 200 мл</t>
  </si>
  <si>
    <t>Низкобелковый Pис-400гр</t>
  </si>
  <si>
    <t>Ассорти сырно -йогуртовое 240 гр</t>
  </si>
  <si>
    <t>Боралдай (№090240011484/260070/00, 28.05.2026)  БИН 090240011484</t>
  </si>
  <si>
    <t>Сарысу РБ (№050240003921/260192/00, 22.05.2026) БИН 050240003921</t>
  </si>
  <si>
    <t>Коммунальное государственное предприятие на праве хозяйственного ведения "Центральная районная больница Сарысуского района управления здравоохранения акимата</t>
  </si>
  <si>
    <t>Жамбылская область, Сарысуский район, г.Жанатас г.Жанатас, Сарысуский район, Жамбылская область, 3 мкр, 1 дом</t>
  </si>
  <si>
    <t>бутылка</t>
  </si>
  <si>
    <t>УЗО Акмолинская обл (№651040000016/260056/00, 28.04.2026) БИН 651040000016</t>
  </si>
  <si>
    <t>Мунайлинская ЦРБ (№940340000055/260182/00, 28.04.2026)</t>
  </si>
  <si>
    <t>Актау 2ГП (№№050740004472/260136/00, 30.04.2026) БИН 050740004472</t>
  </si>
  <si>
    <t>Сыр Гауда 150 гр</t>
  </si>
  <si>
    <t>Песочное печенье (органическое) 230 гр. В одной упаковке 4 штуки</t>
  </si>
  <si>
    <t>Заменитель Сыра</t>
  </si>
  <si>
    <t>Низкобелковая КАША с витаминами объем 150гпр</t>
  </si>
  <si>
    <t xml:space="preserve">Мунайлинская ЦРБ (№940340000055/260186/00, 05.05.2026)   БИН 940340000055.   </t>
  </si>
  <si>
    <t>Алматы 15ГП (№990740001483/260100/00, 25.05.2026)</t>
  </si>
  <si>
    <t>0200084230427</t>
  </si>
  <si>
    <t>0200084711476</t>
  </si>
  <si>
    <t>Десерт со вкусом клубники и карамели йогурт 4*125 гр. готовый продукт</t>
  </si>
  <si>
    <t>Специализированный продукт диетического лечебного питания для детей Заменитель рыбы низкобелковая 248гр.</t>
  </si>
  <si>
    <t>Низкобелковые макаронные изделия(мелкая трубочка спиральки, спагетти) 500гр.</t>
  </si>
  <si>
    <t>низкобелковый Батончик фруктовый 4 шт. по 125 гр.</t>
  </si>
  <si>
    <t xml:space="preserve"> Аминокислотные круассаны, 200 гр. 61 мг. без начинки.</t>
  </si>
  <si>
    <t xml:space="preserve"> Заменитель риса низкобелковый 300гр.</t>
  </si>
  <si>
    <t xml:space="preserve"> низкобелковый заменитель муки 500гр.</t>
  </si>
  <si>
    <t xml:space="preserve"> низкобелковый сыр 150 гр.</t>
  </si>
  <si>
    <t xml:space="preserve"> Основа для пиццы низкобелковая 200гр.</t>
  </si>
  <si>
    <t xml:space="preserve"> хлеб повседневный 300гр.</t>
  </si>
  <si>
    <t>низкобелковый Колбаса низкобелковая</t>
  </si>
  <si>
    <t>Аминокислотные круассаны с абрикосовой начинкой, 220 гр. 48 мг. /100г.</t>
  </si>
  <si>
    <t>низкобелковый Сосиски низкобелковые 204гр.</t>
  </si>
  <si>
    <t>Овощные трубочки низкобелковые 35гр.</t>
  </si>
  <si>
    <t>низкобелковый белый хлеб 200гр.</t>
  </si>
  <si>
    <t>Печенье безглютеновое, с кокосовой начинкой 210 гр.</t>
  </si>
  <si>
    <t>Макароны безбелковые 250гр.</t>
  </si>
  <si>
    <t>Рис с низким содержание белка 1000г. невареный 15мг/100г.</t>
  </si>
  <si>
    <t>Чиабатта</t>
  </si>
  <si>
    <t>Заменитель мясо низкобелковая 248гр.</t>
  </si>
  <si>
    <t>Сливки универсальные 43% безбелковые 200мл</t>
  </si>
  <si>
    <t>Какао-порошок с йодом и витаминами 400гр.</t>
  </si>
  <si>
    <t>Булочки, низкобелковые 3*70 гр.</t>
  </si>
  <si>
    <t>Кексы со вкусом лимона и абрикоса 240гр.</t>
  </si>
  <si>
    <t>Колбаса для жарки низкобелковая 195гр.</t>
  </si>
  <si>
    <t>Чипсы с низким содержанием белка 140гр.</t>
  </si>
  <si>
    <t>Вафли с лимонной начинкой, низкобелковые 90гр.</t>
  </si>
  <si>
    <t>низкобелковый Молочный напиток 200мл</t>
  </si>
  <si>
    <t xml:space="preserve"> Печенье с начинкой тоффи безглютеновое, 200 гр.</t>
  </si>
  <si>
    <t>Ореховая паста пластиковая банка 230 гр. с многоразовой крышкой</t>
  </si>
  <si>
    <t>Мучная смесь для блинов и вафель низкобелковая 300гр.</t>
  </si>
  <si>
    <t>Павлодар 5ГП (№990240004221/260089/00, от 22.04.2026) БИН 990240004221</t>
  </si>
  <si>
    <t>Узынагаш (№100340003293/260176/00.  01/04/2026)          БИН 100340003293</t>
  </si>
  <si>
    <t>Макаронные изделия Amino спагетти, низкобелковые, 400 г</t>
  </si>
  <si>
    <t>Мясо ягненка охлажденная, туша, I категория</t>
  </si>
  <si>
    <t>Фарш рыбный, кормовой</t>
  </si>
  <si>
    <t>Изделия макаронные сочни, из пшеничной муки, сорт высший</t>
  </si>
  <si>
    <t>Макаронные изделия Loprofin , 250 г,</t>
  </si>
  <si>
    <t>Хлопья клубничные Loprofin низкобелковые , 375 г</t>
  </si>
  <si>
    <t>Заменитель риса , 500 г</t>
  </si>
  <si>
    <t>Молоко сухое Milupa низкобелковое, 400 г</t>
  </si>
  <si>
    <t>Хлеб Amino белый, низкобелковый, 250 г</t>
  </si>
  <si>
    <t>Печенье "Черное и белое", с низким содержанием белка, 200 г</t>
  </si>
  <si>
    <t>Заменитель курятины Sofra Chicken Substitute низкобелковый PKU, 180 г</t>
  </si>
  <si>
    <t>Сосиски Loprofin 204 г</t>
  </si>
  <si>
    <t>Пюре картофельное Арт , с жареным луком низкобелковое , 30г</t>
  </si>
  <si>
    <t xml:space="preserve">Костанай 3ГП (950540000490/260115/00, 19.05.2026) </t>
  </si>
  <si>
    <t>Чипсы с низким содержанием белка — паприка 70 гр</t>
  </si>
  <si>
    <t>Государственное коммунальное предприятие на праве хозяйственного ведения "Уйгурская центральная районная больница" государственного учреждения "Управление здравоохранения Алматинской области"</t>
  </si>
  <si>
    <t>Алматинская область, Уйгурский район, с.Чунджа, ЕДИЛБАЙ ДЖУВАШЕВ, 65</t>
  </si>
  <si>
    <t>Чунджа (№020240003916/260145/00, 11/06/2026) БИН 020240003916</t>
  </si>
  <si>
    <t>Болатжан Е</t>
  </si>
  <si>
    <t>Газизов С</t>
  </si>
  <si>
    <t>Атырау 2ГП (№990140001401/260124/00, 25.05.2026)</t>
  </si>
  <si>
    <t>Алматы 4ГП (	№990240003471/260119/00, 05.06.2026)</t>
  </si>
  <si>
    <t>0200265462708</t>
  </si>
  <si>
    <t>Хизизахунов Ифрат</t>
  </si>
  <si>
    <t>0200265462166</t>
  </si>
  <si>
    <t>Мука для выпечка Schar MIX IT UNIVERSAL(1 кг)</t>
  </si>
  <si>
    <t>Шоколадный маффин Muttin Schar 65 g</t>
  </si>
  <si>
    <t>Мучная смесь Schar для выпечки хлеба Mix B(1 кг)</t>
  </si>
  <si>
    <t>Сухой завтрак шарики "Choco Balls"Schar 250g</t>
  </si>
  <si>
    <t>Дрожжи пекарные, сушеные</t>
  </si>
  <si>
    <t>Дрожи без глютена Schar Free 20 g</t>
  </si>
  <si>
    <t>Печенье Schar сэндвич с кремом какао без глютена (Maxi Sorrisi) 2 шт по 250 г</t>
  </si>
  <si>
    <t>SCHAR Хлопья Corn Flakes(250 гр)</t>
  </si>
  <si>
    <t>Государственное коммунальное предприятие «Эмбинская районная больница» на праве хозяйственного ведения государственного учреждения «Управление здравоохранения Актюбинской области»</t>
  </si>
  <si>
    <t>Актюбинская область, Мугалжарский район, г.Эмба, ГАЗИЗ ЖАНЕСОВА, 4</t>
  </si>
  <si>
    <t>Эмба РБ (№990140001421/260143/00, 12.05.2026)</t>
  </si>
  <si>
    <t>0200083753514</t>
  </si>
  <si>
    <t>0200083638415</t>
  </si>
  <si>
    <t>0200090954058</t>
  </si>
  <si>
    <t>0200090242537</t>
  </si>
  <si>
    <t xml:space="preserve">Коксу РБ  (№020240003926/260101/00 ). БИН 020240003926    </t>
  </si>
  <si>
    <t>0200126768987</t>
  </si>
  <si>
    <t>0200084711544</t>
  </si>
  <si>
    <t>0200084996286</t>
  </si>
  <si>
    <t>0200087027468</t>
  </si>
  <si>
    <t>0200087565687</t>
  </si>
  <si>
    <t>0200085588947</t>
  </si>
  <si>
    <t>0200084996019</t>
  </si>
  <si>
    <t>0200082189376</t>
  </si>
  <si>
    <t>0200126893405</t>
  </si>
  <si>
    <t>0200265463323</t>
  </si>
  <si>
    <t>0200126893399</t>
  </si>
  <si>
    <t>0200126853355</t>
  </si>
  <si>
    <t>Сетиевы</t>
  </si>
  <si>
    <t>Малик А</t>
  </si>
  <si>
    <t>Андрюшенко</t>
  </si>
  <si>
    <t xml:space="preserve">Андрюшенко </t>
  </si>
  <si>
    <t>Сетиев Р</t>
  </si>
  <si>
    <t>Кузмич</t>
  </si>
  <si>
    <t>Сетиев М</t>
  </si>
  <si>
    <t>Алматы 1ГП (№990240001960/260123/00, от 04.05.2026)</t>
  </si>
  <si>
    <t>Макароны в ассортименте Балвитен 250 гр Balviten Sp.z.o.o. Польша</t>
  </si>
  <si>
    <t>Низкобелковая смесь для выпечки вафель и блинчиков 300 гр. Taranis Франция</t>
  </si>
  <si>
    <t>Макароны ГНЕЗДА TAGLIATELLE низкобелковые софра, 250г</t>
  </si>
  <si>
    <t>Смесь для выпечки домашняя «Пекарь» низкобелковая для больных фенилкетонурией — «Tanem» 500 гр</t>
  </si>
  <si>
    <t>Сыр Гауда VEGGUDA (нарезка) безбелковый Green Idea 150 гр</t>
  </si>
  <si>
    <t>Колбаса вареная</t>
  </si>
  <si>
    <t>Колбаса с перцем Paprikalyoner Art низкобелковая Loprofin SHS, 195г</t>
  </si>
  <si>
    <t>Заменитель яйца Sofra 200 гр</t>
  </si>
  <si>
    <t>Смеси для выпечки кексов (лимонная, ванильная, шоколадная) 400 гр sofra</t>
  </si>
  <si>
    <t>Безглютеновое печенье с тахини 85 гр, софра Турция</t>
  </si>
  <si>
    <t>Чипсы Curvies 170 гр. Dr. Schär AG/SPA Италия</t>
  </si>
  <si>
    <t>Низкобелковые макаронные изделия Flavis (Мелкая трубочка, крупная трубочка, спиральки, спагетти перья) 500 гр.</t>
  </si>
  <si>
    <t>Смесь колбасная нежная Bland Sausage Mix низкобелковая PKU SOFRA, 150г</t>
  </si>
  <si>
    <t>Сухие завтраки софра 250 гр кукурузные</t>
  </si>
  <si>
    <t>Сливки с низким содержанием белка Белый Арап 200гр</t>
  </si>
  <si>
    <t>Сыр Моцарелла "VEGMOZZARELLA" (тертый) низкобелковый Green Idea, 200г</t>
  </si>
  <si>
    <t>Смесь колбасная нежная Bland Sausage Mix низкобелковая PKU SOFRA, 160г</t>
  </si>
  <si>
    <t>Специализированный продукт диетического лечебного и профилактического питания: Крендельки луковые низкобелковые для больных фенилкетонурией «Precelki cebulove» 120 гр.</t>
  </si>
  <si>
    <t>Taranis - Абрикосовые пирожные с низким содержанием белка - Абрикосовые пирожные Таранис 240 гр</t>
  </si>
  <si>
    <t>Панировочные сухари для нагетсов 200 гр Sofra Турция</t>
  </si>
  <si>
    <t>Макароны лапша по домашнему софра 250 гр.</t>
  </si>
  <si>
    <t>Сыр VioLife CREAMY original flavour низкобелковый (плавленный), 150г Греция</t>
  </si>
  <si>
    <t>Крем-паста со вкусом лесного ореха Cream Spread низкобелковая PKU SOFRA, 300г</t>
  </si>
  <si>
    <t>Каша lp-fruity груша, яблоко, банан, низкобелковая Milupa, 300г</t>
  </si>
  <si>
    <t>Макароны Звери Animal Pasta низкобелковые Софра, 500г</t>
  </si>
  <si>
    <t>Алматы 1ГП (	№990240001960/260127/00, от 04.05.2026)</t>
  </si>
  <si>
    <t>Алматы 1ГП (№990240001960/260128/00, от 04.05.2026)</t>
  </si>
  <si>
    <t>Хлеб низкобелковый белый и черный 250 гр.</t>
  </si>
  <si>
    <t>Молоко сухое быстрорастворимое низкобелковое lp-drink Milupa</t>
  </si>
  <si>
    <t>Основа для пиццы PIZZA низкобелковая Sofra</t>
  </si>
  <si>
    <t>Ассорти сухарики 240 гр.</t>
  </si>
  <si>
    <t>Печенье «Salti» 175 гр.</t>
  </si>
  <si>
    <t>Сливки универсальные 43% безбелковые Schlagfix, 200мл</t>
  </si>
  <si>
    <t>Какао-напиток растворимый ГОРЯЧИЙ ШОКОЛАД низкобелковый Версель, 22,5г</t>
  </si>
  <si>
    <t>тропические фрукты низкобелковые 80г Sofra</t>
  </si>
  <si>
    <t>Чиабатта CIABATTINE низкобелковая Sofra, 4x65г</t>
  </si>
  <si>
    <t>Макароны "Таглиателли" TAGLIATELLE низкобелковые Софра 500 гр</t>
  </si>
  <si>
    <t>Смесь для выпечки хлеба Андолу 1 кг. Софра Турция</t>
  </si>
  <si>
    <t>Алматы 1ГП (№990240001960/260131/00, 05.05.2026)</t>
  </si>
  <si>
    <t>Алматы 1ГП (№990240001960/260132/00, 08.05.2026)</t>
  </si>
  <si>
    <t>Сыр Чеддер "VEGCHEDDAR" (нарезка) безбелковый Green Idea, 150г</t>
  </si>
  <si>
    <t>Специализированный продукт диетического лечебного питания для детей Каша lp-fruity груша низкобелковая Milupa, 300г</t>
  </si>
  <si>
    <t>Специализированный продукт диетического лечебного питания для детей, Макароны лапша низкобелковые софра, 250г</t>
  </si>
  <si>
    <t>"Йогурт со вкусом клубники и карамели Taranis йогурт 4*125 гр. Готовый продукт"</t>
  </si>
  <si>
    <t>Булочки Petits pains Taranis низкобелковые, 180 г</t>
  </si>
  <si>
    <t>Манная крупа низкобелковая Taranis, 500 г</t>
  </si>
  <si>
    <t>Столбик дорожный сигнальный, железобетонный</t>
  </si>
  <si>
    <t>Специализированный продукт диетического лечебного питания для детей Молочный напиток PKU dalia низкобелковый Taranis, 200мл</t>
  </si>
  <si>
    <t>Специализированный продукт диетического лечебного питания для детей, Чипсы с низким содержанием белка — с солью и паприка 70 гр. Besgluten crisps</t>
  </si>
  <si>
    <t>Специализированный продукт диетического лечебного питания для детей Мучная смесь для блинов и вафель низкобелковая TARANIS, 300г</t>
  </si>
  <si>
    <t>Круассаны Amino с абрикосовой начинкой 220г — 48мг PHE / 100г</t>
  </si>
  <si>
    <t>Специализированный продукт диетического лечебного питания для детей, Смесь для картофельных крокетов Potato Croquette Mix низкобелковая PKU SOFRA, 300г</t>
  </si>
  <si>
    <t>низкобелковые сосиски для диетического питания как часть диеты с пониженным содержанием белка при PKU</t>
  </si>
  <si>
    <t>"Специализированный продукт диетического лечебного питания для детей Кексы Cake CITRON со вкусом лимона и обрикоса TARANIS,240гр"</t>
  </si>
  <si>
    <t>Алматы 15ГП (№990740001483/260092/00, 05.05.2026)</t>
  </si>
  <si>
    <t>PKU Nutri 2 Concentrated 500 гр.</t>
  </si>
  <si>
    <t>Сыр VioLife CREAMY original flavour низкобелковый (плавленный), 150г</t>
  </si>
  <si>
    <t>«Mevalia Bread Mix» 500 гр.</t>
  </si>
  <si>
    <t>«МД мил ФКУ – 3» 400 гр.</t>
  </si>
  <si>
    <t>Специализированный продукт диетического лечебного питания для детей панировочные сухари для нагетсов 200 г</t>
  </si>
  <si>
    <t>Кулагер (№080940013246/260056/00, от 19.05.2026)</t>
  </si>
  <si>
    <t>Смесь колбасная нежная Bland Sausage Mix низкобелковая PKU SOFRA 180г</t>
  </si>
  <si>
    <t>Шоколад «Софра» низкобелковый с клубничный начинкой, 25гр</t>
  </si>
  <si>
    <t>Сухие завтраки софра 250гр кукурузные низкобелковые</t>
  </si>
  <si>
    <t>Кусочек шоколадного кекса 144гр. Софра</t>
  </si>
  <si>
    <t>Низкобелковое шоколадное печенье с шоколадной крошкой Sofra 100гр</t>
  </si>
  <si>
    <t>Чиабата хлеб Bezgluten низкобелковый 4х65г</t>
  </si>
  <si>
    <t>Бобы кофейный</t>
  </si>
  <si>
    <t>Какое-порошок низкобелковая с йодом и витаминами АртЛайф, 400г</t>
  </si>
  <si>
    <t>Макароны лапша по домашнему софра 250гр</t>
  </si>
  <si>
    <t>Низкобелковый смесь для выпечки вафель и блинчиков 300гр. Taranis Франция</t>
  </si>
  <si>
    <t>Чипсы с низким содержанием белка- паприка 70гр.Besgluten crisps</t>
  </si>
  <si>
    <t>Молоко сухое lp-drink низкобелковое Milupa, 400г шоколадное</t>
  </si>
  <si>
    <t>Заменитель курятины Chichen Substitute низкобелковый PRU SOFRA 180г</t>
  </si>
  <si>
    <t>Суп овощной 20гр Софра Турция низкобелкоый</t>
  </si>
  <si>
    <t>Taranis – Абрикосовые пирожные с низким содержанием белка – Абрикосовые пирожные Тарани 240гр</t>
  </si>
  <si>
    <t>Шоколадный Gream SOFRA низкобелковая PRU SOFRA, 300г</t>
  </si>
  <si>
    <t>Молочный напиток PKU drink LQ низкобелковый Taranis, 200мл</t>
  </si>
  <si>
    <t>Безглютеновые низкобелковые вафли с лимонной начинкой-90г-менее 6мг РНЕ/100г</t>
  </si>
  <si>
    <t>Алматы 15ГП (№990740001483/260098/00, от 13.05.2026)</t>
  </si>
  <si>
    <t>Государственное коммунальное предприятие на праве хозяйственного ведения "Городская поликлиника №6" управления здравоохранения акимата Западно-Казахстанской области"</t>
  </si>
  <si>
    <t>Западно-Казахстанская область, г.Уральск Западно-Казахстанская область, г.Уральск, п.Зачаганск мкр.Арман, ул. Мурат Монкеулы, дом 116</t>
  </si>
  <si>
    <t>Специализированный продукт детского диетического лечебного питания для детей, больных фенилкетонурией. «Comida заменитель яйца» без глютена 400г</t>
  </si>
  <si>
    <t>Уральск 6ГП  (№131240020039/260105/00, от 29.05.2026)</t>
  </si>
  <si>
    <t>Специализированный пищевой продукт детского диетического лечебного питания – заменитель яица 400 гр</t>
  </si>
  <si>
    <t>Смесь для детей 0-12 месяцев, молочная, сухая, кисломолочная</t>
  </si>
  <si>
    <t>Продукт диетического (лечебного) питания для детей старше года, больных фенилкетонурией .Сухая детская смесь Бен-Амин 20 упаковка: банка. Вес 400 г</t>
  </si>
  <si>
    <t>Мугалжарская РБ (№990140003021/260141/00, от 25.05.2026)</t>
  </si>
  <si>
    <t>Смесь для детей 6-12 месяцев, молочная, сухая, кисломолочная</t>
  </si>
  <si>
    <t>Специализированный продукт диетического (лечебного) питания для детей старше 1 года, больных фенилкетонурией, сухая смесь «PKU Nutri Energy 2». 454 гр.</t>
  </si>
  <si>
    <t>Заменитель риса Rice Substitute низкобелковый PKU SOFRA,300г</t>
  </si>
  <si>
    <t>Каша lp-drink низкобелковое Milupa, 400г шоколадное</t>
  </si>
  <si>
    <t>Алматы 15ГП (№990740001483/260100/00, от 25.05.2026)</t>
  </si>
  <si>
    <t>смесь для приготовления Сырного соуса низкобелковая Taranis 200 г</t>
  </si>
  <si>
    <t>Круассаны Amino 200 г — 61 мг PHE / 100 г без начинки</t>
  </si>
  <si>
    <t>Заменитель ризотто Taranis 1,2 кг, готовый продукт</t>
  </si>
  <si>
    <t>Специализированный продукт диетического лечебного питания для детей, Ассорти низкобелковых шоколадов 100гр Sofra</t>
  </si>
  <si>
    <t>Сухари Амино с абрикосовым вкусом 290г — 37мг PHE / 100г</t>
  </si>
  <si>
    <t>Смесь лечебная "Бенамин 75" 500 гр, Специализированный продукт диетического лечебного питания</t>
  </si>
  <si>
    <t>Специализированный продукт диетического лечебного питания для детей Кексы Cake CITRON со вкусом лимона и обрикоса TARANIS,240гр</t>
  </si>
  <si>
    <t>Специализированный продукт диетического лечебного питания для детей, Низкобелковая мука для выпечки Sofra Low-protein Baking Mix, 1 кг</t>
  </si>
  <si>
    <t>Специализированный продукт диетического лечебного питания для детей, Смесь для овощного омлета Vegetable Omelet Mix низкобелковая PKU SOFRA, 180г</t>
  </si>
  <si>
    <t>Специализированный продукт диетического лечебного питания для детей Заменитель мяса низкобелковый Taranis, 248 гр.</t>
  </si>
  <si>
    <t>Специализированный продукт диетического лечебного питания для детей Хлопья GlutensizSofra, кукурузные, 250 гр</t>
  </si>
  <si>
    <t>Специализированный продукт диетического лечебного питания для детей, Смесь котлетная для гамбургеров Hamburger Patties Mix низкобелковая PKU SOFRA, 300г</t>
  </si>
  <si>
    <t>Специализированный продукт диетического лечебного питания для детей, Смесь колбасная нежная Bland Sausage Mix низкобелковая PKU SOFRA, 180г</t>
  </si>
  <si>
    <t>Специализированный продукт диетического лечебного питания для детей, Заменитель курятины Chicken Substitute низкобелковый PKU SOFRA, 180г</t>
  </si>
  <si>
    <t>Специализированный продукт диетического лечебного питания для детей, Вафли Bezgluten с лимонной начинкой, низкобелковые, 90 г</t>
  </si>
  <si>
    <t>Йогурт со вкусом клубники и карамели Taranis йогурт 4*125 гр. Готовый продукт</t>
  </si>
  <si>
    <t>Сухое Молоко Dalia Taranis низкобелковое 400 г</t>
  </si>
  <si>
    <t>Алматы 15ГП (№990740001483/260103/00, от 29.05.2026)</t>
  </si>
  <si>
    <t>Балхаш горбольница (№990140002192/260332/00, 02.06.2026)</t>
  </si>
  <si>
    <t>15 дней</t>
  </si>
  <si>
    <t>Казталовка (№070640005371/260155/00, от 10.06.2026)</t>
  </si>
  <si>
    <t>Специализированные продукты детского диетического (лечебного) питания для детей больных фенилкетонурией Продукт с низким содержанием фенилаланина заменитель яйца" 200гр.</t>
  </si>
  <si>
    <t>Дамба (№070140004563/260117/00, 16.06.2026)</t>
  </si>
  <si>
    <t>Государственное коммунальное предприятие "Центр первичной медико-санитарной помощи №1 города Актобе" на праве хозяйственного ведения государственного учреждения "Управление здравоохранения Актюбинской области"</t>
  </si>
  <si>
    <t>Актюбинская область, г.Актобе, район Астана улица Бокенбюай батыра 133А</t>
  </si>
  <si>
    <t>Актобе ЦСМ (№170340003910/260036/00, 17.06.2026)</t>
  </si>
  <si>
    <t>Сыр	мягкий</t>
  </si>
  <si>
    <t xml:space="preserve"> Сыр низкобелковый VioLife Creamy original flavour, плавленный, 150г</t>
  </si>
  <si>
    <t>Актобе 3ГП (	№990240006258/260124/00, 19.06.2026)</t>
  </si>
  <si>
    <t>Кулан (№990240002126/260190/00, 23.06.2026)</t>
  </si>
  <si>
    <t>Керимжан</t>
  </si>
  <si>
    <t>Советхан</t>
  </si>
  <si>
    <t>Сухая смесь без фенилаланина, содержащая сбалансированный комплекс из других незаменимых и заменимых аминокислот, углеводов, витаминов, минералов и микроэлементов.</t>
  </si>
  <si>
    <t>Коксу РБ  (№020240003926/260114/00, 16.06.2026)</t>
  </si>
  <si>
    <t>Специализированный продукт диетического (лечебного) питания для детей старше 8 лет и взрослых</t>
  </si>
  <si>
    <t>Молоко сухое быстрорастворимое низкобелковое</t>
  </si>
  <si>
    <t>Пюре картофельное с жареным луком низкобелковое, 30г</t>
  </si>
  <si>
    <t>Смесь для омлета безбелковая, 180г</t>
  </si>
  <si>
    <t>Колбаса с перцем низкобелковая, 195г</t>
  </si>
  <si>
    <t>Сыр Чеддар (нарезка) безбелковый, 150г</t>
  </si>
  <si>
    <t>Шоколад низкобелковый с клубничной начинкой, 25 гр</t>
  </si>
  <si>
    <t>Низкобелковое печенье бисквитное Печенье с какао овсянные 100 гр</t>
  </si>
  <si>
    <t>Сливки универсальные 43% безбелковые, 200мл</t>
  </si>
  <si>
    <t>Сухари ассорти крутоны с сыром, с луком, со сметаной 240 гр.</t>
  </si>
  <si>
    <t>Заменитель курятины низкобелковый, 180г</t>
  </si>
  <si>
    <t>Смесь для выпечки домашняя низкобелковая, 500 гр</t>
  </si>
  <si>
    <t>Шоколадные ложечки низкобелковые, 6х10г</t>
  </si>
  <si>
    <t>Крем-паста со вкусом лесного ореха низкобелковая, 300г</t>
  </si>
  <si>
    <t>Смесь для выпечки вафли и блинов 300 гр</t>
  </si>
  <si>
    <t>Тропические фрукты низкобелковый 80г</t>
  </si>
  <si>
    <t>Шоколадная плитка низкобелковая, 100г</t>
  </si>
  <si>
    <t>Сосиски по-венски низкобелковые, 204г</t>
  </si>
  <si>
    <t>Каша груша, яблоко, банан, низкобелковая, 300г</t>
  </si>
  <si>
    <t>Чипсы с низким содержанием белка — паприка 70 гр.</t>
  </si>
  <si>
    <t>Молочный напиток шоколадное. Низкобелковый</t>
  </si>
  <si>
    <t>Пюре для драников 210 гр.</t>
  </si>
  <si>
    <t>Заменитель риса низкобелковый, 300г</t>
  </si>
  <si>
    <t>Безглютеновый бублик (2 штуки) 190 гр.</t>
  </si>
  <si>
    <t>Какао-порошок низкобелковый с йодом и витаминами, 400г</t>
  </si>
  <si>
    <t>Низкобелковые торты, пирожное замороженное продукция 360 гр.</t>
  </si>
  <si>
    <t>Кусочек Шоколадного Кекса 144 гр.</t>
  </si>
  <si>
    <t>Молочный напиток низкобелковый, 200мл</t>
  </si>
  <si>
    <t>Специализированный продукт диетического лечебного питания для детей, Макароны безбелковые, 250 г</t>
  </si>
  <si>
    <t>Низкобелковые картофельные крокеты 300 гр</t>
  </si>
  <si>
    <t>Суп-крем низкобелковый, 15г</t>
  </si>
  <si>
    <t>Низкобелковое шоколадное печенье с шоколадной крошкой 100гр</t>
  </si>
  <si>
    <t>Хлеб белый низкобелковый 250 гр.</t>
  </si>
  <si>
    <t>Макароны лапша по домашнему 250 гр.</t>
  </si>
  <si>
    <t>Чиабатта низкобелковая, 4х65г</t>
  </si>
  <si>
    <t>Хлеб темный низкобелковый в упаковке 250 гр</t>
  </si>
  <si>
    <t>Основа для пиццы низкобелковая</t>
  </si>
  <si>
    <t>Смеси для выпечки кексов (лимонная, ванильная, шоколадная) 400 гр</t>
  </si>
  <si>
    <t>Заменитель мяса низкобелковый, 180г</t>
  </si>
  <si>
    <t>Смесь колбасная нежная низкобелковая, 180г</t>
  </si>
  <si>
    <t>Смесь для тортов и кексов низкобелковая кондитерская мука 1000 гр</t>
  </si>
  <si>
    <t>Панировочные сухари для нагетсов 200 гр.</t>
  </si>
  <si>
    <t>Булочки чиабатта, низкобелковые, 3х70 г</t>
  </si>
  <si>
    <t>Десерт со вкусом клубники и карамели йогурт 4*125 гр. Готовый продукт</t>
  </si>
  <si>
    <t>Смесь котлетная для гамбургеров низкобелковая, 300г</t>
  </si>
  <si>
    <t>Печенье Двойное, печенье без глютена с кокосовой начинкой, 160 г</t>
  </si>
  <si>
    <t>Мармелад с кислинкой низкобелковый фруктовый, 100г</t>
  </si>
  <si>
    <t>Соломка низкобелковая, с кунжутом 100 гр</t>
  </si>
  <si>
    <t>Макароны низколбековые 500гр</t>
  </si>
  <si>
    <t>Низкобелковые макаронные изделия (Мелкая трубочка, спиральки, спагетти) 500 гр.</t>
  </si>
  <si>
    <t>Макароны низкобелковые ассорти, 250г</t>
  </si>
  <si>
    <t>Какао-напиток растворимый низкобелковый, 22,5г</t>
  </si>
  <si>
    <t>Кусочек Оранжевый мини-торт 144 гр</t>
  </si>
  <si>
    <t>Печенье апельсиновый бисквит низкобелковый, 85г</t>
  </si>
  <si>
    <t>Макароны безбелковые, 250 г</t>
  </si>
  <si>
    <t>Шоколад со вкусом апельсина низкобелковый, 25г</t>
  </si>
  <si>
    <t>Шоколадные капли низкобелковые, 50г</t>
  </si>
  <si>
    <t>Молоко сухое шоколадное низкобелковое, 400г шоколадное</t>
  </si>
  <si>
    <t>Алматы 6ГП (№001240001919/260139/00, 25.06.2026)</t>
  </si>
  <si>
    <t>Уральск 6ГП (№131240020039/260144/00, 21.06.2026)</t>
  </si>
  <si>
    <t xml:space="preserve">Специализированный продукт диетического лечебного питания для детей старше одного года, больных фенилкетонурией, сухая смесь с нейтральным вкусом «МD мил ФКУ – 3» 400 гр. </t>
  </si>
  <si>
    <t>Курмангазы РБ (№070240006206/260136/00, 23.06.2026)</t>
  </si>
  <si>
    <t>Специализированный продукт лечебного питания (сухая смесь) для диетотерапии детей от 1 года и старше, больных фенилкетонурией</t>
  </si>
  <si>
    <t>Тараз 5ГП</t>
  </si>
  <si>
    <t xml:space="preserve">Специализированный продукт диетического лечебного питания для детей, Низкобелковая мука для выпечки Sofra Low-protein Baking Mix, 1 кг </t>
  </si>
  <si>
    <t xml:space="preserve">Лимонный, малиновый пудинг без глютена, 120 г низкобелковый замороженный продукт </t>
  </si>
  <si>
    <t xml:space="preserve"> Специализированный продукт диетического лечебного питания для детей, Чиабатта CIABATTINE низкобелковая Bezgluten, 4х65г</t>
  </si>
  <si>
    <t>0200126840423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</si>
</sst>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_-* #,##0_-;\-* #,##0_-;_-* &quot;-&quot;??_-;_-@_-"/>
    <numFmt numFmtId="166" formatCode="_-* #,##0.0000_-;\-* #,##0.0000_-;_-* &quot;-&quot;??_-;_-@_-"/>
  </numFmts>
  <fonts count="31" x14ac:knownFonts="1">
    <font>
      <sz val="12"/>
      <color theme="1"/>
      <name val="Aptos Narrow"/>
      <family val="2"/>
      <charset val="204"/>
      <scheme val="minor"/>
    </font>
    <font>
      <sz val="12"/>
      <color theme="1"/>
      <name val="Aptos Narrow"/>
      <family val="2"/>
      <charset val="204"/>
      <scheme val="minor"/>
    </font>
    <font>
      <sz val="12"/>
      <color theme="1"/>
      <name val="Times New Roman"/>
      <family val="1"/>
    </font>
    <font>
      <sz val="13"/>
      <color rgb="FF333333"/>
      <name val="Times New Roman"/>
      <family val="1"/>
    </font>
    <font>
      <b/>
      <sz val="12"/>
      <color theme="1"/>
      <name val="Times New Roman"/>
      <family val="1"/>
    </font>
    <font>
      <b/>
      <sz val="14"/>
      <color theme="1"/>
      <name val="Times New Roman"/>
      <family val="1"/>
    </font>
    <font>
      <sz val="14"/>
      <color theme="1"/>
      <name val="Times New Roman"/>
      <family val="1"/>
    </font>
    <font>
      <b/>
      <sz val="12"/>
      <color theme="1"/>
      <name val="Aptos Narrow"/>
      <scheme val="minor"/>
    </font>
    <font>
      <b/>
      <sz val="13"/>
      <color rgb="FF333333"/>
      <name val="Times New Roman"/>
      <family val="1"/>
    </font>
    <font>
      <sz val="11"/>
      <color rgb="FF000000"/>
      <name val="Times New Roman"/>
      <family val="1"/>
    </font>
    <font>
      <b/>
      <sz val="11"/>
      <color theme="1"/>
      <name val="Times New Roman"/>
      <family val="1"/>
    </font>
    <font>
      <sz val="12"/>
      <name val="Times New Roman"/>
      <family val="1"/>
    </font>
    <font>
      <sz val="10"/>
      <color rgb="FF333333"/>
      <name val="Times New Roman"/>
      <family val="1"/>
    </font>
    <font>
      <sz val="12"/>
      <color rgb="FF1F1F1F"/>
      <name val="Times New Roman"/>
      <family val="1"/>
    </font>
    <font>
      <b/>
      <sz val="12"/>
      <color rgb="FF1F1F1F"/>
      <name val="Times New Roman"/>
      <family val="1"/>
    </font>
    <font>
      <sz val="13"/>
      <color rgb="FF333333"/>
      <name val="Helvetica Neue"/>
      <family val="2"/>
    </font>
    <font>
      <sz val="12"/>
      <color rgb="FF000000"/>
      <name val="Times New Roman"/>
      <family val="1"/>
    </font>
    <font>
      <b/>
      <sz val="12"/>
      <color rgb="FF000000"/>
      <name val="Times New Roman"/>
      <family val="1"/>
    </font>
    <font>
      <sz val="12"/>
      <color rgb="FF333333"/>
      <name val="Times New Roman"/>
      <family val="1"/>
    </font>
    <font>
      <b/>
      <sz val="12"/>
      <name val="Times New Roman"/>
      <family val="1"/>
    </font>
    <font>
      <u/>
      <sz val="12"/>
      <color theme="1"/>
      <name val="Times New Roman"/>
      <family val="1"/>
    </font>
    <font>
      <u val="singleAccounting"/>
      <sz val="12"/>
      <color theme="1"/>
      <name val="Times New Roman"/>
      <family val="1"/>
    </font>
    <font>
      <sz val="11"/>
      <color rgb="FF000000"/>
      <name val="Helvetica"/>
      <family val="2"/>
    </font>
    <font>
      <sz val="12"/>
      <color rgb="FFC00000"/>
      <name val="Times New Roman"/>
      <family val="1"/>
    </font>
    <font>
      <b/>
      <sz val="12"/>
      <color rgb="FFC00000"/>
      <name val="Times New Roman"/>
      <family val="1"/>
    </font>
    <font>
      <sz val="12"/>
      <color rgb="FFBD0000"/>
      <name val="Times New Roman"/>
      <family val="1"/>
    </font>
    <font>
      <sz val="10"/>
      <color theme="1"/>
      <name val="Arial"/>
      <family val="2"/>
    </font>
    <font>
      <b/>
      <sz val="12"/>
      <color theme="1"/>
      <name val="Aptos Narrow"/>
      <family val="2"/>
      <charset val="204"/>
      <scheme val="minor"/>
    </font>
    <font>
      <b/>
      <sz val="12"/>
      <color theme="1"/>
      <name val="Times New Roman"/>
      <family val="1"/>
      <charset val="204"/>
    </font>
    <font>
      <sz val="12"/>
      <color rgb="FF020817"/>
      <name val="Times New Roman"/>
      <family val="1"/>
    </font>
    <font>
      <b/>
      <sz val="16"/>
      <color theme="1"/>
      <name val="Times New Roman"/>
      <family val="1"/>
    </font>
  </fonts>
  <fills count="13">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6C3FF"/>
        <bgColor indexed="64"/>
      </patternFill>
    </fill>
    <fill>
      <patternFill patternType="solid">
        <fgColor rgb="FFFFC6C6"/>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FFCE3C"/>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s>
  <cellStyleXfs count="2">
    <xf numFmtId="0" fontId="0" fillId="0" borderId="0"/>
    <xf numFmtId="43" fontId="1" fillId="0" borderId="0" applyFont="0" applyFill="0" applyBorder="0" applyAlignment="0" applyProtection="0"/>
  </cellStyleXfs>
  <cellXfs count="313">
    <xf numFmtId="0" fontId="0" fillId="0" borderId="0" xfId="0"/>
    <xf numFmtId="43" fontId="0" fillId="0" borderId="0" xfId="1" applyFont="1"/>
    <xf numFmtId="0" fontId="2" fillId="0" borderId="0" xfId="0" applyFont="1"/>
    <xf numFmtId="43" fontId="2" fillId="0" borderId="0" xfId="1" applyFont="1"/>
    <xf numFmtId="0" fontId="2" fillId="0" borderId="0" xfId="0" applyFont="1" applyAlignment="1">
      <alignment wrapText="1"/>
    </xf>
    <xf numFmtId="0" fontId="3" fillId="0" borderId="0" xfId="0" applyFont="1"/>
    <xf numFmtId="0" fontId="5" fillId="0" borderId="0" xfId="0" applyFont="1" applyAlignment="1">
      <alignment wrapText="1"/>
    </xf>
    <xf numFmtId="0" fontId="4" fillId="0" borderId="0" xfId="0" applyFont="1" applyAlignment="1">
      <alignment wrapText="1"/>
    </xf>
    <xf numFmtId="0" fontId="2" fillId="0" borderId="1" xfId="0" applyFont="1" applyBorder="1" applyAlignment="1">
      <alignment wrapText="1"/>
    </xf>
    <xf numFmtId="0" fontId="2" fillId="0" borderId="1" xfId="0" applyFont="1" applyBorder="1"/>
    <xf numFmtId="43" fontId="2" fillId="0" borderId="1" xfId="1" applyFont="1" applyBorder="1"/>
    <xf numFmtId="0" fontId="3" fillId="0" borderId="1" xfId="0" applyFont="1" applyBorder="1"/>
    <xf numFmtId="43" fontId="4" fillId="0" borderId="1" xfId="1" applyFont="1" applyBorder="1"/>
    <xf numFmtId="0" fontId="0" fillId="0" borderId="0" xfId="0" applyAlignment="1">
      <alignment wrapText="1"/>
    </xf>
    <xf numFmtId="164" fontId="2" fillId="0" borderId="1" xfId="0" applyNumberFormat="1" applyFont="1" applyBorder="1"/>
    <xf numFmtId="164" fontId="4" fillId="0" borderId="1" xfId="0" applyNumberFormat="1" applyFont="1" applyBorder="1"/>
    <xf numFmtId="0" fontId="0" fillId="0" borderId="1" xfId="0" applyBorder="1"/>
    <xf numFmtId="164" fontId="4" fillId="0" borderId="0" xfId="0" applyNumberFormat="1" applyFont="1"/>
    <xf numFmtId="0" fontId="2" fillId="2" borderId="1" xfId="0" applyFont="1" applyFill="1" applyBorder="1"/>
    <xf numFmtId="43" fontId="2" fillId="2" borderId="1" xfId="1" applyFont="1" applyFill="1" applyBorder="1"/>
    <xf numFmtId="43" fontId="2" fillId="0" borderId="1" xfId="1" applyFont="1" applyFill="1" applyBorder="1"/>
    <xf numFmtId="0" fontId="5" fillId="0" borderId="0" xfId="0" applyFont="1"/>
    <xf numFmtId="164" fontId="4" fillId="3" borderId="1" xfId="0" applyNumberFormat="1" applyFont="1" applyFill="1" applyBorder="1"/>
    <xf numFmtId="0" fontId="2" fillId="3" borderId="1" xfId="0" applyFont="1" applyFill="1" applyBorder="1"/>
    <xf numFmtId="43" fontId="2" fillId="3" borderId="1" xfId="1" applyFont="1" applyFill="1" applyBorder="1"/>
    <xf numFmtId="164" fontId="2" fillId="3" borderId="1" xfId="0" applyNumberFormat="1" applyFont="1" applyFill="1" applyBorder="1"/>
    <xf numFmtId="43" fontId="4" fillId="3" borderId="1" xfId="1" applyFont="1" applyFill="1" applyBorder="1"/>
    <xf numFmtId="0" fontId="2" fillId="4" borderId="1" xfId="0" applyFont="1" applyFill="1" applyBorder="1"/>
    <xf numFmtId="43" fontId="2" fillId="4" borderId="1" xfId="1" applyFont="1" applyFill="1" applyBorder="1"/>
    <xf numFmtId="164" fontId="2" fillId="4" borderId="1" xfId="0" applyNumberFormat="1" applyFont="1" applyFill="1" applyBorder="1"/>
    <xf numFmtId="0" fontId="4" fillId="0" borderId="0" xfId="0" applyFont="1"/>
    <xf numFmtId="0" fontId="8" fillId="0" borderId="0" xfId="0" applyFont="1"/>
    <xf numFmtId="3" fontId="2" fillId="0" borderId="1" xfId="0" applyNumberFormat="1" applyFont="1" applyBorder="1"/>
    <xf numFmtId="43" fontId="4" fillId="0" borderId="0" xfId="1" applyFont="1" applyBorder="1"/>
    <xf numFmtId="43" fontId="4" fillId="2" borderId="1" xfId="1" applyFont="1" applyFill="1" applyBorder="1"/>
    <xf numFmtId="0" fontId="2" fillId="5" borderId="1" xfId="0" applyFont="1" applyFill="1" applyBorder="1"/>
    <xf numFmtId="16" fontId="0" fillId="0" borderId="0" xfId="0" applyNumberFormat="1"/>
    <xf numFmtId="43" fontId="10" fillId="0" borderId="1" xfId="1" applyFont="1" applyBorder="1"/>
    <xf numFmtId="165" fontId="2" fillId="0" borderId="0" xfId="1" applyNumberFormat="1" applyFont="1"/>
    <xf numFmtId="165" fontId="2" fillId="3" borderId="1" xfId="1" applyNumberFormat="1" applyFont="1" applyFill="1" applyBorder="1"/>
    <xf numFmtId="165" fontId="2" fillId="0" borderId="1" xfId="1" applyNumberFormat="1" applyFont="1" applyBorder="1"/>
    <xf numFmtId="43" fontId="7" fillId="3" borderId="1" xfId="1" applyFont="1" applyFill="1" applyBorder="1"/>
    <xf numFmtId="43" fontId="0" fillId="3" borderId="1" xfId="1" applyFont="1" applyFill="1" applyBorder="1"/>
    <xf numFmtId="0" fontId="12" fillId="0" borderId="1" xfId="0" applyFont="1" applyBorder="1"/>
    <xf numFmtId="0" fontId="10" fillId="0" borderId="1" xfId="0" applyFont="1" applyBorder="1" applyAlignment="1">
      <alignment wrapText="1"/>
    </xf>
    <xf numFmtId="0" fontId="14" fillId="0" borderId="0" xfId="0" applyFont="1"/>
    <xf numFmtId="0" fontId="13" fillId="0" borderId="0" xfId="0" applyFont="1"/>
    <xf numFmtId="0" fontId="13" fillId="0" borderId="1" xfId="0" applyFont="1" applyBorder="1"/>
    <xf numFmtId="4" fontId="13" fillId="0" borderId="1" xfId="0" applyNumberFormat="1" applyFont="1" applyBorder="1"/>
    <xf numFmtId="4" fontId="14" fillId="0" borderId="1" xfId="0" applyNumberFormat="1" applyFont="1" applyBorder="1"/>
    <xf numFmtId="165" fontId="10" fillId="0" borderId="1" xfId="1" applyNumberFormat="1" applyFont="1" applyBorder="1"/>
    <xf numFmtId="0" fontId="15" fillId="0" borderId="0" xfId="0" applyFont="1"/>
    <xf numFmtId="164" fontId="4" fillId="2" borderId="1" xfId="0" applyNumberFormat="1" applyFont="1" applyFill="1" applyBorder="1"/>
    <xf numFmtId="165" fontId="2" fillId="2" borderId="1" xfId="1" applyNumberFormat="1" applyFont="1" applyFill="1" applyBorder="1"/>
    <xf numFmtId="165" fontId="10" fillId="2" borderId="1" xfId="1" applyNumberFormat="1" applyFont="1" applyFill="1" applyBorder="1"/>
    <xf numFmtId="0" fontId="11" fillId="0" borderId="1" xfId="0" applyFont="1" applyBorder="1"/>
    <xf numFmtId="43" fontId="0" fillId="0" borderId="0" xfId="1" applyFont="1" applyFill="1"/>
    <xf numFmtId="0" fontId="4" fillId="5" borderId="1" xfId="0" applyFont="1" applyFill="1" applyBorder="1"/>
    <xf numFmtId="43" fontId="4" fillId="0" borderId="1" xfId="1" applyFont="1" applyFill="1" applyBorder="1"/>
    <xf numFmtId="165" fontId="2" fillId="0" borderId="1" xfId="1" applyNumberFormat="1" applyFont="1" applyFill="1" applyBorder="1"/>
    <xf numFmtId="165" fontId="4" fillId="0" borderId="1" xfId="1" applyNumberFormat="1" applyFont="1" applyFill="1" applyBorder="1"/>
    <xf numFmtId="165" fontId="4" fillId="3" borderId="1" xfId="1" applyNumberFormat="1" applyFont="1" applyFill="1" applyBorder="1"/>
    <xf numFmtId="164" fontId="0" fillId="0" borderId="0" xfId="0" applyNumberFormat="1"/>
    <xf numFmtId="43" fontId="2" fillId="0" borderId="0" xfId="1" applyFont="1" applyBorder="1"/>
    <xf numFmtId="4" fontId="0" fillId="0" borderId="0" xfId="0" applyNumberFormat="1"/>
    <xf numFmtId="4" fontId="2" fillId="0" borderId="1" xfId="0" applyNumberFormat="1" applyFont="1" applyBorder="1"/>
    <xf numFmtId="4" fontId="4" fillId="0" borderId="1" xfId="0" applyNumberFormat="1" applyFont="1" applyBorder="1"/>
    <xf numFmtId="0" fontId="16" fillId="0" borderId="0" xfId="0" applyFont="1"/>
    <xf numFmtId="0" fontId="16" fillId="0" borderId="1" xfId="0" applyFont="1" applyBorder="1"/>
    <xf numFmtId="43" fontId="16" fillId="0" borderId="1" xfId="0" applyNumberFormat="1" applyFont="1" applyBorder="1"/>
    <xf numFmtId="43" fontId="16" fillId="0" borderId="0" xfId="0" applyNumberFormat="1" applyFont="1"/>
    <xf numFmtId="0" fontId="17" fillId="0" borderId="0" xfId="0" applyFont="1"/>
    <xf numFmtId="43" fontId="17" fillId="0" borderId="1" xfId="0" applyNumberFormat="1" applyFont="1" applyBorder="1"/>
    <xf numFmtId="49" fontId="15" fillId="0" borderId="0" xfId="0" applyNumberFormat="1" applyFont="1"/>
    <xf numFmtId="49" fontId="4" fillId="0" borderId="0" xfId="0" applyNumberFormat="1" applyFont="1"/>
    <xf numFmtId="49" fontId="2" fillId="0" borderId="1" xfId="0" applyNumberFormat="1" applyFont="1" applyBorder="1" applyAlignment="1">
      <alignment wrapText="1"/>
    </xf>
    <xf numFmtId="49" fontId="2" fillId="0" borderId="1" xfId="0" applyNumberFormat="1" applyFont="1" applyBorder="1"/>
    <xf numFmtId="49" fontId="2" fillId="0" borderId="0" xfId="0" applyNumberFormat="1" applyFont="1"/>
    <xf numFmtId="49" fontId="0" fillId="0" borderId="0" xfId="0" applyNumberFormat="1"/>
    <xf numFmtId="49" fontId="2" fillId="0" borderId="0" xfId="0" applyNumberFormat="1" applyFont="1" applyAlignment="1">
      <alignment wrapText="1"/>
    </xf>
    <xf numFmtId="49" fontId="4" fillId="0" borderId="0" xfId="0" applyNumberFormat="1" applyFont="1" applyAlignment="1">
      <alignment wrapText="1"/>
    </xf>
    <xf numFmtId="49" fontId="2" fillId="0" borderId="1" xfId="0" applyNumberFormat="1" applyFont="1" applyBorder="1" applyAlignment="1">
      <alignment horizontal="left"/>
    </xf>
    <xf numFmtId="49" fontId="5" fillId="0" borderId="0" xfId="0" applyNumberFormat="1" applyFont="1" applyAlignment="1">
      <alignment wrapText="1"/>
    </xf>
    <xf numFmtId="49" fontId="14" fillId="0" borderId="0" xfId="0" applyNumberFormat="1" applyFont="1"/>
    <xf numFmtId="49" fontId="13" fillId="0" borderId="1" xfId="0" applyNumberFormat="1" applyFont="1" applyBorder="1"/>
    <xf numFmtId="49" fontId="0" fillId="0" borderId="0" xfId="0" applyNumberFormat="1" applyAlignment="1">
      <alignment wrapText="1"/>
    </xf>
    <xf numFmtId="49" fontId="5" fillId="0" borderId="0" xfId="0" applyNumberFormat="1" applyFont="1"/>
    <xf numFmtId="49" fontId="2" fillId="0" borderId="1" xfId="1" applyNumberFormat="1" applyFont="1" applyBorder="1" applyAlignment="1">
      <alignment wrapText="1"/>
    </xf>
    <xf numFmtId="49" fontId="17" fillId="0" borderId="0" xfId="0" applyNumberFormat="1" applyFont="1"/>
    <xf numFmtId="49" fontId="16" fillId="0" borderId="1" xfId="0" applyNumberFormat="1" applyFont="1" applyBorder="1"/>
    <xf numFmtId="49" fontId="2" fillId="0" borderId="1" xfId="0" applyNumberFormat="1" applyFont="1" applyBorder="1" applyAlignment="1">
      <alignment horizontal="left" wrapText="1"/>
    </xf>
    <xf numFmtId="49" fontId="8" fillId="0" borderId="0" xfId="0" applyNumberFormat="1" applyFont="1"/>
    <xf numFmtId="0" fontId="2" fillId="6" borderId="1" xfId="0" applyFont="1" applyFill="1" applyBorder="1"/>
    <xf numFmtId="43" fontId="2" fillId="6" borderId="1" xfId="1" applyFont="1" applyFill="1" applyBorder="1"/>
    <xf numFmtId="43" fontId="4" fillId="6" borderId="1" xfId="1" applyFont="1" applyFill="1" applyBorder="1"/>
    <xf numFmtId="0" fontId="9" fillId="0" borderId="1" xfId="0" applyFont="1" applyBorder="1"/>
    <xf numFmtId="43" fontId="2" fillId="0" borderId="0" xfId="1" applyFont="1" applyFill="1"/>
    <xf numFmtId="165" fontId="2" fillId="0" borderId="0" xfId="1" applyNumberFormat="1" applyFont="1" applyFill="1"/>
    <xf numFmtId="0" fontId="2" fillId="0" borderId="0" xfId="0" applyFont="1" applyAlignment="1">
      <alignment horizontal="left" vertical="top"/>
    </xf>
    <xf numFmtId="43" fontId="2" fillId="0" borderId="0" xfId="0" applyNumberFormat="1" applyFont="1"/>
    <xf numFmtId="0" fontId="2" fillId="0" borderId="1" xfId="0" applyFont="1" applyBorder="1" applyAlignment="1">
      <alignment horizontal="center" vertical="top"/>
    </xf>
    <xf numFmtId="43" fontId="2" fillId="0" borderId="1" xfId="1" applyFont="1" applyBorder="1" applyAlignment="1">
      <alignment horizontal="right"/>
    </xf>
    <xf numFmtId="43" fontId="18" fillId="0" borderId="1" xfId="1" applyFont="1" applyBorder="1" applyAlignment="1">
      <alignment horizontal="right"/>
    </xf>
    <xf numFmtId="43" fontId="4" fillId="0" borderId="1" xfId="0" applyNumberFormat="1" applyFont="1" applyBorder="1"/>
    <xf numFmtId="3" fontId="4" fillId="0" borderId="1" xfId="0" applyNumberFormat="1" applyFont="1" applyBorder="1"/>
    <xf numFmtId="43" fontId="2" fillId="0" borderId="0" xfId="1" applyFont="1" applyAlignment="1"/>
    <xf numFmtId="43" fontId="2" fillId="0" borderId="1" xfId="1" applyFont="1" applyBorder="1" applyAlignment="1"/>
    <xf numFmtId="43" fontId="4" fillId="0" borderId="0" xfId="0" applyNumberFormat="1" applyFont="1"/>
    <xf numFmtId="164" fontId="2" fillId="6" borderId="1" xfId="0" applyNumberFormat="1" applyFont="1" applyFill="1" applyBorder="1"/>
    <xf numFmtId="164" fontId="4" fillId="6" borderId="1" xfId="0" applyNumberFormat="1" applyFont="1" applyFill="1" applyBorder="1"/>
    <xf numFmtId="43" fontId="10" fillId="2" borderId="1" xfId="1" applyFont="1" applyFill="1" applyBorder="1"/>
    <xf numFmtId="0" fontId="11" fillId="6" borderId="1" xfId="0" applyFont="1" applyFill="1" applyBorder="1"/>
    <xf numFmtId="43" fontId="11" fillId="6" borderId="1" xfId="1" applyFont="1" applyFill="1" applyBorder="1"/>
    <xf numFmtId="43" fontId="19" fillId="6" borderId="1" xfId="1" applyFont="1" applyFill="1" applyBorder="1"/>
    <xf numFmtId="43" fontId="4" fillId="2" borderId="1" xfId="0" applyNumberFormat="1" applyFont="1" applyFill="1" applyBorder="1"/>
    <xf numFmtId="4" fontId="4" fillId="2" borderId="1" xfId="0" applyNumberFormat="1" applyFont="1" applyFill="1" applyBorder="1"/>
    <xf numFmtId="4" fontId="2" fillId="2" borderId="1" xfId="0" applyNumberFormat="1" applyFont="1" applyFill="1" applyBorder="1"/>
    <xf numFmtId="43" fontId="2" fillId="2" borderId="1" xfId="1" applyFont="1" applyFill="1" applyBorder="1" applyAlignment="1">
      <alignment horizontal="right"/>
    </xf>
    <xf numFmtId="43" fontId="18" fillId="2" borderId="1" xfId="1" applyFont="1" applyFill="1" applyBorder="1" applyAlignment="1">
      <alignment horizontal="right"/>
    </xf>
    <xf numFmtId="49" fontId="18" fillId="0" borderId="1" xfId="0" applyNumberFormat="1" applyFont="1" applyBorder="1"/>
    <xf numFmtId="9" fontId="0" fillId="0" borderId="0" xfId="0" applyNumberFormat="1"/>
    <xf numFmtId="0" fontId="2" fillId="0" borderId="0" xfId="0" applyFont="1" applyAlignment="1">
      <alignment horizontal="left"/>
    </xf>
    <xf numFmtId="0" fontId="2" fillId="0" borderId="1" xfId="0" applyFont="1" applyBorder="1" applyAlignment="1">
      <alignment horizontal="center"/>
    </xf>
    <xf numFmtId="0" fontId="2" fillId="5" borderId="1" xfId="0" applyFont="1" applyFill="1" applyBorder="1" applyAlignment="1">
      <alignment horizontal="left"/>
    </xf>
    <xf numFmtId="43" fontId="2" fillId="0" borderId="2" xfId="1" applyFont="1" applyBorder="1"/>
    <xf numFmtId="0" fontId="4" fillId="0" borderId="1" xfId="0" applyFont="1" applyBorder="1"/>
    <xf numFmtId="0" fontId="0" fillId="0" borderId="0" xfId="0" applyAlignment="1">
      <alignment horizontal="center"/>
    </xf>
    <xf numFmtId="0" fontId="2" fillId="7" borderId="1" xfId="0" applyFont="1" applyFill="1" applyBorder="1"/>
    <xf numFmtId="43" fontId="2" fillId="7" borderId="1" xfId="1" applyFont="1" applyFill="1" applyBorder="1"/>
    <xf numFmtId="0" fontId="4" fillId="7" borderId="1" xfId="0" applyFont="1" applyFill="1" applyBorder="1"/>
    <xf numFmtId="43" fontId="4" fillId="7" borderId="1" xfId="0" applyNumberFormat="1" applyFont="1" applyFill="1" applyBorder="1"/>
    <xf numFmtId="0" fontId="2" fillId="0" borderId="0" xfId="0" applyFont="1" applyAlignment="1">
      <alignment horizontal="center"/>
    </xf>
    <xf numFmtId="43" fontId="4" fillId="0" borderId="0" xfId="1" applyFont="1" applyFill="1" applyBorder="1"/>
    <xf numFmtId="0" fontId="22" fillId="0" borderId="1" xfId="0" applyFont="1" applyBorder="1"/>
    <xf numFmtId="0" fontId="20" fillId="0" borderId="1" xfId="0" applyFont="1" applyBorder="1"/>
    <xf numFmtId="43" fontId="21" fillId="0" borderId="1" xfId="1" applyFont="1" applyBorder="1"/>
    <xf numFmtId="43" fontId="11" fillId="0" borderId="1" xfId="1" applyFont="1" applyFill="1" applyBorder="1"/>
    <xf numFmtId="43" fontId="19" fillId="0" borderId="1" xfId="1" applyFont="1" applyFill="1" applyBorder="1"/>
    <xf numFmtId="49" fontId="16" fillId="0" borderId="0" xfId="0" applyNumberFormat="1" applyFont="1"/>
    <xf numFmtId="49" fontId="11" fillId="0" borderId="1" xfId="0" applyNumberFormat="1" applyFont="1" applyBorder="1"/>
    <xf numFmtId="0" fontId="11" fillId="2" borderId="1" xfId="0" applyFont="1" applyFill="1" applyBorder="1"/>
    <xf numFmtId="43" fontId="11" fillId="2" borderId="1" xfId="1" applyFont="1" applyFill="1" applyBorder="1"/>
    <xf numFmtId="164" fontId="19" fillId="2" borderId="1" xfId="0" applyNumberFormat="1" applyFont="1" applyFill="1" applyBorder="1"/>
    <xf numFmtId="0" fontId="4" fillId="2" borderId="1" xfId="0" applyFont="1" applyFill="1" applyBorder="1"/>
    <xf numFmtId="43" fontId="17" fillId="2" borderId="1" xfId="0" applyNumberFormat="1" applyFont="1" applyFill="1" applyBorder="1"/>
    <xf numFmtId="0" fontId="16" fillId="2" borderId="1" xfId="0" applyFont="1" applyFill="1" applyBorder="1"/>
    <xf numFmtId="43" fontId="16" fillId="2" borderId="1" xfId="0" applyNumberFormat="1" applyFont="1" applyFill="1" applyBorder="1"/>
    <xf numFmtId="164" fontId="4" fillId="4" borderId="1" xfId="0" applyNumberFormat="1" applyFont="1" applyFill="1" applyBorder="1"/>
    <xf numFmtId="43" fontId="4" fillId="4" borderId="1" xfId="1" applyFont="1" applyFill="1" applyBorder="1"/>
    <xf numFmtId="49" fontId="2" fillId="0" borderId="1" xfId="0" applyNumberFormat="1" applyFont="1" applyBorder="1" applyAlignment="1">
      <alignment horizontal="center"/>
    </xf>
    <xf numFmtId="43" fontId="4" fillId="4" borderId="1" xfId="0" applyNumberFormat="1" applyFont="1" applyFill="1" applyBorder="1"/>
    <xf numFmtId="0" fontId="16" fillId="4" borderId="1" xfId="0" applyFont="1" applyFill="1" applyBorder="1"/>
    <xf numFmtId="43" fontId="16" fillId="4" borderId="1" xfId="0" applyNumberFormat="1" applyFont="1" applyFill="1" applyBorder="1"/>
    <xf numFmtId="43" fontId="17" fillId="4" borderId="1" xfId="0" applyNumberFormat="1" applyFont="1" applyFill="1" applyBorder="1"/>
    <xf numFmtId="0" fontId="0" fillId="0" borderId="0" xfId="0" applyAlignment="1">
      <alignment horizontal="right"/>
    </xf>
    <xf numFmtId="0" fontId="2" fillId="0" borderId="1" xfId="0" applyFont="1" applyBorder="1" applyAlignment="1">
      <alignment horizontal="right"/>
    </xf>
    <xf numFmtId="0" fontId="2" fillId="0" borderId="0" xfId="0" applyFont="1" applyAlignment="1">
      <alignment horizontal="right"/>
    </xf>
    <xf numFmtId="0" fontId="2" fillId="0" borderId="1" xfId="0" applyFont="1" applyBorder="1" applyAlignment="1">
      <alignment horizontal="left" wrapText="1"/>
    </xf>
    <xf numFmtId="43" fontId="2" fillId="0" borderId="0" xfId="1" applyFont="1" applyFill="1" applyAlignment="1"/>
    <xf numFmtId="165" fontId="2" fillId="0" borderId="1" xfId="1" applyNumberFormat="1" applyFont="1" applyFill="1" applyBorder="1" applyAlignment="1"/>
    <xf numFmtId="165" fontId="2" fillId="2" borderId="1" xfId="1" applyNumberFormat="1" applyFont="1" applyFill="1" applyBorder="1" applyAlignment="1"/>
    <xf numFmtId="165" fontId="4" fillId="2" borderId="1" xfId="1" applyNumberFormat="1" applyFont="1" applyFill="1" applyBorder="1" applyAlignment="1"/>
    <xf numFmtId="165" fontId="2" fillId="0" borderId="0" xfId="1" applyNumberFormat="1" applyFont="1" applyFill="1" applyAlignment="1"/>
    <xf numFmtId="165" fontId="10" fillId="0" borderId="1" xfId="1" applyNumberFormat="1" applyFont="1" applyFill="1" applyBorder="1" applyAlignment="1"/>
    <xf numFmtId="165" fontId="4" fillId="0" borderId="0" xfId="1" applyNumberFormat="1" applyFont="1" applyFill="1" applyAlignment="1"/>
    <xf numFmtId="0" fontId="2" fillId="0" borderId="1" xfId="0" applyFont="1" applyBorder="1" applyAlignment="1">
      <alignment horizontal="left"/>
    </xf>
    <xf numFmtId="43" fontId="4" fillId="0" borderId="1" xfId="1" applyFont="1" applyBorder="1" applyAlignment="1"/>
    <xf numFmtId="49" fontId="0" fillId="0" borderId="1" xfId="0" applyNumberFormat="1" applyBorder="1"/>
    <xf numFmtId="43" fontId="4" fillId="0" borderId="3" xfId="1" applyFont="1" applyBorder="1"/>
    <xf numFmtId="49" fontId="0" fillId="0" borderId="1" xfId="0" applyNumberFormat="1" applyBorder="1" applyAlignment="1">
      <alignment wrapText="1"/>
    </xf>
    <xf numFmtId="43" fontId="4" fillId="6" borderId="1" xfId="0" applyNumberFormat="1" applyFont="1" applyFill="1" applyBorder="1"/>
    <xf numFmtId="0" fontId="24" fillId="7" borderId="0" xfId="0" applyFont="1" applyFill="1"/>
    <xf numFmtId="0" fontId="23" fillId="7" borderId="0" xfId="0" applyFont="1" applyFill="1"/>
    <xf numFmtId="0" fontId="23" fillId="7" borderId="1" xfId="0" applyFont="1" applyFill="1" applyBorder="1"/>
    <xf numFmtId="165" fontId="23" fillId="7" borderId="1" xfId="1" applyNumberFormat="1" applyFont="1" applyFill="1" applyBorder="1"/>
    <xf numFmtId="43" fontId="23" fillId="7" borderId="1" xfId="1" applyFont="1" applyFill="1" applyBorder="1"/>
    <xf numFmtId="43" fontId="24" fillId="7" borderId="1" xfId="1" applyFont="1" applyFill="1" applyBorder="1"/>
    <xf numFmtId="43" fontId="25" fillId="2" borderId="1" xfId="1" applyFont="1" applyFill="1" applyBorder="1"/>
    <xf numFmtId="43" fontId="2" fillId="2" borderId="1" xfId="1" applyFont="1" applyFill="1" applyBorder="1" applyAlignment="1"/>
    <xf numFmtId="0" fontId="2" fillId="8" borderId="1" xfId="0" applyFont="1" applyFill="1" applyBorder="1"/>
    <xf numFmtId="43" fontId="2" fillId="8" borderId="1" xfId="1" applyFont="1" applyFill="1" applyBorder="1"/>
    <xf numFmtId="43" fontId="4" fillId="8" borderId="1" xfId="1" applyFont="1" applyFill="1" applyBorder="1"/>
    <xf numFmtId="165" fontId="4" fillId="4" borderId="1" xfId="1" applyNumberFormat="1" applyFont="1" applyFill="1" applyBorder="1"/>
    <xf numFmtId="165" fontId="2" fillId="4" borderId="1" xfId="1" applyNumberFormat="1" applyFont="1" applyFill="1" applyBorder="1"/>
    <xf numFmtId="0" fontId="25" fillId="0" borderId="1" xfId="0" applyFont="1" applyBorder="1"/>
    <xf numFmtId="49" fontId="25" fillId="0" borderId="1" xfId="0" applyNumberFormat="1" applyFont="1" applyBorder="1"/>
    <xf numFmtId="43" fontId="25" fillId="0" borderId="1" xfId="1" applyFont="1" applyBorder="1"/>
    <xf numFmtId="0" fontId="23" fillId="0" borderId="1" xfId="0" applyFont="1" applyBorder="1"/>
    <xf numFmtId="43" fontId="23" fillId="0" borderId="1" xfId="1" applyFont="1" applyBorder="1" applyAlignment="1"/>
    <xf numFmtId="0" fontId="23" fillId="0" borderId="1" xfId="0" applyFont="1" applyBorder="1" applyAlignment="1">
      <alignment horizontal="right"/>
    </xf>
    <xf numFmtId="14" fontId="0" fillId="0" borderId="0" xfId="0" applyNumberFormat="1"/>
    <xf numFmtId="43" fontId="7" fillId="0" borderId="1" xfId="0" applyNumberFormat="1" applyFont="1" applyBorder="1"/>
    <xf numFmtId="0" fontId="2" fillId="0" borderId="1" xfId="0" applyFont="1" applyBorder="1" applyAlignment="1">
      <alignment vertical="top"/>
    </xf>
    <xf numFmtId="0" fontId="2" fillId="0" borderId="1" xfId="0" applyFont="1" applyBorder="1" applyAlignment="1">
      <alignment horizontal="right" vertical="top"/>
    </xf>
    <xf numFmtId="2" fontId="2" fillId="0" borderId="1" xfId="1" applyNumberFormat="1" applyFont="1" applyBorder="1" applyAlignment="1"/>
    <xf numFmtId="43" fontId="4" fillId="9" borderId="1" xfId="1" applyFont="1" applyFill="1" applyBorder="1"/>
    <xf numFmtId="0" fontId="2" fillId="9" borderId="1" xfId="0" applyFont="1" applyFill="1" applyBorder="1"/>
    <xf numFmtId="43" fontId="2" fillId="9" borderId="1" xfId="1" applyFont="1" applyFill="1" applyBorder="1"/>
    <xf numFmtId="43" fontId="4" fillId="4" borderId="1" xfId="1" applyFont="1" applyFill="1" applyBorder="1" applyAlignment="1"/>
    <xf numFmtId="43" fontId="2" fillId="4" borderId="1" xfId="1" applyFont="1" applyFill="1" applyBorder="1" applyAlignment="1"/>
    <xf numFmtId="49" fontId="0" fillId="0" borderId="0" xfId="0" applyNumberFormat="1" applyAlignment="1">
      <alignment horizontal="right"/>
    </xf>
    <xf numFmtId="49" fontId="2" fillId="0" borderId="0" xfId="0" applyNumberFormat="1" applyFont="1" applyAlignment="1">
      <alignment horizontal="left"/>
    </xf>
    <xf numFmtId="49" fontId="0" fillId="0" borderId="0" xfId="0" applyNumberFormat="1" applyAlignment="1">
      <alignment horizontal="center"/>
    </xf>
    <xf numFmtId="49" fontId="23" fillId="7" borderId="0" xfId="0" applyNumberFormat="1" applyFont="1" applyFill="1"/>
    <xf numFmtId="49" fontId="23" fillId="7" borderId="1" xfId="0" applyNumberFormat="1" applyFont="1" applyFill="1" applyBorder="1"/>
    <xf numFmtId="49" fontId="23" fillId="0" borderId="1" xfId="0" applyNumberFormat="1" applyFont="1" applyBorder="1" applyAlignment="1">
      <alignment wrapText="1"/>
    </xf>
    <xf numFmtId="3" fontId="2" fillId="2" borderId="1" xfId="0" applyNumberFormat="1" applyFont="1" applyFill="1" applyBorder="1"/>
    <xf numFmtId="49" fontId="2" fillId="0" borderId="1" xfId="0" applyNumberFormat="1" applyFont="1" applyBorder="1" applyAlignment="1">
      <alignment horizontal="right"/>
    </xf>
    <xf numFmtId="0" fontId="4" fillId="0" borderId="1" xfId="0" applyFont="1" applyBorder="1" applyAlignment="1">
      <alignment horizontal="right"/>
    </xf>
    <xf numFmtId="165" fontId="10" fillId="4" borderId="1" xfId="1" applyNumberFormat="1" applyFont="1" applyFill="1" applyBorder="1"/>
    <xf numFmtId="43" fontId="0" fillId="0" borderId="1" xfId="1" applyFont="1" applyBorder="1"/>
    <xf numFmtId="0" fontId="2" fillId="0" borderId="0" xfId="0" applyFont="1" applyAlignment="1">
      <alignment horizontal="left" vertical="center" wrapText="1"/>
    </xf>
    <xf numFmtId="0" fontId="2" fillId="0" borderId="1" xfId="0" applyFont="1" applyBorder="1" applyAlignment="1">
      <alignment horizontal="left" vertical="center" wrapText="1"/>
    </xf>
    <xf numFmtId="43" fontId="2" fillId="5" borderId="1" xfId="1" applyFont="1" applyFill="1" applyBorder="1"/>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164" fontId="2" fillId="2" borderId="1" xfId="0" applyNumberFormat="1" applyFont="1" applyFill="1" applyBorder="1"/>
    <xf numFmtId="43" fontId="4" fillId="7" borderId="1" xfId="1" applyFont="1" applyFill="1" applyBorder="1"/>
    <xf numFmtId="0" fontId="23" fillId="2" borderId="1" xfId="0" applyFont="1" applyFill="1" applyBorder="1"/>
    <xf numFmtId="43" fontId="23" fillId="2" borderId="1" xfId="1" applyFont="1" applyFill="1" applyBorder="1" applyAlignment="1"/>
    <xf numFmtId="0" fontId="2" fillId="0" borderId="0" xfId="0" applyFont="1" applyAlignment="1">
      <alignment horizontal="center" vertical="center" wrapText="1"/>
    </xf>
    <xf numFmtId="165" fontId="0" fillId="0" borderId="0" xfId="1" applyNumberFormat="1" applyFont="1"/>
    <xf numFmtId="0" fontId="0" fillId="0" borderId="0" xfId="0" applyAlignment="1">
      <alignment horizontal="center" vertical="center"/>
    </xf>
    <xf numFmtId="1" fontId="0" fillId="0" borderId="0" xfId="0" applyNumberFormat="1" applyAlignment="1">
      <alignment horizontal="center" vertical="center"/>
    </xf>
    <xf numFmtId="1" fontId="0" fillId="0" borderId="0" xfId="0" applyNumberFormat="1"/>
    <xf numFmtId="43" fontId="0" fillId="0" borderId="0" xfId="1" applyFont="1" applyAlignment="1">
      <alignment horizontal="center" vertical="center"/>
    </xf>
    <xf numFmtId="43" fontId="2" fillId="5" borderId="2" xfId="1" applyFont="1" applyFill="1" applyBorder="1"/>
    <xf numFmtId="165" fontId="0" fillId="0" borderId="1" xfId="1" applyNumberFormat="1" applyFont="1" applyBorder="1"/>
    <xf numFmtId="1" fontId="0" fillId="0" borderId="1" xfId="0" applyNumberFormat="1" applyBorder="1"/>
    <xf numFmtId="164" fontId="0" fillId="0" borderId="1" xfId="0" applyNumberFormat="1" applyBorder="1"/>
    <xf numFmtId="0" fontId="2" fillId="7" borderId="1"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2" fillId="7" borderId="1" xfId="0" applyFont="1" applyFill="1" applyBorder="1" applyAlignment="1">
      <alignment wrapText="1"/>
    </xf>
    <xf numFmtId="43" fontId="2" fillId="7" borderId="2" xfId="1" applyFont="1" applyFill="1" applyBorder="1"/>
    <xf numFmtId="43" fontId="0" fillId="7" borderId="1" xfId="1" applyFont="1" applyFill="1" applyBorder="1"/>
    <xf numFmtId="165" fontId="0" fillId="7" borderId="1" xfId="1" applyNumberFormat="1" applyFont="1" applyFill="1" applyBorder="1"/>
    <xf numFmtId="1" fontId="0" fillId="7" borderId="1" xfId="0" applyNumberFormat="1" applyFill="1" applyBorder="1"/>
    <xf numFmtId="164" fontId="0" fillId="7" borderId="1" xfId="0" applyNumberFormat="1" applyFill="1" applyBorder="1"/>
    <xf numFmtId="166" fontId="2" fillId="7" borderId="1" xfId="1" applyNumberFormat="1" applyFont="1" applyFill="1" applyBorder="1"/>
    <xf numFmtId="43" fontId="2" fillId="3" borderId="1" xfId="1" applyFont="1" applyFill="1" applyBorder="1" applyAlignment="1"/>
    <xf numFmtId="43" fontId="4" fillId="3" borderId="1" xfId="1" applyFont="1" applyFill="1" applyBorder="1" applyAlignment="1"/>
    <xf numFmtId="43" fontId="2" fillId="0" borderId="1" xfId="0" applyNumberFormat="1" applyFont="1" applyBorder="1"/>
    <xf numFmtId="43" fontId="4" fillId="3" borderId="1" xfId="0" applyNumberFormat="1" applyFont="1" applyFill="1" applyBorder="1"/>
    <xf numFmtId="43" fontId="2" fillId="3" borderId="1" xfId="0" applyNumberFormat="1" applyFont="1" applyFill="1" applyBorder="1"/>
    <xf numFmtId="43" fontId="2" fillId="6" borderId="1" xfId="1" applyFont="1" applyFill="1" applyBorder="1" applyAlignment="1"/>
    <xf numFmtId="43" fontId="2" fillId="6" borderId="2" xfId="1" applyFont="1" applyFill="1" applyBorder="1"/>
    <xf numFmtId="0" fontId="2" fillId="0" borderId="0" xfId="0" applyFont="1" applyAlignment="1">
      <alignment vertical="top"/>
    </xf>
    <xf numFmtId="43" fontId="2" fillId="0" borderId="0" xfId="1" applyFont="1" applyFill="1" applyBorder="1" applyAlignment="1"/>
    <xf numFmtId="43" fontId="4" fillId="10" borderId="1" xfId="1" applyFont="1" applyFill="1" applyBorder="1"/>
    <xf numFmtId="0" fontId="2" fillId="10" borderId="1" xfId="0" applyFont="1" applyFill="1" applyBorder="1"/>
    <xf numFmtId="43" fontId="2" fillId="10" borderId="1" xfId="1" applyFont="1" applyFill="1" applyBorder="1"/>
    <xf numFmtId="14" fontId="2" fillId="0" borderId="0" xfId="0" applyNumberFormat="1" applyFont="1"/>
    <xf numFmtId="43" fontId="21" fillId="5" borderId="1" xfId="1" applyFont="1" applyFill="1" applyBorder="1"/>
    <xf numFmtId="0" fontId="26" fillId="0" borderId="0" xfId="0" applyFont="1"/>
    <xf numFmtId="0" fontId="4" fillId="0" borderId="0" xfId="0" applyFont="1" applyAlignment="1">
      <alignment vertical="top"/>
    </xf>
    <xf numFmtId="164" fontId="4" fillId="0" borderId="1" xfId="0" applyNumberFormat="1" applyFont="1" applyBorder="1" applyAlignment="1">
      <alignment horizontal="right"/>
    </xf>
    <xf numFmtId="43" fontId="4" fillId="0" borderId="0" xfId="1" applyFont="1" applyBorder="1" applyAlignment="1"/>
    <xf numFmtId="164" fontId="4" fillId="3" borderId="1" xfId="0" applyNumberFormat="1" applyFont="1" applyFill="1" applyBorder="1" applyAlignment="1">
      <alignment horizontal="right"/>
    </xf>
    <xf numFmtId="43" fontId="4" fillId="0" borderId="0" xfId="1" applyFont="1"/>
    <xf numFmtId="165" fontId="10" fillId="3" borderId="1" xfId="1" applyNumberFormat="1" applyFont="1" applyFill="1" applyBorder="1"/>
    <xf numFmtId="0" fontId="23" fillId="3" borderId="1" xfId="0" applyFont="1" applyFill="1" applyBorder="1"/>
    <xf numFmtId="43" fontId="23" fillId="3" borderId="1" xfId="1" applyFont="1" applyFill="1" applyBorder="1" applyAlignment="1"/>
    <xf numFmtId="43" fontId="26" fillId="0" borderId="0" xfId="1" applyFont="1"/>
    <xf numFmtId="43" fontId="28" fillId="0" borderId="3" xfId="1" applyFont="1" applyBorder="1" applyAlignment="1">
      <alignment horizontal="right"/>
    </xf>
    <xf numFmtId="0" fontId="26" fillId="0" borderId="1" xfId="0" applyFont="1" applyBorder="1"/>
    <xf numFmtId="0" fontId="4" fillId="0" borderId="0" xfId="0" applyFont="1" applyFill="1" applyBorder="1" applyAlignment="1">
      <alignment wrapText="1"/>
    </xf>
    <xf numFmtId="0" fontId="5" fillId="0" borderId="0" xfId="0" applyFont="1" applyFill="1" applyBorder="1" applyAlignment="1">
      <alignment wrapText="1"/>
    </xf>
    <xf numFmtId="43" fontId="27" fillId="3" borderId="3" xfId="1" applyFont="1" applyFill="1" applyBorder="1"/>
    <xf numFmtId="43" fontId="2" fillId="3" borderId="1" xfId="1" applyFont="1" applyFill="1" applyBorder="1" applyAlignment="1">
      <alignment horizontal="right"/>
    </xf>
    <xf numFmtId="0" fontId="26" fillId="3" borderId="1" xfId="0" applyFont="1" applyFill="1" applyBorder="1"/>
    <xf numFmtId="43" fontId="4" fillId="10" borderId="1" xfId="0" applyNumberFormat="1" applyFont="1" applyFill="1" applyBorder="1"/>
    <xf numFmtId="43" fontId="28" fillId="0" borderId="1" xfId="1" applyFont="1" applyBorder="1"/>
    <xf numFmtId="0" fontId="2" fillId="0" borderId="0" xfId="0" applyFont="1" applyFill="1" applyBorder="1"/>
    <xf numFmtId="0" fontId="4" fillId="0" borderId="0" xfId="0" applyFont="1" applyFill="1" applyBorder="1"/>
    <xf numFmtId="0" fontId="5" fillId="0" borderId="0" xfId="0" applyFont="1" applyFill="1" applyBorder="1"/>
    <xf numFmtId="43" fontId="17" fillId="6" borderId="1" xfId="0" applyNumberFormat="1" applyFont="1" applyFill="1" applyBorder="1"/>
    <xf numFmtId="0" fontId="16" fillId="6" borderId="1" xfId="0" applyFont="1" applyFill="1" applyBorder="1"/>
    <xf numFmtId="43" fontId="16" fillId="6" borderId="1" xfId="0" applyNumberFormat="1" applyFont="1" applyFill="1" applyBorder="1"/>
    <xf numFmtId="43" fontId="23" fillId="3" borderId="1" xfId="1" applyFont="1" applyFill="1" applyBorder="1"/>
    <xf numFmtId="43" fontId="7" fillId="3" borderId="1" xfId="0" applyNumberFormat="1" applyFont="1" applyFill="1" applyBorder="1"/>
    <xf numFmtId="43" fontId="28" fillId="0" borderId="0" xfId="1" applyFont="1" applyBorder="1"/>
    <xf numFmtId="0" fontId="2" fillId="3" borderId="4" xfId="0" applyFont="1" applyFill="1" applyBorder="1"/>
    <xf numFmtId="16" fontId="2" fillId="0" borderId="0" xfId="0" applyNumberFormat="1" applyFont="1"/>
    <xf numFmtId="49" fontId="2" fillId="0" borderId="1" xfId="0" applyNumberFormat="1" applyFont="1" applyFill="1" applyBorder="1" applyAlignment="1">
      <alignment horizontal="right"/>
    </xf>
    <xf numFmtId="49" fontId="0" fillId="0" borderId="0" xfId="0" applyNumberFormat="1" applyFill="1"/>
    <xf numFmtId="49" fontId="2" fillId="0" borderId="5" xfId="0" applyNumberFormat="1" applyFont="1" applyFill="1" applyBorder="1" applyAlignment="1">
      <alignment horizontal="right"/>
    </xf>
    <xf numFmtId="49" fontId="29" fillId="0" borderId="0" xfId="0" applyNumberFormat="1" applyFont="1" applyFill="1" applyAlignment="1">
      <alignment horizontal="right"/>
    </xf>
    <xf numFmtId="49" fontId="2" fillId="0" borderId="0" xfId="0" applyNumberFormat="1" applyFont="1" applyFill="1" applyAlignment="1">
      <alignment horizontal="right"/>
    </xf>
    <xf numFmtId="16" fontId="0" fillId="0" borderId="0" xfId="1" applyNumberFormat="1" applyFont="1"/>
    <xf numFmtId="0" fontId="2" fillId="11" borderId="1" xfId="0" applyFont="1" applyFill="1" applyBorder="1"/>
    <xf numFmtId="43" fontId="2" fillId="11" borderId="1" xfId="1" applyFont="1" applyFill="1" applyBorder="1"/>
    <xf numFmtId="43" fontId="4" fillId="11" borderId="1" xfId="1" applyFont="1" applyFill="1" applyBorder="1"/>
    <xf numFmtId="43" fontId="4" fillId="12" borderId="1" xfId="1" applyFont="1" applyFill="1" applyBorder="1"/>
    <xf numFmtId="0" fontId="2" fillId="12" borderId="1" xfId="0" applyFont="1" applyFill="1" applyBorder="1"/>
    <xf numFmtId="43" fontId="2" fillId="12" borderId="1" xfId="1" applyFont="1" applyFill="1" applyBorder="1"/>
    <xf numFmtId="0" fontId="0" fillId="0" borderId="0" xfId="0" applyFill="1"/>
    <xf numFmtId="0" fontId="2" fillId="0" borderId="0" xfId="0" applyFont="1" applyAlignment="1"/>
    <xf numFmtId="0" fontId="18" fillId="0" borderId="1" xfId="0" applyFont="1" applyBorder="1"/>
    <xf numFmtId="0" fontId="30" fillId="0" borderId="0" xfId="0" applyFont="1" applyAlignment="1">
      <alignment wrapText="1"/>
    </xf>
    <xf numFmtId="43" fontId="4" fillId="0" borderId="0" xfId="0" applyNumberFormat="1" applyFont="1" applyBorder="1"/>
    <xf numFmtId="43" fontId="2" fillId="0" borderId="1" xfId="1" applyFont="1" applyFill="1" applyBorder="1" applyAlignment="1">
      <alignment wrapText="1"/>
    </xf>
    <xf numFmtId="0" fontId="2" fillId="0" borderId="1" xfId="0" applyFont="1" applyBorder="1" applyAlignment="1"/>
    <xf numFmtId="43" fontId="4" fillId="3" borderId="3" xfId="1" applyFont="1" applyFill="1" applyBorder="1"/>
    <xf numFmtId="43" fontId="4" fillId="9" borderId="1" xfId="0" applyNumberFormat="1" applyFont="1" applyFill="1" applyBorder="1"/>
    <xf numFmtId="43" fontId="4" fillId="10" borderId="1" xfId="1" applyFont="1" applyFill="1" applyBorder="1" applyAlignment="1"/>
    <xf numFmtId="43" fontId="2" fillId="10" borderId="1" xfId="1" applyFont="1" applyFill="1" applyBorder="1" applyAlignment="1"/>
    <xf numFmtId="4" fontId="4" fillId="6" borderId="1" xfId="0" applyNumberFormat="1" applyFont="1" applyFill="1" applyBorder="1"/>
    <xf numFmtId="4" fontId="2" fillId="6" borderId="1" xfId="0" applyNumberFormat="1" applyFont="1" applyFill="1" applyBorder="1"/>
    <xf numFmtId="165" fontId="16" fillId="0" borderId="1" xfId="1" applyNumberFormat="1" applyFont="1" applyBorder="1"/>
    <xf numFmtId="165" fontId="4" fillId="0" borderId="1" xfId="1" applyNumberFormat="1" applyFont="1" applyBorder="1"/>
    <xf numFmtId="0" fontId="16" fillId="0" borderId="1" xfId="0" applyFont="1" applyBorder="1" applyAlignment="1">
      <alignment horizontal="left"/>
    </xf>
  </cellXfs>
  <cellStyles count="2">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8CBE8-A1DC-8C46-81A4-32ECF552C47C}">
  <dimension ref="A2:V178"/>
  <sheetViews>
    <sheetView topLeftCell="A163" workbookViewId="0">
      <selection activeCell="G178" sqref="G178"/>
    </sheetView>
  </sheetViews>
  <sheetFormatPr baseColWidth="10" defaultRowHeight="16" x14ac:dyDescent="0.2"/>
  <cols>
    <col min="1" max="1" width="74.83203125" style="4" customWidth="1"/>
    <col min="2" max="2" width="20.33203125" style="4" customWidth="1"/>
    <col min="3" max="3" width="13" style="2" customWidth="1"/>
    <col min="4" max="4" width="62.6640625" style="2" customWidth="1"/>
    <col min="5" max="5" width="11" style="2" bestFit="1" customWidth="1"/>
    <col min="6" max="6" width="14.1640625" style="3" customWidth="1"/>
    <col min="7" max="7" width="20.6640625" style="3" customWidth="1"/>
    <col min="8" max="8" width="10.83203125" style="2"/>
    <col min="9" max="9" width="14.33203125" style="2" customWidth="1"/>
    <col min="10" max="10" width="15.6640625" style="2" customWidth="1"/>
    <col min="13" max="13" width="13.83203125" customWidth="1"/>
    <col min="16" max="16" width="17" customWidth="1"/>
    <col min="19" max="19" width="17.6640625" customWidth="1"/>
    <col min="22" max="22" width="13.1640625" customWidth="1"/>
  </cols>
  <sheetData>
    <row r="2" spans="1:13" ht="19" thickBot="1" x14ac:dyDescent="0.25">
      <c r="A2" s="21" t="s">
        <v>209</v>
      </c>
      <c r="B2" s="6"/>
      <c r="C2" s="2" t="s">
        <v>3</v>
      </c>
      <c r="D2" s="2" t="s">
        <v>2</v>
      </c>
    </row>
    <row r="3" spans="1:13" ht="52" thickBot="1" x14ac:dyDescent="0.25">
      <c r="A3" s="8" t="s">
        <v>0</v>
      </c>
      <c r="B3" s="8"/>
      <c r="C3" s="11" t="s">
        <v>1</v>
      </c>
      <c r="D3" s="9"/>
      <c r="E3" s="9">
        <v>500</v>
      </c>
      <c r="F3" s="10">
        <v>2586.8000000000002</v>
      </c>
      <c r="G3" s="10">
        <f>F3*E3</f>
        <v>1293400</v>
      </c>
      <c r="H3" s="18">
        <v>160</v>
      </c>
      <c r="I3" s="19">
        <v>2586.8000000000002</v>
      </c>
      <c r="J3" s="19">
        <f>I3*H3</f>
        <v>413888</v>
      </c>
      <c r="K3" s="27">
        <v>90</v>
      </c>
      <c r="L3" s="28">
        <v>2586.8000000000002</v>
      </c>
      <c r="M3" s="28">
        <f>L3*K3</f>
        <v>232812.00000000003</v>
      </c>
    </row>
    <row r="7" spans="1:13" ht="39" thickBot="1" x14ac:dyDescent="0.25">
      <c r="A7" s="6" t="s">
        <v>10</v>
      </c>
      <c r="B7" s="6"/>
      <c r="C7" s="2" t="s">
        <v>6</v>
      </c>
      <c r="D7" s="2" t="s">
        <v>7</v>
      </c>
    </row>
    <row r="8" spans="1:13" ht="52" thickBot="1" x14ac:dyDescent="0.25">
      <c r="A8" s="8" t="s">
        <v>8</v>
      </c>
      <c r="B8" s="8"/>
      <c r="C8" s="9" t="s">
        <v>9</v>
      </c>
      <c r="D8" s="9"/>
      <c r="E8" s="9">
        <v>300</v>
      </c>
      <c r="F8" s="10">
        <v>3723.6</v>
      </c>
      <c r="G8" s="10">
        <f>F8*E8</f>
        <v>1117080</v>
      </c>
      <c r="H8" s="18">
        <v>300</v>
      </c>
      <c r="I8" s="19">
        <v>3723.6</v>
      </c>
      <c r="J8" s="19">
        <f>I8*H8</f>
        <v>1117080</v>
      </c>
    </row>
    <row r="13" spans="1:13" ht="19" x14ac:dyDescent="0.2">
      <c r="A13" s="6" t="s">
        <v>88</v>
      </c>
      <c r="B13" s="6"/>
      <c r="C13" s="2" t="s">
        <v>86</v>
      </c>
      <c r="D13" s="2" t="s">
        <v>87</v>
      </c>
      <c r="G13" s="2"/>
    </row>
    <row r="14" spans="1:13" ht="18" thickBot="1" x14ac:dyDescent="0.25">
      <c r="A14" s="4" t="s">
        <v>190</v>
      </c>
      <c r="G14" s="2"/>
    </row>
    <row r="15" spans="1:13" ht="18" thickBot="1" x14ac:dyDescent="0.25">
      <c r="A15" s="8" t="s">
        <v>89</v>
      </c>
      <c r="B15" s="8"/>
      <c r="C15" s="9" t="s">
        <v>36</v>
      </c>
      <c r="D15" s="9" t="s">
        <v>90</v>
      </c>
      <c r="E15" s="9">
        <v>40</v>
      </c>
      <c r="F15" s="10">
        <v>2940.6</v>
      </c>
      <c r="G15" s="14">
        <f>E15*F15</f>
        <v>117624</v>
      </c>
      <c r="H15" s="23">
        <v>20</v>
      </c>
      <c r="I15" s="24">
        <v>2940.6</v>
      </c>
      <c r="J15" s="25">
        <f>H15*I15</f>
        <v>58812</v>
      </c>
      <c r="K15" s="27">
        <v>20</v>
      </c>
      <c r="L15" s="28">
        <v>2940.6</v>
      </c>
      <c r="M15" s="29">
        <f>K15*L15</f>
        <v>58812</v>
      </c>
    </row>
    <row r="18" spans="1:22" ht="39" thickBot="1" x14ac:dyDescent="0.25">
      <c r="A18" s="6" t="s">
        <v>867</v>
      </c>
      <c r="B18" s="6"/>
      <c r="C18" s="2" t="s">
        <v>5</v>
      </c>
      <c r="D18" s="2" t="s">
        <v>171</v>
      </c>
      <c r="G18" s="2"/>
    </row>
    <row r="19" spans="1:22" ht="18" thickBot="1" x14ac:dyDescent="0.25">
      <c r="A19" s="8" t="s">
        <v>60</v>
      </c>
      <c r="B19" s="75" t="s">
        <v>863</v>
      </c>
      <c r="C19" s="9" t="s">
        <v>4</v>
      </c>
      <c r="D19" s="9"/>
      <c r="E19" s="9">
        <v>1460</v>
      </c>
      <c r="F19" s="10">
        <v>3472</v>
      </c>
      <c r="G19" s="14">
        <f>E19*F19</f>
        <v>5069120</v>
      </c>
      <c r="H19" s="23">
        <v>198</v>
      </c>
      <c r="I19" s="24">
        <v>3472</v>
      </c>
      <c r="J19" s="25">
        <f>H19*I19</f>
        <v>687456</v>
      </c>
      <c r="K19" s="27">
        <v>70</v>
      </c>
      <c r="L19" s="28">
        <v>3472</v>
      </c>
      <c r="M19" s="29">
        <f>K19*L19</f>
        <v>243040</v>
      </c>
      <c r="N19">
        <v>701</v>
      </c>
    </row>
    <row r="22" spans="1:22" ht="20" thickBot="1" x14ac:dyDescent="0.25">
      <c r="A22" s="6" t="s">
        <v>175</v>
      </c>
      <c r="B22" s="6"/>
      <c r="C22" s="2" t="s">
        <v>179</v>
      </c>
      <c r="D22" s="2" t="s">
        <v>178</v>
      </c>
      <c r="Q22" t="s">
        <v>2019</v>
      </c>
    </row>
    <row r="23" spans="1:22" ht="18" thickBot="1" x14ac:dyDescent="0.25">
      <c r="A23" s="8" t="s">
        <v>176</v>
      </c>
      <c r="B23" s="75" t="s">
        <v>864</v>
      </c>
      <c r="C23" s="9" t="s">
        <v>4</v>
      </c>
      <c r="D23" s="9" t="s">
        <v>172</v>
      </c>
      <c r="E23" s="9">
        <v>160</v>
      </c>
      <c r="F23" s="10">
        <v>3001.15</v>
      </c>
      <c r="G23" s="10">
        <f>F23*E23</f>
        <v>480184</v>
      </c>
      <c r="H23" s="23"/>
      <c r="I23" s="24">
        <v>3001.15</v>
      </c>
      <c r="J23" s="24">
        <f>I23*H23</f>
        <v>0</v>
      </c>
      <c r="K23" s="92"/>
      <c r="L23" s="93">
        <v>3001.15</v>
      </c>
      <c r="M23" s="93">
        <f>L23*K23</f>
        <v>0</v>
      </c>
      <c r="N23" s="127"/>
      <c r="O23" s="128">
        <v>3001.15</v>
      </c>
      <c r="P23" s="128">
        <f>O23*N23</f>
        <v>0</v>
      </c>
      <c r="Q23" s="9">
        <f>E23-H23-K23-N23</f>
        <v>160</v>
      </c>
      <c r="R23" s="10">
        <v>3001.15</v>
      </c>
      <c r="S23" s="10">
        <f>R23*Q23</f>
        <v>480184</v>
      </c>
    </row>
    <row r="24" spans="1:22" ht="18" thickBot="1" x14ac:dyDescent="0.25">
      <c r="A24" s="8" t="s">
        <v>176</v>
      </c>
      <c r="B24" s="75" t="s">
        <v>865</v>
      </c>
      <c r="C24" s="9" t="s">
        <v>4</v>
      </c>
      <c r="D24" s="9" t="s">
        <v>173</v>
      </c>
      <c r="E24" s="9">
        <v>4156</v>
      </c>
      <c r="F24" s="10">
        <v>3001.15</v>
      </c>
      <c r="G24" s="10">
        <f>F24*E24</f>
        <v>12472779.4</v>
      </c>
      <c r="H24" s="23">
        <v>884</v>
      </c>
      <c r="I24" s="24">
        <v>3001.15</v>
      </c>
      <c r="J24" s="24">
        <f>I24*H24</f>
        <v>2653016.6</v>
      </c>
      <c r="K24" s="92">
        <v>1000</v>
      </c>
      <c r="L24" s="93">
        <v>3001.15</v>
      </c>
      <c r="M24" s="93">
        <f>L24*K24</f>
        <v>3001150</v>
      </c>
      <c r="N24" s="127">
        <v>145</v>
      </c>
      <c r="O24" s="128">
        <v>3001.15</v>
      </c>
      <c r="P24" s="128">
        <f>O24*N24</f>
        <v>435166.75</v>
      </c>
      <c r="Q24" s="9">
        <f>E24-H24-K24-N24</f>
        <v>2127</v>
      </c>
      <c r="R24" s="10">
        <v>3001.15</v>
      </c>
      <c r="S24" s="10">
        <f>R24*Q24</f>
        <v>6383446.0499999998</v>
      </c>
    </row>
    <row r="25" spans="1:22" ht="18" thickBot="1" x14ac:dyDescent="0.25">
      <c r="A25" s="8" t="s">
        <v>177</v>
      </c>
      <c r="B25" s="75" t="s">
        <v>866</v>
      </c>
      <c r="C25" s="9" t="s">
        <v>4</v>
      </c>
      <c r="D25" s="9" t="s">
        <v>174</v>
      </c>
      <c r="E25" s="9">
        <v>160</v>
      </c>
      <c r="F25" s="10">
        <v>3001.15</v>
      </c>
      <c r="G25" s="10">
        <f>F25*E25</f>
        <v>480184</v>
      </c>
      <c r="H25" s="23">
        <v>160</v>
      </c>
      <c r="I25" s="24">
        <v>3001.15</v>
      </c>
      <c r="J25" s="24">
        <f>I25*H25</f>
        <v>480184</v>
      </c>
      <c r="K25" s="92">
        <f>E25-H25</f>
        <v>0</v>
      </c>
      <c r="L25" s="93">
        <v>3001.15</v>
      </c>
      <c r="M25" s="93">
        <f>L25*K25</f>
        <v>0</v>
      </c>
      <c r="N25" s="127">
        <f>E25-H25-K25</f>
        <v>0</v>
      </c>
      <c r="O25" s="128">
        <v>3001.15</v>
      </c>
      <c r="P25" s="128">
        <f>O25*N25</f>
        <v>0</v>
      </c>
      <c r="Q25" s="9">
        <f>E25-H25-K25-N25</f>
        <v>0</v>
      </c>
      <c r="R25" s="10">
        <v>3001.15</v>
      </c>
      <c r="S25" s="10">
        <f>R25*Q25</f>
        <v>0</v>
      </c>
    </row>
    <row r="26" spans="1:22" ht="18" thickBot="1" x14ac:dyDescent="0.25">
      <c r="A26" s="8" t="s">
        <v>177</v>
      </c>
      <c r="B26" s="75" t="s">
        <v>864</v>
      </c>
      <c r="C26" s="9" t="s">
        <v>4</v>
      </c>
      <c r="D26" s="9" t="s">
        <v>172</v>
      </c>
      <c r="E26" s="9">
        <v>4096</v>
      </c>
      <c r="F26" s="10">
        <v>3001.15</v>
      </c>
      <c r="G26" s="10">
        <f>F26*E26</f>
        <v>12292710.4</v>
      </c>
      <c r="H26" s="23">
        <v>2100</v>
      </c>
      <c r="I26" s="24">
        <v>3001.15</v>
      </c>
      <c r="J26" s="24">
        <f>I26*H26</f>
        <v>6302415</v>
      </c>
      <c r="K26" s="92">
        <v>1000</v>
      </c>
      <c r="L26" s="93">
        <v>3001.15</v>
      </c>
      <c r="M26" s="93">
        <f>L26*K26</f>
        <v>3001150</v>
      </c>
      <c r="N26" s="127">
        <v>393</v>
      </c>
      <c r="O26" s="128">
        <v>3001.15</v>
      </c>
      <c r="P26" s="128">
        <f>O26*N26</f>
        <v>1179451.95</v>
      </c>
      <c r="Q26" s="9">
        <f>E26-H26-K26-N26</f>
        <v>603</v>
      </c>
      <c r="R26" s="10">
        <v>3001.15</v>
      </c>
      <c r="S26" s="10">
        <f>R26*Q26</f>
        <v>1809693.45</v>
      </c>
    </row>
    <row r="27" spans="1:22" ht="17" thickBot="1" x14ac:dyDescent="0.25">
      <c r="G27" s="12">
        <f>SUM(G23:G26)</f>
        <v>25725857.800000001</v>
      </c>
      <c r="I27" s="3"/>
      <c r="J27" s="26">
        <f>SUM(J23:J26)</f>
        <v>9435615.5999999996</v>
      </c>
      <c r="K27" s="2"/>
      <c r="L27" s="3"/>
      <c r="M27" s="94">
        <f>SUM(M23:M26)</f>
        <v>6002300</v>
      </c>
      <c r="N27" s="2"/>
      <c r="O27" s="3"/>
      <c r="P27" s="218">
        <f>SUM(P23:P26)</f>
        <v>1614618.7</v>
      </c>
      <c r="Q27" s="2"/>
      <c r="R27" s="3"/>
      <c r="S27" s="12">
        <f>SUM(S23:S26)</f>
        <v>8673323.5</v>
      </c>
    </row>
    <row r="28" spans="1:22" ht="19" thickBot="1" x14ac:dyDescent="0.25">
      <c r="A28" s="21" t="s">
        <v>218</v>
      </c>
      <c r="B28" s="21"/>
      <c r="C28" s="2" t="s">
        <v>215</v>
      </c>
      <c r="D28" s="2" t="s">
        <v>216</v>
      </c>
    </row>
    <row r="29" spans="1:22" ht="18" thickBot="1" x14ac:dyDescent="0.25">
      <c r="A29" s="8" t="s">
        <v>58</v>
      </c>
      <c r="B29" s="75" t="s">
        <v>868</v>
      </c>
      <c r="C29" s="9" t="s">
        <v>36</v>
      </c>
      <c r="D29" s="9" t="s">
        <v>217</v>
      </c>
      <c r="E29" s="9">
        <v>45</v>
      </c>
      <c r="F29" s="10">
        <v>21761.599999999999</v>
      </c>
      <c r="G29" s="12">
        <f>F29*E29</f>
        <v>979271.99999999988</v>
      </c>
    </row>
    <row r="31" spans="1:22" ht="19" thickBot="1" x14ac:dyDescent="0.25">
      <c r="A31" s="21" t="s">
        <v>219</v>
      </c>
      <c r="B31" s="21"/>
      <c r="C31" s="2" t="s">
        <v>376</v>
      </c>
      <c r="D31" s="2" t="s">
        <v>377</v>
      </c>
    </row>
    <row r="32" spans="1:22" ht="18" thickBot="1" x14ac:dyDescent="0.25">
      <c r="A32" s="8" t="s">
        <v>220</v>
      </c>
      <c r="B32" s="75" t="s">
        <v>868</v>
      </c>
      <c r="C32" s="9" t="s">
        <v>36</v>
      </c>
      <c r="D32" s="9" t="s">
        <v>355</v>
      </c>
      <c r="E32" s="9">
        <v>75</v>
      </c>
      <c r="F32" s="10">
        <v>20764</v>
      </c>
      <c r="G32" s="10">
        <f>F32*E32</f>
        <v>1557300</v>
      </c>
      <c r="H32" s="23"/>
      <c r="I32" s="24">
        <v>20764</v>
      </c>
      <c r="J32" s="24">
        <f>I32*H32</f>
        <v>0</v>
      </c>
      <c r="K32" s="111"/>
      <c r="L32" s="112">
        <v>20764</v>
      </c>
      <c r="M32" s="112">
        <f>L32*K32</f>
        <v>0</v>
      </c>
      <c r="N32" s="23"/>
      <c r="O32" s="24">
        <v>20764</v>
      </c>
      <c r="P32" s="24">
        <f>O32*N32</f>
        <v>0</v>
      </c>
      <c r="Q32" s="251">
        <v>6</v>
      </c>
      <c r="R32" s="252">
        <v>20764</v>
      </c>
      <c r="S32" s="252">
        <f>R32*Q32</f>
        <v>124584</v>
      </c>
      <c r="T32" s="23">
        <v>69</v>
      </c>
      <c r="U32" s="24">
        <v>20764</v>
      </c>
      <c r="V32" s="24">
        <f>U32*T32</f>
        <v>1432716</v>
      </c>
    </row>
    <row r="33" spans="1:22" ht="18" thickBot="1" x14ac:dyDescent="0.25">
      <c r="A33" s="8" t="s">
        <v>220</v>
      </c>
      <c r="B33" s="75" t="s">
        <v>869</v>
      </c>
      <c r="C33" s="9" t="s">
        <v>36</v>
      </c>
      <c r="D33" s="9" t="s">
        <v>352</v>
      </c>
      <c r="E33" s="9">
        <v>30</v>
      </c>
      <c r="F33" s="10">
        <v>7772</v>
      </c>
      <c r="G33" s="10">
        <f>F33*E33</f>
        <v>233160</v>
      </c>
      <c r="H33" s="23">
        <v>30</v>
      </c>
      <c r="I33" s="24">
        <v>7772</v>
      </c>
      <c r="J33" s="24">
        <f>I33*H33</f>
        <v>233160</v>
      </c>
      <c r="K33" s="111"/>
      <c r="L33" s="112">
        <v>7772</v>
      </c>
      <c r="M33" s="112">
        <f>L33*K33</f>
        <v>0</v>
      </c>
      <c r="N33" s="23"/>
      <c r="O33" s="24">
        <v>7772</v>
      </c>
      <c r="P33" s="24">
        <f>O33*N33</f>
        <v>0</v>
      </c>
      <c r="Q33" s="251"/>
      <c r="R33" s="252">
        <v>7772</v>
      </c>
      <c r="S33" s="252">
        <f>R33*Q33</f>
        <v>0</v>
      </c>
      <c r="T33" s="23"/>
      <c r="U33" s="24">
        <v>7772</v>
      </c>
      <c r="V33" s="24">
        <f>U33*T33</f>
        <v>0</v>
      </c>
    </row>
    <row r="34" spans="1:22" ht="18" thickBot="1" x14ac:dyDescent="0.25">
      <c r="A34" s="8" t="s">
        <v>220</v>
      </c>
      <c r="B34" s="8"/>
      <c r="C34" s="9" t="s">
        <v>36</v>
      </c>
      <c r="D34" s="9" t="s">
        <v>353</v>
      </c>
      <c r="E34" s="9">
        <v>18</v>
      </c>
      <c r="F34" s="10">
        <v>30972</v>
      </c>
      <c r="G34" s="10">
        <f>F34*E34</f>
        <v>557496</v>
      </c>
      <c r="H34" s="23">
        <v>5</v>
      </c>
      <c r="I34" s="24">
        <v>30972</v>
      </c>
      <c r="J34" s="24">
        <f>I34*H34</f>
        <v>154860</v>
      </c>
      <c r="K34" s="111"/>
      <c r="L34" s="112">
        <v>30972</v>
      </c>
      <c r="M34" s="112">
        <f>L34*K34</f>
        <v>0</v>
      </c>
      <c r="N34" s="23"/>
      <c r="O34" s="24">
        <v>30972</v>
      </c>
      <c r="P34" s="24">
        <f>O34*N34</f>
        <v>0</v>
      </c>
      <c r="Q34" s="251"/>
      <c r="R34" s="252">
        <v>30972</v>
      </c>
      <c r="S34" s="252">
        <f>R34*Q34</f>
        <v>0</v>
      </c>
      <c r="T34" s="23">
        <v>5</v>
      </c>
      <c r="U34" s="24">
        <v>30972</v>
      </c>
      <c r="V34" s="24">
        <f>U34*T34</f>
        <v>154860</v>
      </c>
    </row>
    <row r="35" spans="1:22" ht="18" thickBot="1" x14ac:dyDescent="0.25">
      <c r="A35" s="8" t="s">
        <v>220</v>
      </c>
      <c r="B35" s="75" t="s">
        <v>997</v>
      </c>
      <c r="C35" s="9" t="s">
        <v>36</v>
      </c>
      <c r="D35" s="9" t="s">
        <v>354</v>
      </c>
      <c r="E35" s="9">
        <v>700</v>
      </c>
      <c r="F35" s="10">
        <v>2030</v>
      </c>
      <c r="G35" s="10">
        <f>F35*E35</f>
        <v>1421000</v>
      </c>
      <c r="H35" s="23">
        <v>100</v>
      </c>
      <c r="I35" s="24">
        <v>2030</v>
      </c>
      <c r="J35" s="24">
        <f>I35*H35</f>
        <v>203000</v>
      </c>
      <c r="K35" s="111">
        <v>120</v>
      </c>
      <c r="L35" s="112">
        <v>2030</v>
      </c>
      <c r="M35" s="112">
        <f>L35*K35</f>
        <v>243600</v>
      </c>
      <c r="N35" s="23">
        <v>240</v>
      </c>
      <c r="O35" s="24">
        <v>2030</v>
      </c>
      <c r="P35" s="24">
        <f>O35*N35</f>
        <v>487200</v>
      </c>
      <c r="Q35" s="251"/>
      <c r="R35" s="252">
        <v>2030</v>
      </c>
      <c r="S35" s="252">
        <f>R35*Q35</f>
        <v>0</v>
      </c>
      <c r="T35" s="23"/>
      <c r="U35" s="24">
        <v>2030</v>
      </c>
      <c r="V35" s="24">
        <f>U35*T35</f>
        <v>0</v>
      </c>
    </row>
    <row r="36" spans="1:22" ht="17" thickBot="1" x14ac:dyDescent="0.25">
      <c r="G36" s="12">
        <f>SUM(G32:G35)</f>
        <v>3768956</v>
      </c>
      <c r="I36" s="3"/>
      <c r="J36" s="26">
        <f>SUM(J32:J35)</f>
        <v>591020</v>
      </c>
      <c r="K36" s="2"/>
      <c r="L36" s="3"/>
      <c r="M36" s="113">
        <f>SUM(M32:M35)</f>
        <v>243600</v>
      </c>
      <c r="N36" s="2"/>
      <c r="O36" s="3"/>
      <c r="P36" s="26">
        <f>SUM(P32:P35)</f>
        <v>487200</v>
      </c>
      <c r="Q36" s="2"/>
      <c r="R36" s="3"/>
      <c r="S36" s="250">
        <f>SUM(S32:S35)</f>
        <v>124584</v>
      </c>
      <c r="T36" s="2"/>
      <c r="U36" s="3"/>
      <c r="V36" s="26">
        <f>SUM(V32:V35)</f>
        <v>1587576</v>
      </c>
    </row>
    <row r="37" spans="1:22" x14ac:dyDescent="0.2">
      <c r="T37" s="2"/>
      <c r="U37" s="3"/>
      <c r="V37" s="3"/>
    </row>
    <row r="38" spans="1:22" ht="18" thickBot="1" x14ac:dyDescent="0.25">
      <c r="A38" s="7" t="s">
        <v>270</v>
      </c>
      <c r="B38" s="7"/>
      <c r="C38" s="2" t="s">
        <v>268</v>
      </c>
      <c r="D38" s="2" t="s">
        <v>269</v>
      </c>
    </row>
    <row r="39" spans="1:22" ht="18" thickBot="1" x14ac:dyDescent="0.25">
      <c r="A39" s="8" t="s">
        <v>177</v>
      </c>
      <c r="B39" s="8"/>
      <c r="C39" s="9" t="s">
        <v>36</v>
      </c>
      <c r="D39" s="9"/>
      <c r="E39" s="9">
        <v>500</v>
      </c>
      <c r="F39" s="10">
        <v>2970.04</v>
      </c>
      <c r="G39" s="12">
        <f>F39*E39</f>
        <v>1485020</v>
      </c>
    </row>
    <row r="44" spans="1:22" ht="20" thickBot="1" x14ac:dyDescent="0.25">
      <c r="A44" s="6" t="s">
        <v>351</v>
      </c>
      <c r="B44" s="6"/>
      <c r="C44" s="2" t="s">
        <v>191</v>
      </c>
      <c r="D44" s="2" t="s">
        <v>192</v>
      </c>
      <c r="G44" s="3" t="s">
        <v>180</v>
      </c>
    </row>
    <row r="45" spans="1:22" ht="18" thickBot="1" x14ac:dyDescent="0.25">
      <c r="A45" s="8" t="s">
        <v>193</v>
      </c>
      <c r="B45" s="75" t="s">
        <v>870</v>
      </c>
      <c r="C45" s="9" t="s">
        <v>36</v>
      </c>
      <c r="D45" s="9" t="s">
        <v>194</v>
      </c>
      <c r="E45" s="9">
        <v>78</v>
      </c>
      <c r="F45" s="10">
        <v>15062.6</v>
      </c>
      <c r="G45" s="12">
        <f>F45*E45</f>
        <v>1174882.8</v>
      </c>
      <c r="H45" s="23">
        <v>62</v>
      </c>
      <c r="I45" s="24">
        <v>15062.6</v>
      </c>
      <c r="J45" s="26">
        <f>I45*H45</f>
        <v>933881.20000000007</v>
      </c>
      <c r="K45" s="92">
        <v>16</v>
      </c>
      <c r="L45" s="93">
        <v>15062.6</v>
      </c>
      <c r="M45" s="94">
        <f>L45*K45</f>
        <v>241001.60000000001</v>
      </c>
    </row>
    <row r="47" spans="1:22" ht="20" thickBot="1" x14ac:dyDescent="0.25">
      <c r="A47" s="6" t="s">
        <v>261</v>
      </c>
      <c r="B47" s="6"/>
    </row>
    <row r="48" spans="1:22" ht="18" thickBot="1" x14ac:dyDescent="0.25">
      <c r="A48" s="8" t="s">
        <v>193</v>
      </c>
      <c r="B48" s="75" t="s">
        <v>871</v>
      </c>
      <c r="C48" s="9" t="s">
        <v>9</v>
      </c>
      <c r="D48" s="9" t="s">
        <v>195</v>
      </c>
      <c r="E48" s="9">
        <v>45</v>
      </c>
      <c r="F48" s="10">
        <v>23339.200000000001</v>
      </c>
      <c r="G48" s="12">
        <f>F48*E48</f>
        <v>1050264</v>
      </c>
      <c r="H48" s="23">
        <v>22</v>
      </c>
      <c r="I48" s="24">
        <v>23339.200000000001</v>
      </c>
      <c r="J48" s="26">
        <f>I48*H48</f>
        <v>513462.4</v>
      </c>
      <c r="K48" s="92">
        <v>23</v>
      </c>
      <c r="L48" s="93">
        <v>23339.200000000001</v>
      </c>
      <c r="M48" s="94">
        <f>L48*K48</f>
        <v>536801.6</v>
      </c>
    </row>
    <row r="50" spans="1:13" ht="20" thickBot="1" x14ac:dyDescent="0.25">
      <c r="A50" s="6" t="s">
        <v>350</v>
      </c>
      <c r="B50" s="6"/>
    </row>
    <row r="51" spans="1:13" ht="18" thickBot="1" x14ac:dyDescent="0.25">
      <c r="A51" s="8" t="s">
        <v>193</v>
      </c>
      <c r="B51" s="75" t="s">
        <v>872</v>
      </c>
      <c r="C51" s="9" t="s">
        <v>9</v>
      </c>
      <c r="D51" s="9" t="s">
        <v>196</v>
      </c>
      <c r="E51" s="9">
        <v>48</v>
      </c>
      <c r="F51" s="10">
        <v>15056.8</v>
      </c>
      <c r="G51" s="12">
        <f>F51*E51</f>
        <v>722726.39999999991</v>
      </c>
      <c r="H51" s="92">
        <v>48</v>
      </c>
      <c r="I51" s="93">
        <v>15056.8</v>
      </c>
      <c r="J51" s="94">
        <f>I51*H51</f>
        <v>722726.39999999991</v>
      </c>
    </row>
    <row r="53" spans="1:13" ht="20" thickBot="1" x14ac:dyDescent="0.25">
      <c r="A53" s="6" t="s">
        <v>379</v>
      </c>
      <c r="B53" s="6"/>
    </row>
    <row r="54" spans="1:13" ht="18" thickBot="1" x14ac:dyDescent="0.25">
      <c r="A54" s="8" t="s">
        <v>193</v>
      </c>
      <c r="B54" s="75" t="s">
        <v>873</v>
      </c>
      <c r="C54" s="9" t="s">
        <v>9</v>
      </c>
      <c r="D54" s="9" t="s">
        <v>372</v>
      </c>
      <c r="E54" s="9">
        <v>1422</v>
      </c>
      <c r="F54" s="10">
        <v>2618.12</v>
      </c>
      <c r="G54" s="10">
        <f>F54*E54</f>
        <v>3722966.6399999997</v>
      </c>
      <c r="H54" s="18">
        <v>720</v>
      </c>
      <c r="I54" s="19">
        <v>2618.12</v>
      </c>
      <c r="J54" s="19">
        <f>I54*H54</f>
        <v>1885046.4</v>
      </c>
      <c r="K54" s="27"/>
      <c r="L54" s="28">
        <v>2618.12</v>
      </c>
      <c r="M54" s="28">
        <f>L54*K54</f>
        <v>0</v>
      </c>
    </row>
    <row r="55" spans="1:13" ht="18" thickBot="1" x14ac:dyDescent="0.25">
      <c r="A55" s="8" t="s">
        <v>193</v>
      </c>
      <c r="B55" s="75" t="s">
        <v>874</v>
      </c>
      <c r="C55" s="9" t="s">
        <v>9</v>
      </c>
      <c r="D55" s="9" t="s">
        <v>356</v>
      </c>
      <c r="E55" s="9">
        <v>700</v>
      </c>
      <c r="F55" s="10">
        <v>2618.12</v>
      </c>
      <c r="G55" s="10">
        <f>F55*E55</f>
        <v>1832684</v>
      </c>
      <c r="H55" s="18">
        <v>318</v>
      </c>
      <c r="I55" s="19">
        <v>2618.12</v>
      </c>
      <c r="J55" s="19">
        <f>I55*H55</f>
        <v>832562.15999999992</v>
      </c>
      <c r="K55" s="27">
        <v>382</v>
      </c>
      <c r="L55" s="28">
        <v>2618.12</v>
      </c>
      <c r="M55" s="28">
        <f>L55*K55</f>
        <v>1000121.84</v>
      </c>
    </row>
    <row r="56" spans="1:13" ht="17" thickBot="1" x14ac:dyDescent="0.25">
      <c r="G56" s="12">
        <f>SUM(G54:G55)</f>
        <v>5555650.6399999997</v>
      </c>
      <c r="I56" s="3"/>
      <c r="J56" s="34">
        <f>SUM(J54:J55)</f>
        <v>2717608.5599999996</v>
      </c>
      <c r="K56" s="2"/>
      <c r="L56" s="3"/>
      <c r="M56" s="148">
        <f>SUM(M54:M55)</f>
        <v>1000121.84</v>
      </c>
    </row>
    <row r="65" spans="1:19" ht="39" thickBot="1" x14ac:dyDescent="0.25">
      <c r="A65" s="6" t="s">
        <v>213</v>
      </c>
      <c r="B65" s="6"/>
      <c r="Q65" t="s">
        <v>2019</v>
      </c>
    </row>
    <row r="66" spans="1:19" ht="18" thickBot="1" x14ac:dyDescent="0.25">
      <c r="A66" s="8" t="s">
        <v>176</v>
      </c>
      <c r="B66" s="75" t="s">
        <v>864</v>
      </c>
      <c r="C66" s="9"/>
      <c r="D66" s="9" t="s">
        <v>172</v>
      </c>
      <c r="E66" s="9">
        <v>2200</v>
      </c>
      <c r="F66" s="10">
        <v>5011.2</v>
      </c>
      <c r="G66" s="10">
        <f>F66*E66</f>
        <v>11024640</v>
      </c>
      <c r="H66" s="23">
        <v>500</v>
      </c>
      <c r="I66" s="24">
        <v>5011.2</v>
      </c>
      <c r="J66" s="24">
        <f>I66*H66</f>
        <v>2505600</v>
      </c>
      <c r="K66" s="92">
        <v>72</v>
      </c>
      <c r="L66" s="93">
        <v>5011.2</v>
      </c>
      <c r="M66" s="93">
        <f>L66*K66</f>
        <v>360806.39999999997</v>
      </c>
      <c r="N66" s="23">
        <v>432</v>
      </c>
      <c r="O66" s="24">
        <v>5011.2</v>
      </c>
      <c r="P66" s="24">
        <f>O66*N66</f>
        <v>2164838.3999999999</v>
      </c>
      <c r="Q66" s="9">
        <f>E66-H66-K66-N66</f>
        <v>1196</v>
      </c>
      <c r="R66" s="10">
        <v>5011.2</v>
      </c>
      <c r="S66" s="10">
        <f>R66*Q66</f>
        <v>5993395.2000000002</v>
      </c>
    </row>
    <row r="67" spans="1:19" ht="18" thickBot="1" x14ac:dyDescent="0.25">
      <c r="A67" s="8" t="s">
        <v>177</v>
      </c>
      <c r="B67" s="75" t="s">
        <v>875</v>
      </c>
      <c r="C67" s="9"/>
      <c r="D67" s="9" t="s">
        <v>214</v>
      </c>
      <c r="E67" s="9">
        <v>1800</v>
      </c>
      <c r="F67" s="10">
        <v>5011.2</v>
      </c>
      <c r="G67" s="10">
        <f>F67*E67</f>
        <v>9020160</v>
      </c>
      <c r="H67" s="23">
        <v>500</v>
      </c>
      <c r="I67" s="24">
        <v>5011.2</v>
      </c>
      <c r="J67" s="24">
        <f>I67*H67</f>
        <v>2505600</v>
      </c>
      <c r="K67" s="92">
        <v>504</v>
      </c>
      <c r="L67" s="93">
        <v>5011.2</v>
      </c>
      <c r="M67" s="93">
        <f>L67*K67</f>
        <v>2525644.7999999998</v>
      </c>
      <c r="N67" s="23"/>
      <c r="O67" s="24">
        <v>5011.2</v>
      </c>
      <c r="P67" s="24">
        <f>O67*N67</f>
        <v>0</v>
      </c>
      <c r="Q67" s="9">
        <v>1</v>
      </c>
      <c r="R67" s="10">
        <v>5011.2</v>
      </c>
      <c r="S67" s="10">
        <f>R67*Q67</f>
        <v>5011.2</v>
      </c>
    </row>
    <row r="68" spans="1:19" ht="17" thickBot="1" x14ac:dyDescent="0.25">
      <c r="G68" s="12">
        <f>G67+G66</f>
        <v>20044800</v>
      </c>
      <c r="I68" s="3"/>
      <c r="J68" s="26">
        <f>J67+J66</f>
        <v>5011200</v>
      </c>
      <c r="K68" s="2"/>
      <c r="L68" s="3"/>
      <c r="M68" s="94">
        <f>M67+M66</f>
        <v>2886451.1999999997</v>
      </c>
      <c r="N68" s="2"/>
      <c r="O68" s="3"/>
      <c r="P68" s="26">
        <f>P67+P66</f>
        <v>2164838.3999999999</v>
      </c>
      <c r="Q68" s="2"/>
      <c r="R68" s="3"/>
      <c r="S68" s="12">
        <f>S67+S66</f>
        <v>5998406.4000000004</v>
      </c>
    </row>
    <row r="70" spans="1:19" ht="18" thickBot="1" x14ac:dyDescent="0.25">
      <c r="A70" s="7" t="s">
        <v>207</v>
      </c>
      <c r="B70" s="7"/>
    </row>
    <row r="71" spans="1:19" ht="18" thickBot="1" x14ac:dyDescent="0.25">
      <c r="A71" s="8" t="s">
        <v>176</v>
      </c>
      <c r="B71" s="75" t="s">
        <v>864</v>
      </c>
      <c r="C71" s="9" t="s">
        <v>36</v>
      </c>
      <c r="D71" s="9" t="s">
        <v>208</v>
      </c>
      <c r="E71" s="9">
        <v>500</v>
      </c>
      <c r="F71" s="10">
        <v>2668</v>
      </c>
      <c r="G71" s="12">
        <f>F71*E71</f>
        <v>1334000</v>
      </c>
      <c r="H71" s="23">
        <v>100</v>
      </c>
      <c r="I71" s="24">
        <v>2668</v>
      </c>
      <c r="J71" s="26">
        <f>I71*H71</f>
        <v>266800</v>
      </c>
      <c r="K71" s="92">
        <v>102</v>
      </c>
      <c r="L71" s="93">
        <v>2668</v>
      </c>
      <c r="M71" s="94">
        <f>L71*K71</f>
        <v>272136</v>
      </c>
      <c r="N71" s="23">
        <v>102</v>
      </c>
      <c r="O71" s="24">
        <v>2668</v>
      </c>
      <c r="P71" s="26">
        <f>O71*N71</f>
        <v>272136</v>
      </c>
    </row>
    <row r="73" spans="1:19" ht="18" thickBot="1" x14ac:dyDescent="0.25">
      <c r="A73" s="7" t="s">
        <v>373</v>
      </c>
      <c r="B73" s="7"/>
    </row>
    <row r="74" spans="1:19" ht="18" thickBot="1" x14ac:dyDescent="0.25">
      <c r="A74" s="8" t="s">
        <v>177</v>
      </c>
      <c r="B74" s="75" t="s">
        <v>875</v>
      </c>
      <c r="C74" s="9" t="s">
        <v>36</v>
      </c>
      <c r="D74" s="9" t="s">
        <v>214</v>
      </c>
      <c r="E74" s="9">
        <v>500</v>
      </c>
      <c r="F74" s="10">
        <v>2668</v>
      </c>
      <c r="G74" s="12">
        <f>F74*E74</f>
        <v>1334000</v>
      </c>
      <c r="H74" s="23">
        <v>100</v>
      </c>
      <c r="I74" s="24">
        <v>2668</v>
      </c>
      <c r="J74" s="26">
        <f>I74*H74</f>
        <v>266800</v>
      </c>
      <c r="K74" s="27">
        <v>102</v>
      </c>
      <c r="L74" s="28">
        <v>2668</v>
      </c>
      <c r="M74" s="148">
        <f>L74*K74</f>
        <v>272136</v>
      </c>
      <c r="N74" s="23">
        <v>102</v>
      </c>
      <c r="O74" s="24">
        <v>2668</v>
      </c>
      <c r="P74" s="26">
        <f>O74*N74</f>
        <v>272136</v>
      </c>
    </row>
    <row r="76" spans="1:19" ht="28" customHeight="1" thickBot="1" x14ac:dyDescent="0.25">
      <c r="A76" s="6" t="s">
        <v>317</v>
      </c>
      <c r="B76" s="2" t="s">
        <v>821</v>
      </c>
      <c r="C76" s="2" t="s">
        <v>820</v>
      </c>
    </row>
    <row r="77" spans="1:19" ht="18" thickBot="1" x14ac:dyDescent="0.25">
      <c r="A77" s="8" t="s">
        <v>220</v>
      </c>
      <c r="B77" s="75" t="s">
        <v>875</v>
      </c>
      <c r="C77" s="9" t="s">
        <v>36</v>
      </c>
      <c r="D77" s="9" t="s">
        <v>318</v>
      </c>
      <c r="E77" s="9">
        <v>104</v>
      </c>
      <c r="F77" s="10">
        <v>7122.4</v>
      </c>
      <c r="G77" s="12">
        <f>F77*E77</f>
        <v>740729.6</v>
      </c>
      <c r="H77" s="23">
        <v>9</v>
      </c>
      <c r="I77" s="24">
        <v>7122.4</v>
      </c>
      <c r="J77" s="26">
        <f>I77*H77</f>
        <v>64101.599999999999</v>
      </c>
      <c r="K77" s="92">
        <v>95</v>
      </c>
      <c r="L77" s="93">
        <v>7122.4</v>
      </c>
      <c r="M77" s="94">
        <f>L77*K77</f>
        <v>676628</v>
      </c>
    </row>
    <row r="80" spans="1:19" ht="35" thickBot="1" x14ac:dyDescent="0.25">
      <c r="A80" s="7" t="s">
        <v>388</v>
      </c>
      <c r="B80" s="7"/>
      <c r="C80" s="2" t="s">
        <v>374</v>
      </c>
      <c r="D80" s="2" t="s">
        <v>375</v>
      </c>
    </row>
    <row r="81" spans="1:16" ht="18" thickBot="1" x14ac:dyDescent="0.25">
      <c r="A81" s="8" t="s">
        <v>177</v>
      </c>
      <c r="B81" s="75" t="s">
        <v>875</v>
      </c>
      <c r="C81" s="9" t="s">
        <v>4</v>
      </c>
      <c r="D81" s="9" t="s">
        <v>214</v>
      </c>
      <c r="E81" s="9">
        <v>400</v>
      </c>
      <c r="F81" s="10">
        <v>3584.4</v>
      </c>
      <c r="G81" s="10">
        <f>F81*E81</f>
        <v>1433760</v>
      </c>
      <c r="H81" s="23">
        <v>400</v>
      </c>
      <c r="I81" s="24">
        <v>3584.4</v>
      </c>
      <c r="J81" s="24">
        <f>I81*H81</f>
        <v>1433760</v>
      </c>
    </row>
    <row r="82" spans="1:16" ht="18" thickBot="1" x14ac:dyDescent="0.25">
      <c r="A82" s="8" t="s">
        <v>177</v>
      </c>
      <c r="B82" s="75" t="s">
        <v>864</v>
      </c>
      <c r="C82" s="9" t="s">
        <v>4</v>
      </c>
      <c r="D82" s="9" t="s">
        <v>172</v>
      </c>
      <c r="E82" s="9">
        <v>150</v>
      </c>
      <c r="F82" s="10">
        <v>3584.4</v>
      </c>
      <c r="G82" s="10">
        <f>F82*E82</f>
        <v>537660</v>
      </c>
      <c r="H82" s="23">
        <v>150</v>
      </c>
      <c r="I82" s="24">
        <v>3584.4</v>
      </c>
      <c r="J82" s="24">
        <f>I82*H82</f>
        <v>537660</v>
      </c>
    </row>
    <row r="83" spans="1:16" ht="17" thickBot="1" x14ac:dyDescent="0.25">
      <c r="G83" s="12">
        <f>G82+G81</f>
        <v>1971420</v>
      </c>
      <c r="I83" s="3"/>
      <c r="J83" s="26">
        <f>J82+J81</f>
        <v>1971420</v>
      </c>
    </row>
    <row r="85" spans="1:16" s="2" customFormat="1" ht="18" thickBot="1" x14ac:dyDescent="0.25">
      <c r="A85" s="7" t="s">
        <v>968</v>
      </c>
      <c r="B85" s="7"/>
      <c r="C85" s="2" t="s">
        <v>381</v>
      </c>
      <c r="D85" s="2" t="s">
        <v>382</v>
      </c>
    </row>
    <row r="86" spans="1:16" s="2" customFormat="1" ht="18" thickBot="1" x14ac:dyDescent="0.25">
      <c r="A86" s="8" t="s">
        <v>177</v>
      </c>
      <c r="B86" s="75" t="s">
        <v>870</v>
      </c>
      <c r="C86" s="9" t="s">
        <v>36</v>
      </c>
      <c r="D86" s="9" t="s">
        <v>383</v>
      </c>
      <c r="E86" s="9">
        <v>40</v>
      </c>
      <c r="F86" s="10">
        <v>8734.7999999999993</v>
      </c>
      <c r="G86" s="12">
        <f>E86*F86</f>
        <v>349392</v>
      </c>
      <c r="H86" s="18">
        <v>40</v>
      </c>
      <c r="I86" s="19">
        <v>8734.7999999999993</v>
      </c>
      <c r="J86" s="34">
        <f>H86*I86</f>
        <v>349392</v>
      </c>
    </row>
    <row r="87" spans="1:16" s="2" customFormat="1" x14ac:dyDescent="0.2">
      <c r="A87" s="4"/>
      <c r="B87" s="4"/>
      <c r="F87" s="3"/>
      <c r="G87" s="3"/>
    </row>
    <row r="88" spans="1:16" s="2" customFormat="1" ht="18" thickBot="1" x14ac:dyDescent="0.25">
      <c r="A88" s="7" t="s">
        <v>969</v>
      </c>
      <c r="B88" s="7"/>
      <c r="C88" s="2" t="s">
        <v>384</v>
      </c>
      <c r="D88" s="2" t="s">
        <v>385</v>
      </c>
      <c r="F88" s="3"/>
      <c r="G88" s="3"/>
    </row>
    <row r="89" spans="1:16" s="2" customFormat="1" ht="18" thickBot="1" x14ac:dyDescent="0.25">
      <c r="A89" s="8" t="s">
        <v>386</v>
      </c>
      <c r="B89" s="8"/>
      <c r="C89" s="9" t="s">
        <v>4</v>
      </c>
      <c r="D89" s="9" t="s">
        <v>387</v>
      </c>
      <c r="E89" s="9">
        <v>2</v>
      </c>
      <c r="F89" s="10">
        <v>16588</v>
      </c>
      <c r="G89" s="37">
        <f>E89*F89</f>
        <v>33176</v>
      </c>
      <c r="H89" s="18">
        <v>2</v>
      </c>
      <c r="I89" s="19">
        <v>16588</v>
      </c>
      <c r="J89" s="110">
        <f>H89*I89</f>
        <v>33176</v>
      </c>
    </row>
    <row r="92" spans="1:16" ht="17" thickBot="1" x14ac:dyDescent="0.25">
      <c r="A92" s="30" t="s">
        <v>1158</v>
      </c>
      <c r="B92" s="2" t="s">
        <v>1157</v>
      </c>
      <c r="C92" s="2" t="s">
        <v>1156</v>
      </c>
      <c r="F92" s="2"/>
    </row>
    <row r="93" spans="1:16" ht="17" thickBot="1" x14ac:dyDescent="0.25">
      <c r="A93" s="9" t="s">
        <v>1155</v>
      </c>
      <c r="B93" s="8"/>
      <c r="C93" s="9" t="s">
        <v>36</v>
      </c>
      <c r="D93" s="9" t="s">
        <v>1154</v>
      </c>
      <c r="E93" s="9">
        <v>6000</v>
      </c>
      <c r="F93" s="10">
        <v>2579.84</v>
      </c>
      <c r="G93" s="12">
        <f>F93*E93</f>
        <v>15479040</v>
      </c>
      <c r="H93" s="18">
        <v>1500</v>
      </c>
      <c r="I93" s="19">
        <v>2579.84</v>
      </c>
      <c r="J93" s="34">
        <f>I93*H93</f>
        <v>3869760</v>
      </c>
      <c r="K93" s="92">
        <v>1500</v>
      </c>
      <c r="L93" s="93">
        <v>2579.84</v>
      </c>
      <c r="M93" s="94">
        <f>L93*K93</f>
        <v>3869760</v>
      </c>
    </row>
    <row r="95" spans="1:16" ht="17" thickBot="1" x14ac:dyDescent="0.25">
      <c r="A95" s="30" t="s">
        <v>1525</v>
      </c>
      <c r="B95" s="2" t="s">
        <v>1183</v>
      </c>
      <c r="C95" s="2" t="s">
        <v>1182</v>
      </c>
      <c r="F95" s="2"/>
      <c r="N95" s="190">
        <v>46174</v>
      </c>
    </row>
    <row r="96" spans="1:16" ht="18" thickBot="1" x14ac:dyDescent="0.25">
      <c r="A96" s="9" t="s">
        <v>177</v>
      </c>
      <c r="B96" s="75" t="s">
        <v>2047</v>
      </c>
      <c r="C96" s="9" t="s">
        <v>36</v>
      </c>
      <c r="D96" s="9" t="s">
        <v>1181</v>
      </c>
      <c r="E96" s="9">
        <v>1200</v>
      </c>
      <c r="F96" s="10">
        <v>5399.8</v>
      </c>
      <c r="G96" s="10">
        <f>F96*E96</f>
        <v>6479760</v>
      </c>
      <c r="H96" s="18">
        <v>300</v>
      </c>
      <c r="I96" s="19">
        <v>5399.8</v>
      </c>
      <c r="J96" s="19">
        <f>I96*H96</f>
        <v>1619940</v>
      </c>
      <c r="K96" s="92">
        <v>200</v>
      </c>
      <c r="L96" s="93">
        <v>5399.8</v>
      </c>
      <c r="M96" s="93">
        <f>L96*K96</f>
        <v>1079960</v>
      </c>
      <c r="N96" s="23">
        <v>700</v>
      </c>
      <c r="O96" s="24">
        <v>5399.8</v>
      </c>
      <c r="P96" s="24">
        <f>O96*N96</f>
        <v>3779860</v>
      </c>
    </row>
    <row r="97" spans="1:16" ht="18" thickBot="1" x14ac:dyDescent="0.25">
      <c r="A97" s="9" t="s">
        <v>176</v>
      </c>
      <c r="B97" s="75" t="s">
        <v>2048</v>
      </c>
      <c r="C97" s="9" t="s">
        <v>36</v>
      </c>
      <c r="D97" s="9" t="s">
        <v>1180</v>
      </c>
      <c r="E97" s="9">
        <v>2000</v>
      </c>
      <c r="F97" s="10">
        <v>5399.8</v>
      </c>
      <c r="G97" s="10">
        <f>F97*E97</f>
        <v>10799600</v>
      </c>
      <c r="H97" s="18">
        <v>600</v>
      </c>
      <c r="I97" s="19">
        <v>5399.8</v>
      </c>
      <c r="J97" s="19">
        <f>I97*H97</f>
        <v>3239880</v>
      </c>
      <c r="K97" s="92">
        <v>100</v>
      </c>
      <c r="L97" s="93">
        <v>5399.8</v>
      </c>
      <c r="M97" s="93">
        <f>L97*K97</f>
        <v>539980</v>
      </c>
      <c r="N97" s="23">
        <v>1300</v>
      </c>
      <c r="O97" s="24">
        <v>5399.8</v>
      </c>
      <c r="P97" s="24">
        <f>O97*N97</f>
        <v>7019740</v>
      </c>
    </row>
    <row r="98" spans="1:16" ht="17" thickBot="1" x14ac:dyDescent="0.25">
      <c r="A98" s="2"/>
      <c r="F98" s="2"/>
      <c r="G98" s="103">
        <f>SUM(G96:G97)</f>
        <v>17279360</v>
      </c>
      <c r="J98" s="114">
        <f>SUM(J96:J97)</f>
        <v>4859820</v>
      </c>
      <c r="K98" s="2"/>
      <c r="L98" s="2"/>
      <c r="M98" s="170">
        <f>SUM(M96:M97)</f>
        <v>1619940</v>
      </c>
      <c r="N98" s="2"/>
      <c r="O98" s="2"/>
      <c r="P98" s="244">
        <f>SUM(P96:P97)</f>
        <v>10799600</v>
      </c>
    </row>
    <row r="99" spans="1:16" x14ac:dyDescent="0.2">
      <c r="A99" s="2"/>
      <c r="B99" s="2"/>
      <c r="F99" s="2"/>
    </row>
    <row r="100" spans="1:16" ht="17" thickBot="1" x14ac:dyDescent="0.25">
      <c r="A100" s="30" t="s">
        <v>1785</v>
      </c>
      <c r="B100" s="2" t="s">
        <v>215</v>
      </c>
      <c r="C100" s="2" t="s">
        <v>1253</v>
      </c>
      <c r="F100" s="2"/>
    </row>
    <row r="101" spans="1:16" ht="17" thickBot="1" x14ac:dyDescent="0.25">
      <c r="A101" s="9" t="s">
        <v>1252</v>
      </c>
      <c r="B101" s="8"/>
      <c r="C101" s="9" t="s">
        <v>36</v>
      </c>
      <c r="D101" s="9"/>
      <c r="E101" s="9">
        <v>72</v>
      </c>
      <c r="F101" s="10">
        <v>19720</v>
      </c>
      <c r="G101" s="12">
        <f>F101*E101</f>
        <v>1419840</v>
      </c>
      <c r="H101" s="179">
        <v>72</v>
      </c>
      <c r="I101" s="180">
        <v>19720</v>
      </c>
      <c r="J101" s="181">
        <f>I101*H101</f>
        <v>1419840</v>
      </c>
    </row>
    <row r="103" spans="1:16" ht="17" thickBot="1" x14ac:dyDescent="0.25">
      <c r="A103" s="30" t="s">
        <v>1347</v>
      </c>
      <c r="B103" s="2" t="s">
        <v>1348</v>
      </c>
      <c r="C103" s="2" t="s">
        <v>1349</v>
      </c>
    </row>
    <row r="104" spans="1:16" ht="18" thickBot="1" x14ac:dyDescent="0.25">
      <c r="A104" s="8" t="s">
        <v>58</v>
      </c>
      <c r="B104" s="8"/>
      <c r="C104" s="9" t="s">
        <v>36</v>
      </c>
      <c r="D104" s="9" t="s">
        <v>1350</v>
      </c>
      <c r="E104" s="9">
        <v>5</v>
      </c>
      <c r="F104" s="10">
        <v>9048</v>
      </c>
      <c r="G104" s="10">
        <f>F104*E104</f>
        <v>45240</v>
      </c>
      <c r="H104" s="23">
        <v>5</v>
      </c>
      <c r="I104" s="24">
        <v>9048</v>
      </c>
      <c r="J104" s="24">
        <f>I104*H104</f>
        <v>45240</v>
      </c>
    </row>
    <row r="105" spans="1:16" ht="18" thickBot="1" x14ac:dyDescent="0.25">
      <c r="A105" s="8" t="s">
        <v>177</v>
      </c>
      <c r="B105" s="8"/>
      <c r="C105" s="9" t="s">
        <v>36</v>
      </c>
      <c r="D105" s="9" t="s">
        <v>1352</v>
      </c>
      <c r="E105" s="9">
        <v>5</v>
      </c>
      <c r="F105" s="10">
        <v>9280</v>
      </c>
      <c r="G105" s="10">
        <f>F105*E105</f>
        <v>46400</v>
      </c>
      <c r="H105" s="23">
        <v>5</v>
      </c>
      <c r="I105" s="24">
        <v>9280</v>
      </c>
      <c r="J105" s="24">
        <f>I105*H105</f>
        <v>46400</v>
      </c>
    </row>
    <row r="106" spans="1:16" ht="18" thickBot="1" x14ac:dyDescent="0.25">
      <c r="A106" s="8" t="s">
        <v>176</v>
      </c>
      <c r="B106" s="8"/>
      <c r="C106" s="9" t="s">
        <v>36</v>
      </c>
      <c r="D106" s="9" t="s">
        <v>1351</v>
      </c>
      <c r="E106" s="9">
        <v>1</v>
      </c>
      <c r="F106" s="10">
        <v>19372</v>
      </c>
      <c r="G106" s="10">
        <f>F106*E106</f>
        <v>19372</v>
      </c>
      <c r="H106" s="23">
        <v>1</v>
      </c>
      <c r="I106" s="24">
        <v>19372</v>
      </c>
      <c r="J106" s="24">
        <f>I106*H106</f>
        <v>19372</v>
      </c>
    </row>
    <row r="107" spans="1:16" ht="18" thickBot="1" x14ac:dyDescent="0.25">
      <c r="A107" s="8" t="s">
        <v>58</v>
      </c>
      <c r="B107" s="8" t="s">
        <v>1355</v>
      </c>
      <c r="C107" s="9" t="s">
        <v>36</v>
      </c>
      <c r="D107" s="9" t="s">
        <v>1353</v>
      </c>
      <c r="E107" s="9">
        <v>15</v>
      </c>
      <c r="F107" s="10">
        <v>2059</v>
      </c>
      <c r="G107" s="10">
        <f>F107*E107</f>
        <v>30885</v>
      </c>
      <c r="H107" s="23">
        <v>15</v>
      </c>
      <c r="I107" s="24">
        <v>2059</v>
      </c>
      <c r="J107" s="24">
        <f>I107*H107</f>
        <v>30885</v>
      </c>
    </row>
    <row r="108" spans="1:16" ht="17" thickBot="1" x14ac:dyDescent="0.25">
      <c r="G108" s="12">
        <f>SUM(G104:G107)</f>
        <v>141897</v>
      </c>
      <c r="I108" s="3"/>
      <c r="J108" s="26">
        <f>SUM(J104:J107)</f>
        <v>141897</v>
      </c>
    </row>
    <row r="109" spans="1:16" ht="17" thickBot="1" x14ac:dyDescent="0.25">
      <c r="A109" s="30" t="s">
        <v>2119</v>
      </c>
      <c r="B109" s="121" t="s">
        <v>1256</v>
      </c>
      <c r="C109" s="2" t="s">
        <v>1255</v>
      </c>
      <c r="F109" s="2"/>
    </row>
    <row r="110" spans="1:16" ht="17" thickBot="1" x14ac:dyDescent="0.25">
      <c r="A110" s="9" t="s">
        <v>1155</v>
      </c>
      <c r="B110" s="8"/>
      <c r="C110" s="122" t="s">
        <v>36</v>
      </c>
      <c r="D110" s="9" t="s">
        <v>1351</v>
      </c>
      <c r="E110" s="9">
        <v>100</v>
      </c>
      <c r="F110" s="10">
        <v>37004</v>
      </c>
      <c r="G110" s="12">
        <f>F110*E110</f>
        <v>3700400</v>
      </c>
      <c r="H110" s="23">
        <v>100</v>
      </c>
      <c r="I110" s="24">
        <v>37004</v>
      </c>
      <c r="J110" s="26">
        <f>I110*H110</f>
        <v>3700400</v>
      </c>
    </row>
    <row r="112" spans="1:16" ht="17" thickBot="1" x14ac:dyDescent="0.25">
      <c r="A112" s="30" t="s">
        <v>1619</v>
      </c>
      <c r="B112" s="2" t="s">
        <v>1256</v>
      </c>
      <c r="C112" s="2" t="s">
        <v>1255</v>
      </c>
      <c r="D112"/>
      <c r="E112"/>
      <c r="F112"/>
    </row>
    <row r="113" spans="1:13" ht="17" thickBot="1" x14ac:dyDescent="0.25">
      <c r="A113" s="9" t="s">
        <v>58</v>
      </c>
      <c r="B113" s="8"/>
      <c r="C113" s="155" t="s">
        <v>36</v>
      </c>
      <c r="D113" s="9" t="s">
        <v>1618</v>
      </c>
      <c r="E113" s="9">
        <v>120</v>
      </c>
      <c r="F113" s="10">
        <v>7679.2</v>
      </c>
      <c r="G113" s="12">
        <f>F113*E113</f>
        <v>921504</v>
      </c>
      <c r="H113" s="18">
        <v>11</v>
      </c>
      <c r="I113" s="19">
        <v>7679.2</v>
      </c>
      <c r="J113" s="34">
        <f>I113*H113</f>
        <v>84471.2</v>
      </c>
      <c r="K113" s="92">
        <v>109</v>
      </c>
      <c r="L113" s="93">
        <v>7679.2</v>
      </c>
      <c r="M113" s="94">
        <f>L113*K113</f>
        <v>837032.79999999993</v>
      </c>
    </row>
    <row r="114" spans="1:13" x14ac:dyDescent="0.2">
      <c r="A114"/>
      <c r="C114"/>
      <c r="D114"/>
      <c r="E114"/>
      <c r="F114"/>
      <c r="G114" s="64"/>
    </row>
    <row r="115" spans="1:13" ht="17" thickBot="1" x14ac:dyDescent="0.25">
      <c r="A115" s="30" t="s">
        <v>1626</v>
      </c>
      <c r="B115" s="2" t="s">
        <v>1624</v>
      </c>
      <c r="C115" s="2" t="s">
        <v>1625</v>
      </c>
      <c r="D115"/>
      <c r="E115"/>
      <c r="F115"/>
    </row>
    <row r="116" spans="1:13" ht="17" thickBot="1" x14ac:dyDescent="0.25">
      <c r="A116" s="9" t="s">
        <v>176</v>
      </c>
      <c r="B116" s="8"/>
      <c r="C116" s="155" t="s">
        <v>36</v>
      </c>
      <c r="D116" s="9" t="s">
        <v>208</v>
      </c>
      <c r="E116" s="9">
        <v>500</v>
      </c>
      <c r="F116" s="10">
        <v>4129.6000000000004</v>
      </c>
      <c r="G116" s="10">
        <f>F116*E116</f>
        <v>2064800.0000000002</v>
      </c>
      <c r="H116" s="18">
        <v>240</v>
      </c>
      <c r="I116" s="19">
        <v>4129.6000000000004</v>
      </c>
      <c r="J116" s="19">
        <f>I116*H116</f>
        <v>991104.00000000012</v>
      </c>
    </row>
    <row r="117" spans="1:13" ht="17" thickBot="1" x14ac:dyDescent="0.25">
      <c r="A117" s="9" t="s">
        <v>177</v>
      </c>
      <c r="B117" s="8"/>
      <c r="C117" s="155" t="s">
        <v>36</v>
      </c>
      <c r="D117" s="9" t="s">
        <v>214</v>
      </c>
      <c r="E117" s="9">
        <v>500</v>
      </c>
      <c r="F117" s="10">
        <v>4129.6000000000004</v>
      </c>
      <c r="G117" s="10">
        <f>F117*E117</f>
        <v>2064800.0000000002</v>
      </c>
      <c r="H117" s="18">
        <v>240</v>
      </c>
      <c r="I117" s="19">
        <v>4129.6000000000004</v>
      </c>
      <c r="J117" s="19">
        <f>I117*H117</f>
        <v>991104.00000000012</v>
      </c>
    </row>
    <row r="118" spans="1:13" ht="17" thickBot="1" x14ac:dyDescent="0.25">
      <c r="A118"/>
      <c r="C118"/>
      <c r="D118"/>
      <c r="E118"/>
      <c r="F118" s="1"/>
      <c r="G118" s="12">
        <f>SUM(G116:G117)</f>
        <v>4129600.0000000005</v>
      </c>
      <c r="H118"/>
      <c r="I118" s="1"/>
      <c r="J118" s="34">
        <f>SUM(J116:J117)</f>
        <v>1982208.0000000002</v>
      </c>
    </row>
    <row r="120" spans="1:13" ht="18" thickBot="1" x14ac:dyDescent="0.25">
      <c r="A120" s="7" t="s">
        <v>1782</v>
      </c>
      <c r="B120" s="2" t="s">
        <v>33</v>
      </c>
      <c r="C120" s="2" t="s">
        <v>34</v>
      </c>
    </row>
    <row r="121" spans="1:13" ht="18" thickBot="1" x14ac:dyDescent="0.25">
      <c r="A121" s="8" t="s">
        <v>89</v>
      </c>
      <c r="B121" s="8"/>
      <c r="C121" s="9" t="s">
        <v>36</v>
      </c>
      <c r="D121" s="9" t="s">
        <v>214</v>
      </c>
      <c r="E121" s="9">
        <v>680</v>
      </c>
      <c r="F121" s="9">
        <v>4087.84</v>
      </c>
      <c r="G121" s="10">
        <f>E121*F121</f>
        <v>2779731.2</v>
      </c>
      <c r="H121" s="53">
        <v>120</v>
      </c>
      <c r="I121" s="18">
        <v>4087.84</v>
      </c>
      <c r="J121" s="19">
        <f>H121*I121</f>
        <v>490540.80000000005</v>
      </c>
    </row>
    <row r="122" spans="1:13" ht="18" thickBot="1" x14ac:dyDescent="0.25">
      <c r="A122" s="8" t="s">
        <v>89</v>
      </c>
      <c r="B122" s="8"/>
      <c r="C122" s="9" t="s">
        <v>36</v>
      </c>
      <c r="D122" s="9" t="s">
        <v>172</v>
      </c>
      <c r="E122" s="9">
        <v>400</v>
      </c>
      <c r="F122" s="9">
        <v>4087.84</v>
      </c>
      <c r="G122" s="10">
        <f>E122*F122</f>
        <v>1635136</v>
      </c>
      <c r="H122" s="53">
        <v>120</v>
      </c>
      <c r="I122" s="18">
        <v>4087.84</v>
      </c>
      <c r="J122" s="19">
        <f>H122*I122</f>
        <v>490540.80000000005</v>
      </c>
    </row>
    <row r="123" spans="1:13" ht="17" thickBot="1" x14ac:dyDescent="0.25">
      <c r="C123" s="4"/>
      <c r="F123" s="2"/>
      <c r="G123" s="12">
        <f>SUM(G121:G122)</f>
        <v>4414867.2</v>
      </c>
      <c r="H123" s="3"/>
      <c r="J123" s="114">
        <f>SUM(J121:J122)</f>
        <v>981081.60000000009</v>
      </c>
    </row>
    <row r="125" spans="1:13" ht="17" thickBot="1" x14ac:dyDescent="0.25">
      <c r="A125" s="30" t="s">
        <v>1623</v>
      </c>
      <c r="B125" s="121" t="s">
        <v>1622</v>
      </c>
      <c r="C125" s="2" t="s">
        <v>1621</v>
      </c>
      <c r="F125" s="2"/>
    </row>
    <row r="126" spans="1:13" ht="17" thickBot="1" x14ac:dyDescent="0.25">
      <c r="A126" s="9" t="s">
        <v>177</v>
      </c>
      <c r="B126" s="155"/>
      <c r="C126" s="155" t="s">
        <v>36</v>
      </c>
      <c r="D126" s="9" t="s">
        <v>1620</v>
      </c>
      <c r="E126" s="9">
        <v>250</v>
      </c>
      <c r="F126" s="10">
        <v>5808.12</v>
      </c>
      <c r="G126" s="12">
        <f>F126*E126</f>
        <v>1452030</v>
      </c>
      <c r="H126" s="23">
        <v>120</v>
      </c>
      <c r="I126" s="24">
        <v>5808.12</v>
      </c>
      <c r="J126" s="26">
        <f>I126*H126</f>
        <v>696974.4</v>
      </c>
    </row>
    <row r="128" spans="1:13" ht="17" thickBot="1" x14ac:dyDescent="0.25">
      <c r="A128" s="30" t="s">
        <v>1627</v>
      </c>
      <c r="B128" s="2" t="s">
        <v>1622</v>
      </c>
      <c r="C128" s="2" t="s">
        <v>1621</v>
      </c>
      <c r="D128"/>
      <c r="E128"/>
      <c r="F128"/>
    </row>
    <row r="129" spans="1:16" ht="17" thickBot="1" x14ac:dyDescent="0.25">
      <c r="A129" s="9" t="s">
        <v>177</v>
      </c>
      <c r="B129" s="8"/>
      <c r="C129" s="155" t="s">
        <v>36</v>
      </c>
      <c r="D129" s="9" t="s">
        <v>214</v>
      </c>
      <c r="E129" s="9">
        <v>500</v>
      </c>
      <c r="F129" s="10">
        <v>2952.2</v>
      </c>
      <c r="G129" s="12">
        <f>F129*E129</f>
        <v>1476100</v>
      </c>
      <c r="H129" s="18">
        <v>48</v>
      </c>
      <c r="I129" s="19">
        <v>2952.2</v>
      </c>
      <c r="J129" s="34">
        <f>I129*H129</f>
        <v>141705.59999999998</v>
      </c>
      <c r="K129" s="92">
        <v>12</v>
      </c>
      <c r="L129" s="93">
        <v>2952.2</v>
      </c>
      <c r="M129" s="94">
        <f>L129*K129</f>
        <v>35426.399999999994</v>
      </c>
      <c r="N129" s="23">
        <v>240</v>
      </c>
      <c r="O129" s="24">
        <v>2952.2</v>
      </c>
      <c r="P129" s="26">
        <f>O129*N129</f>
        <v>708528</v>
      </c>
    </row>
    <row r="131" spans="1:16" ht="17" thickBot="1" x14ac:dyDescent="0.25">
      <c r="A131" s="30" t="s">
        <v>1655</v>
      </c>
      <c r="B131" s="2" t="s">
        <v>381</v>
      </c>
      <c r="C131" s="2" t="s">
        <v>382</v>
      </c>
      <c r="F131" s="2"/>
    </row>
    <row r="132" spans="1:16" ht="17" thickBot="1" x14ac:dyDescent="0.25">
      <c r="A132" s="9" t="s">
        <v>176</v>
      </c>
      <c r="B132" s="8"/>
      <c r="C132" s="9" t="s">
        <v>36</v>
      </c>
      <c r="D132" s="9" t="s">
        <v>1760</v>
      </c>
      <c r="E132" s="9">
        <v>24</v>
      </c>
      <c r="F132" s="10">
        <v>17510.2</v>
      </c>
      <c r="G132" s="10">
        <f>F132*E132</f>
        <v>420244.80000000005</v>
      </c>
      <c r="H132" s="23">
        <v>24</v>
      </c>
      <c r="I132" s="24">
        <v>17510.2</v>
      </c>
      <c r="J132" s="24">
        <f>I132*H132</f>
        <v>420244.80000000005</v>
      </c>
    </row>
    <row r="133" spans="1:16" ht="17" thickBot="1" x14ac:dyDescent="0.25">
      <c r="A133" s="9" t="s">
        <v>1176</v>
      </c>
      <c r="B133" s="8"/>
      <c r="C133" s="9" t="s">
        <v>36</v>
      </c>
      <c r="D133" s="9" t="s">
        <v>372</v>
      </c>
      <c r="E133" s="9">
        <v>1600</v>
      </c>
      <c r="F133" s="10">
        <v>2918.56</v>
      </c>
      <c r="G133" s="10">
        <f>F133*E133</f>
        <v>4669696</v>
      </c>
      <c r="H133" s="23"/>
      <c r="I133" s="24">
        <v>2918.56</v>
      </c>
      <c r="J133" s="24">
        <f>I133*H133</f>
        <v>0</v>
      </c>
    </row>
    <row r="134" spans="1:16" ht="17" thickBot="1" x14ac:dyDescent="0.25">
      <c r="A134" s="9" t="s">
        <v>193</v>
      </c>
      <c r="B134" s="8"/>
      <c r="C134" s="9" t="s">
        <v>36</v>
      </c>
      <c r="D134" s="9" t="s">
        <v>356</v>
      </c>
      <c r="E134" s="9">
        <v>1400</v>
      </c>
      <c r="F134" s="10">
        <v>2918.56</v>
      </c>
      <c r="G134" s="10">
        <f>F134*E134</f>
        <v>4085984</v>
      </c>
      <c r="H134" s="23"/>
      <c r="I134" s="24">
        <v>2918.56</v>
      </c>
      <c r="J134" s="24">
        <f>I134*H134</f>
        <v>0</v>
      </c>
    </row>
    <row r="135" spans="1:16" ht="17" thickBot="1" x14ac:dyDescent="0.25">
      <c r="A135" s="2"/>
      <c r="G135" s="168">
        <f>SUM(G132:G134)</f>
        <v>9175924.8000000007</v>
      </c>
      <c r="I135" s="3"/>
      <c r="J135" s="304">
        <f>SUM(J132:J134)</f>
        <v>420244.80000000005</v>
      </c>
    </row>
    <row r="136" spans="1:16" ht="17" thickBot="1" x14ac:dyDescent="0.25">
      <c r="A136" s="30" t="s">
        <v>1907</v>
      </c>
      <c r="B136" s="2" t="s">
        <v>1374</v>
      </c>
      <c r="C136" s="2" t="s">
        <v>1375</v>
      </c>
      <c r="D136"/>
      <c r="E136"/>
      <c r="F136"/>
    </row>
    <row r="137" spans="1:16" ht="17" thickBot="1" x14ac:dyDescent="0.25">
      <c r="A137" s="9" t="s">
        <v>177</v>
      </c>
      <c r="B137" s="155" t="s">
        <v>36</v>
      </c>
      <c r="C137" s="155" t="s">
        <v>36</v>
      </c>
      <c r="D137" s="9" t="s">
        <v>214</v>
      </c>
      <c r="E137" s="9">
        <v>1830</v>
      </c>
      <c r="F137" s="10">
        <v>4129.6000000000004</v>
      </c>
      <c r="G137" s="10">
        <f>F137*E137</f>
        <v>7557168.0000000009</v>
      </c>
    </row>
    <row r="138" spans="1:16" ht="17" thickBot="1" x14ac:dyDescent="0.25">
      <c r="A138" s="9" t="s">
        <v>176</v>
      </c>
      <c r="B138" s="155" t="s">
        <v>36</v>
      </c>
      <c r="C138" s="155" t="s">
        <v>36</v>
      </c>
      <c r="D138" s="9" t="s">
        <v>172</v>
      </c>
      <c r="E138" s="9">
        <v>1000</v>
      </c>
      <c r="F138" s="10">
        <v>4129.6000000000004</v>
      </c>
      <c r="G138" s="10">
        <f>F138*E138</f>
        <v>4129600.0000000005</v>
      </c>
    </row>
    <row r="139" spans="1:16" ht="17" thickBot="1" x14ac:dyDescent="0.25">
      <c r="A139"/>
      <c r="B139"/>
      <c r="C139"/>
      <c r="D139"/>
      <c r="E139"/>
      <c r="F139" s="1"/>
      <c r="G139" s="12">
        <f>SUM(G137:G138)</f>
        <v>11686768.000000002</v>
      </c>
    </row>
    <row r="140" spans="1:16" ht="17" thickBot="1" x14ac:dyDescent="0.25">
      <c r="A140" s="30" t="s">
        <v>1910</v>
      </c>
      <c r="B140" s="2" t="s">
        <v>1908</v>
      </c>
      <c r="C140" s="2" t="s">
        <v>820</v>
      </c>
      <c r="E140"/>
      <c r="F140"/>
    </row>
    <row r="141" spans="1:16" ht="17" thickBot="1" x14ac:dyDescent="0.25">
      <c r="A141" s="9" t="s">
        <v>1909</v>
      </c>
      <c r="B141" s="8"/>
      <c r="C141" s="208"/>
      <c r="D141" s="9" t="s">
        <v>1352</v>
      </c>
      <c r="E141" s="9">
        <v>36</v>
      </c>
      <c r="F141" s="10">
        <v>9280</v>
      </c>
      <c r="G141" s="12">
        <f>F141*E141</f>
        <v>334080</v>
      </c>
      <c r="H141" s="23">
        <v>17</v>
      </c>
      <c r="I141" s="24">
        <v>9280</v>
      </c>
      <c r="J141" s="26">
        <f>I141*H141</f>
        <v>157760</v>
      </c>
    </row>
    <row r="143" spans="1:16" ht="17" thickBot="1" x14ac:dyDescent="0.25">
      <c r="A143" s="30" t="s">
        <v>1911</v>
      </c>
      <c r="B143" s="2" t="s">
        <v>368</v>
      </c>
      <c r="C143" s="2" t="s">
        <v>369</v>
      </c>
      <c r="E143"/>
      <c r="F143"/>
    </row>
    <row r="144" spans="1:16" ht="17" thickBot="1" x14ac:dyDescent="0.25">
      <c r="A144" s="9" t="s">
        <v>176</v>
      </c>
      <c r="B144" s="8"/>
      <c r="C144" s="155" t="s">
        <v>36</v>
      </c>
      <c r="D144" s="9" t="s">
        <v>372</v>
      </c>
      <c r="E144" s="9">
        <v>950</v>
      </c>
      <c r="F144" s="10">
        <v>1880.36</v>
      </c>
      <c r="G144" s="10">
        <f>F144*E144</f>
        <v>1786342</v>
      </c>
      <c r="H144" s="18">
        <v>475</v>
      </c>
      <c r="I144" s="19">
        <v>1880.36</v>
      </c>
      <c r="J144" s="19">
        <f>I144*H144</f>
        <v>893171</v>
      </c>
    </row>
    <row r="145" spans="1:10" ht="17" thickBot="1" x14ac:dyDescent="0.25">
      <c r="A145" s="9" t="s">
        <v>177</v>
      </c>
      <c r="B145" s="8"/>
      <c r="C145" s="155" t="s">
        <v>36</v>
      </c>
      <c r="D145" s="9" t="s">
        <v>356</v>
      </c>
      <c r="E145" s="9">
        <v>1050</v>
      </c>
      <c r="F145" s="10">
        <v>1880.36</v>
      </c>
      <c r="G145" s="10">
        <f>F145*E145</f>
        <v>1974378</v>
      </c>
      <c r="H145" s="18">
        <v>537</v>
      </c>
      <c r="I145" s="19">
        <v>1880.36</v>
      </c>
      <c r="J145" s="19">
        <f>I145*H145</f>
        <v>1009753.32</v>
      </c>
    </row>
    <row r="146" spans="1:10" ht="17" thickBot="1" x14ac:dyDescent="0.25">
      <c r="A146"/>
      <c r="C146"/>
      <c r="D146"/>
      <c r="E146"/>
      <c r="F146" s="1"/>
      <c r="G146" s="12">
        <f>SUM(G144:G145)</f>
        <v>3760720</v>
      </c>
      <c r="H146"/>
      <c r="I146" s="1"/>
      <c r="J146" s="34">
        <f>SUM(J144:J145)</f>
        <v>1902924.3199999998</v>
      </c>
    </row>
    <row r="147" spans="1:10" ht="17" thickBot="1" x14ac:dyDescent="0.25">
      <c r="A147" s="30" t="s">
        <v>1955</v>
      </c>
      <c r="C147" s="2" t="s">
        <v>1957</v>
      </c>
      <c r="D147" s="2" t="s">
        <v>1956</v>
      </c>
    </row>
    <row r="148" spans="1:10" ht="18" thickBot="1" x14ac:dyDescent="0.25">
      <c r="A148" s="8" t="s">
        <v>176</v>
      </c>
      <c r="B148" s="8"/>
      <c r="C148" s="9" t="s">
        <v>36</v>
      </c>
      <c r="D148" s="9"/>
      <c r="E148" s="9">
        <v>50</v>
      </c>
      <c r="F148" s="10">
        <v>15056.8</v>
      </c>
      <c r="G148" s="10">
        <f>F148*E148</f>
        <v>752840</v>
      </c>
      <c r="H148" s="18">
        <v>50</v>
      </c>
      <c r="I148" s="19">
        <v>15056.8</v>
      </c>
      <c r="J148" s="19">
        <f>I148*H148</f>
        <v>752840</v>
      </c>
    </row>
    <row r="149" spans="1:10" ht="18" thickBot="1" x14ac:dyDescent="0.25">
      <c r="A149" s="8" t="s">
        <v>176</v>
      </c>
      <c r="B149" s="8"/>
      <c r="C149" s="9" t="s">
        <v>36</v>
      </c>
      <c r="D149" s="9"/>
      <c r="E149" s="9">
        <v>50</v>
      </c>
      <c r="F149" s="10">
        <v>15062.6</v>
      </c>
      <c r="G149" s="10">
        <f>F149*E149</f>
        <v>753130</v>
      </c>
      <c r="H149" s="18">
        <v>50</v>
      </c>
      <c r="I149" s="19">
        <v>15062.6</v>
      </c>
      <c r="J149" s="19">
        <f>I149*H149</f>
        <v>753130</v>
      </c>
    </row>
    <row r="150" spans="1:10" ht="17" thickBot="1" x14ac:dyDescent="0.25">
      <c r="G150" s="12">
        <f>G149+G148</f>
        <v>1505970</v>
      </c>
      <c r="I150" s="3"/>
      <c r="J150" s="34">
        <f>J149+J148</f>
        <v>1505970</v>
      </c>
    </row>
    <row r="152" spans="1:10" ht="25" customHeight="1" thickBot="1" x14ac:dyDescent="0.25">
      <c r="A152" s="7" t="s">
        <v>2076</v>
      </c>
    </row>
    <row r="153" spans="1:10" ht="18" thickBot="1" x14ac:dyDescent="0.25">
      <c r="A153" s="8" t="s">
        <v>2029</v>
      </c>
      <c r="B153" s="8"/>
      <c r="C153" s="9" t="s">
        <v>2075</v>
      </c>
      <c r="D153" s="9"/>
      <c r="E153" s="9">
        <v>96</v>
      </c>
      <c r="F153" s="10">
        <v>6942.6</v>
      </c>
      <c r="G153" s="12">
        <f>F153*E153</f>
        <v>666489.60000000009</v>
      </c>
      <c r="H153" s="23">
        <v>36</v>
      </c>
      <c r="I153" s="24">
        <v>6942.6</v>
      </c>
      <c r="J153" s="26">
        <f>I153*H153</f>
        <v>249933.6</v>
      </c>
    </row>
    <row r="155" spans="1:10" ht="18" thickBot="1" x14ac:dyDescent="0.25">
      <c r="A155" s="7" t="s">
        <v>2072</v>
      </c>
      <c r="B155" s="2" t="s">
        <v>2073</v>
      </c>
      <c r="C155" s="2" t="s">
        <v>2074</v>
      </c>
    </row>
    <row r="156" spans="1:10" ht="18" thickBot="1" x14ac:dyDescent="0.25">
      <c r="A156" s="8" t="s">
        <v>177</v>
      </c>
      <c r="B156" s="8"/>
      <c r="C156" s="9" t="s">
        <v>36</v>
      </c>
      <c r="D156" s="9"/>
      <c r="E156" s="9">
        <v>1700</v>
      </c>
      <c r="F156" s="10">
        <v>3359.36</v>
      </c>
      <c r="G156" s="10">
        <f>F156*E156</f>
        <v>5710912</v>
      </c>
      <c r="H156" s="23">
        <v>1700</v>
      </c>
      <c r="I156" s="24">
        <v>3359.36</v>
      </c>
      <c r="J156" s="24">
        <f>I156*H156</f>
        <v>5710912</v>
      </c>
    </row>
    <row r="157" spans="1:10" ht="18" thickBot="1" x14ac:dyDescent="0.25">
      <c r="A157" s="8" t="s">
        <v>220</v>
      </c>
      <c r="B157" s="8"/>
      <c r="C157" s="9" t="s">
        <v>36</v>
      </c>
      <c r="D157" s="9"/>
      <c r="E157" s="9">
        <v>1500</v>
      </c>
      <c r="F157" s="10">
        <v>3359.36</v>
      </c>
      <c r="G157" s="10">
        <f>F157*E157</f>
        <v>5039040</v>
      </c>
      <c r="H157" s="23">
        <v>1500</v>
      </c>
      <c r="I157" s="24">
        <v>3359.36</v>
      </c>
      <c r="J157" s="24">
        <f>I157*H157</f>
        <v>5039040</v>
      </c>
    </row>
    <row r="158" spans="1:10" ht="17" thickBot="1" x14ac:dyDescent="0.25">
      <c r="G158" s="12">
        <f>G157+G156</f>
        <v>10749952</v>
      </c>
      <c r="I158" s="3"/>
      <c r="J158" s="26">
        <f>J157+J156</f>
        <v>10749952</v>
      </c>
    </row>
    <row r="159" spans="1:10" ht="18" thickBot="1" x14ac:dyDescent="0.25">
      <c r="A159" s="7" t="s">
        <v>2141</v>
      </c>
    </row>
    <row r="160" spans="1:10" ht="18" thickBot="1" x14ac:dyDescent="0.25">
      <c r="A160" s="8" t="s">
        <v>193</v>
      </c>
      <c r="B160" s="8"/>
      <c r="C160" s="9" t="s">
        <v>4</v>
      </c>
      <c r="D160" s="9" t="s">
        <v>196</v>
      </c>
      <c r="E160" s="9">
        <v>42</v>
      </c>
      <c r="F160" s="10">
        <v>18548.400000000001</v>
      </c>
      <c r="G160" s="12">
        <f>F160*E160</f>
        <v>779032.8</v>
      </c>
      <c r="H160" s="23">
        <v>29</v>
      </c>
      <c r="I160" s="24">
        <v>18548.400000000001</v>
      </c>
      <c r="J160" s="26">
        <f>I160*H160</f>
        <v>537903.60000000009</v>
      </c>
    </row>
    <row r="163" spans="1:7" ht="18" thickBot="1" x14ac:dyDescent="0.25">
      <c r="A163" s="7" t="s">
        <v>2180</v>
      </c>
      <c r="B163" s="298" t="s">
        <v>1966</v>
      </c>
      <c r="C163" s="2" t="s">
        <v>1967</v>
      </c>
    </row>
    <row r="164" spans="1:7" ht="18" thickBot="1" x14ac:dyDescent="0.25">
      <c r="A164" s="8" t="s">
        <v>176</v>
      </c>
      <c r="B164" s="8"/>
      <c r="C164" s="9" t="s">
        <v>9</v>
      </c>
      <c r="D164" s="9" t="s">
        <v>174</v>
      </c>
      <c r="E164" s="9">
        <v>100</v>
      </c>
      <c r="F164" s="10">
        <v>8642</v>
      </c>
      <c r="G164" s="12">
        <f>F164*E164</f>
        <v>864200</v>
      </c>
    </row>
    <row r="166" spans="1:7" ht="18" thickBot="1" x14ac:dyDescent="0.25">
      <c r="A166" s="7" t="s">
        <v>2292</v>
      </c>
      <c r="B166" s="4" t="s">
        <v>2293</v>
      </c>
    </row>
    <row r="167" spans="1:7" ht="18" thickBot="1" x14ac:dyDescent="0.25">
      <c r="A167" s="8" t="s">
        <v>1155</v>
      </c>
      <c r="B167" s="8"/>
      <c r="C167" s="9"/>
      <c r="D167" s="9" t="s">
        <v>173</v>
      </c>
      <c r="E167" s="9">
        <v>5</v>
      </c>
      <c r="F167" s="10">
        <v>11789.08</v>
      </c>
      <c r="G167" s="10">
        <f>F167*E167</f>
        <v>58945.4</v>
      </c>
    </row>
    <row r="168" spans="1:7" ht="18" thickBot="1" x14ac:dyDescent="0.25">
      <c r="A168" s="8" t="s">
        <v>1155</v>
      </c>
      <c r="B168" s="8"/>
      <c r="C168" s="9"/>
      <c r="D168" s="9" t="s">
        <v>214</v>
      </c>
      <c r="E168" s="9">
        <v>60</v>
      </c>
      <c r="F168" s="10">
        <v>5788.4</v>
      </c>
      <c r="G168" s="10">
        <f t="shared" ref="G168:G169" si="0">F168*E168</f>
        <v>347304</v>
      </c>
    </row>
    <row r="169" spans="1:7" ht="18" thickBot="1" x14ac:dyDescent="0.25">
      <c r="A169" s="8" t="s">
        <v>1155</v>
      </c>
      <c r="B169" s="8"/>
      <c r="C169" s="9"/>
      <c r="D169" s="9" t="s">
        <v>1620</v>
      </c>
      <c r="E169" s="9">
        <v>5</v>
      </c>
      <c r="F169" s="10">
        <v>11789.08</v>
      </c>
      <c r="G169" s="10">
        <f t="shared" si="0"/>
        <v>58945.4</v>
      </c>
    </row>
    <row r="170" spans="1:7" ht="17" thickBot="1" x14ac:dyDescent="0.25">
      <c r="G170" s="12">
        <f>SUM(G167:G169)</f>
        <v>465194.80000000005</v>
      </c>
    </row>
    <row r="172" spans="1:7" ht="18" thickBot="1" x14ac:dyDescent="0.25">
      <c r="A172" s="7" t="s">
        <v>2299</v>
      </c>
      <c r="B172" s="298" t="s">
        <v>2297</v>
      </c>
      <c r="C172" s="2" t="s">
        <v>2298</v>
      </c>
    </row>
    <row r="173" spans="1:7" ht="18" thickBot="1" x14ac:dyDescent="0.25">
      <c r="A173" s="8" t="s">
        <v>220</v>
      </c>
      <c r="B173" s="8" t="s">
        <v>36</v>
      </c>
      <c r="C173" s="9"/>
      <c r="D173" s="9" t="s">
        <v>214</v>
      </c>
      <c r="E173" s="9">
        <v>1000</v>
      </c>
      <c r="F173" s="10">
        <v>4170.2</v>
      </c>
      <c r="G173" s="12">
        <f>F173*E173</f>
        <v>4170200</v>
      </c>
    </row>
    <row r="175" spans="1:7" ht="18" thickBot="1" x14ac:dyDescent="0.25">
      <c r="A175" s="4" t="s">
        <v>2371</v>
      </c>
    </row>
    <row r="176" spans="1:7" ht="18" thickBot="1" x14ac:dyDescent="0.25">
      <c r="A176" s="8" t="s">
        <v>193</v>
      </c>
      <c r="B176" s="8"/>
      <c r="C176" s="303" t="s">
        <v>332</v>
      </c>
      <c r="D176" s="9" t="s">
        <v>383</v>
      </c>
      <c r="E176" s="9">
        <v>100</v>
      </c>
      <c r="F176" s="10">
        <v>10434.200000000001</v>
      </c>
      <c r="G176" s="10">
        <f>F176*E176</f>
        <v>1043420.0000000001</v>
      </c>
    </row>
    <row r="177" spans="1:7" ht="18" thickBot="1" x14ac:dyDescent="0.25">
      <c r="A177" s="8" t="s">
        <v>176</v>
      </c>
      <c r="B177" s="8"/>
      <c r="C177" s="303" t="s">
        <v>332</v>
      </c>
      <c r="D177" s="9" t="s">
        <v>174</v>
      </c>
      <c r="E177" s="9">
        <v>100</v>
      </c>
      <c r="F177" s="10">
        <v>10434.200000000001</v>
      </c>
      <c r="G177" s="10">
        <f>F177*E177</f>
        <v>1043420.0000000001</v>
      </c>
    </row>
    <row r="178" spans="1:7" ht="17" thickBot="1" x14ac:dyDescent="0.25">
      <c r="G178" s="12">
        <f>G177+G176</f>
        <v>2086840.0000000002</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7F46-626B-2145-A4D8-4204F3446514}">
  <dimension ref="A1:AH1043"/>
  <sheetViews>
    <sheetView topLeftCell="R227" zoomScale="110" zoomScaleNormal="110" workbookViewId="0">
      <selection activeCell="D133" sqref="D133"/>
    </sheetView>
  </sheetViews>
  <sheetFormatPr baseColWidth="10" defaultRowHeight="16" x14ac:dyDescent="0.2"/>
  <cols>
    <col min="1" max="1" width="78.33203125" style="4" customWidth="1"/>
    <col min="2" max="2" width="23.6640625" style="79" customWidth="1"/>
    <col min="3" max="3" width="9" style="2" customWidth="1"/>
    <col min="4" max="4" width="89.33203125" style="2" customWidth="1"/>
    <col min="5" max="5" width="11.83203125" style="2" bestFit="1" customWidth="1"/>
    <col min="6" max="6" width="14.33203125" style="3" bestFit="1" customWidth="1"/>
    <col min="7" max="7" width="20.6640625" style="3" customWidth="1"/>
    <col min="8" max="8" width="12.6640625" style="38" bestFit="1" customWidth="1"/>
    <col min="9" max="9" width="15.33203125" style="3" customWidth="1"/>
    <col min="10" max="10" width="16.33203125" style="1" customWidth="1"/>
    <col min="12" max="12" width="13.6640625" customWidth="1"/>
    <col min="13" max="13" width="15.6640625" customWidth="1"/>
    <col min="15" max="15" width="15.83203125" customWidth="1"/>
    <col min="16" max="16" width="16.1640625" customWidth="1"/>
    <col min="17" max="17" width="13" customWidth="1"/>
    <col min="18" max="18" width="15.33203125" customWidth="1"/>
    <col min="19" max="19" width="17.33203125" customWidth="1"/>
    <col min="21" max="21" width="13" customWidth="1"/>
    <col min="22" max="22" width="17.6640625" customWidth="1"/>
    <col min="24" max="24" width="15.33203125" customWidth="1"/>
    <col min="25" max="25" width="17.83203125" customWidth="1"/>
    <col min="27" max="27" width="14.6640625" customWidth="1"/>
    <col min="28" max="28" width="19" customWidth="1"/>
    <col min="29" max="30" width="14.5" customWidth="1"/>
    <col min="31" max="31" width="17.33203125" customWidth="1"/>
    <col min="33" max="33" width="13.5" customWidth="1"/>
    <col min="34" max="34" width="16" customWidth="1"/>
  </cols>
  <sheetData>
    <row r="1" spans="1:7" ht="22" thickBot="1" x14ac:dyDescent="0.25">
      <c r="A1" s="300" t="s">
        <v>2206</v>
      </c>
    </row>
    <row r="2" spans="1:7" ht="17" thickBot="1" x14ac:dyDescent="0.25">
      <c r="A2" s="9" t="s">
        <v>334</v>
      </c>
      <c r="B2" s="75"/>
      <c r="C2" s="299" t="s">
        <v>36</v>
      </c>
      <c r="D2" s="9" t="s">
        <v>2181</v>
      </c>
      <c r="E2" s="9">
        <v>6</v>
      </c>
      <c r="F2" s="10">
        <v>5916</v>
      </c>
      <c r="G2" s="10">
        <f>F2*E2</f>
        <v>35496</v>
      </c>
    </row>
    <row r="3" spans="1:7" ht="17" thickBot="1" x14ac:dyDescent="0.25">
      <c r="A3" s="9" t="s">
        <v>47</v>
      </c>
      <c r="B3" s="75"/>
      <c r="C3" s="9" t="s">
        <v>36</v>
      </c>
      <c r="D3" s="9" t="s">
        <v>2182</v>
      </c>
      <c r="E3" s="9">
        <v>2</v>
      </c>
      <c r="F3" s="10">
        <v>12168.4</v>
      </c>
      <c r="G3" s="10">
        <f t="shared" ref="G3:G38" si="0">F3*E3</f>
        <v>24336.799999999999</v>
      </c>
    </row>
    <row r="4" spans="1:7" ht="17" thickBot="1" x14ac:dyDescent="0.25">
      <c r="A4" s="9" t="s">
        <v>150</v>
      </c>
      <c r="B4" s="75"/>
      <c r="C4" s="9" t="s">
        <v>36</v>
      </c>
      <c r="D4" s="9" t="s">
        <v>2183</v>
      </c>
      <c r="E4" s="9">
        <v>6</v>
      </c>
      <c r="F4" s="10">
        <v>9256.7999999999993</v>
      </c>
      <c r="G4" s="10">
        <f t="shared" si="0"/>
        <v>55540.799999999996</v>
      </c>
    </row>
    <row r="5" spans="1:7" ht="17" thickBot="1" x14ac:dyDescent="0.25">
      <c r="A5" s="9" t="s">
        <v>47</v>
      </c>
      <c r="B5" s="75"/>
      <c r="C5" s="9" t="s">
        <v>36</v>
      </c>
      <c r="D5" s="9" t="s">
        <v>2184</v>
      </c>
      <c r="E5" s="9">
        <v>2</v>
      </c>
      <c r="F5" s="101">
        <v>8700</v>
      </c>
      <c r="G5" s="10">
        <f t="shared" si="0"/>
        <v>17400</v>
      </c>
    </row>
    <row r="6" spans="1:7" ht="17" thickBot="1" x14ac:dyDescent="0.25">
      <c r="A6" s="9" t="s">
        <v>47</v>
      </c>
      <c r="B6" s="75"/>
      <c r="C6" s="9" t="s">
        <v>36</v>
      </c>
      <c r="D6" s="9" t="s">
        <v>1813</v>
      </c>
      <c r="E6" s="9">
        <v>2</v>
      </c>
      <c r="F6" s="10">
        <v>7192</v>
      </c>
      <c r="G6" s="10">
        <f t="shared" si="0"/>
        <v>14384</v>
      </c>
    </row>
    <row r="7" spans="1:7" ht="17" thickBot="1" x14ac:dyDescent="0.25">
      <c r="A7" s="9" t="s">
        <v>133</v>
      </c>
      <c r="B7" s="75"/>
      <c r="C7" s="9" t="s">
        <v>36</v>
      </c>
      <c r="D7" s="9" t="s">
        <v>2185</v>
      </c>
      <c r="E7" s="9">
        <v>18</v>
      </c>
      <c r="F7" s="10">
        <v>4732.8</v>
      </c>
      <c r="G7" s="10">
        <f t="shared" si="0"/>
        <v>85190.400000000009</v>
      </c>
    </row>
    <row r="8" spans="1:7" ht="17" thickBot="1" x14ac:dyDescent="0.25">
      <c r="A8" s="9" t="s">
        <v>2186</v>
      </c>
      <c r="B8" s="75"/>
      <c r="C8" s="9" t="s">
        <v>36</v>
      </c>
      <c r="D8" s="9" t="s">
        <v>2187</v>
      </c>
      <c r="E8" s="9">
        <v>12</v>
      </c>
      <c r="F8" s="10">
        <v>14186.8</v>
      </c>
      <c r="G8" s="10">
        <f t="shared" si="0"/>
        <v>170241.59999999998</v>
      </c>
    </row>
    <row r="9" spans="1:7" ht="17" thickBot="1" x14ac:dyDescent="0.25">
      <c r="A9" s="9" t="s">
        <v>47</v>
      </c>
      <c r="B9" s="75"/>
      <c r="C9" s="9" t="s">
        <v>36</v>
      </c>
      <c r="D9" s="9" t="s">
        <v>749</v>
      </c>
      <c r="E9" s="9">
        <v>2</v>
      </c>
      <c r="F9" s="10">
        <v>7192</v>
      </c>
      <c r="G9" s="10">
        <f t="shared" si="0"/>
        <v>14384</v>
      </c>
    </row>
    <row r="10" spans="1:7" ht="17" thickBot="1" x14ac:dyDescent="0.25">
      <c r="A10" s="9" t="s">
        <v>47</v>
      </c>
      <c r="B10" s="75"/>
      <c r="C10" s="9" t="s">
        <v>36</v>
      </c>
      <c r="D10" s="9" t="s">
        <v>2188</v>
      </c>
      <c r="E10" s="9">
        <v>2</v>
      </c>
      <c r="F10" s="10">
        <v>14384</v>
      </c>
      <c r="G10" s="10">
        <f t="shared" si="0"/>
        <v>28768</v>
      </c>
    </row>
    <row r="11" spans="1:7" ht="17" thickBot="1" x14ac:dyDescent="0.25">
      <c r="A11" s="9" t="s">
        <v>47</v>
      </c>
      <c r="B11" s="75"/>
      <c r="C11" s="9" t="s">
        <v>36</v>
      </c>
      <c r="D11" s="9" t="s">
        <v>2189</v>
      </c>
      <c r="E11" s="9">
        <v>2</v>
      </c>
      <c r="F11" s="10">
        <v>7888</v>
      </c>
      <c r="G11" s="10">
        <f t="shared" si="0"/>
        <v>15776</v>
      </c>
    </row>
    <row r="12" spans="1:7" ht="17" thickBot="1" x14ac:dyDescent="0.25">
      <c r="A12" s="9" t="s">
        <v>76</v>
      </c>
      <c r="B12" s="75"/>
      <c r="C12" s="9" t="s">
        <v>36</v>
      </c>
      <c r="D12" s="9" t="s">
        <v>2190</v>
      </c>
      <c r="E12" s="9">
        <v>6</v>
      </c>
      <c r="F12" s="10">
        <v>5336</v>
      </c>
      <c r="G12" s="10">
        <f t="shared" si="0"/>
        <v>32016</v>
      </c>
    </row>
    <row r="13" spans="1:7" ht="17" thickBot="1" x14ac:dyDescent="0.25">
      <c r="A13" s="9" t="s">
        <v>642</v>
      </c>
      <c r="B13" s="75"/>
      <c r="C13" s="9" t="s">
        <v>36</v>
      </c>
      <c r="D13" s="9" t="s">
        <v>2191</v>
      </c>
      <c r="E13" s="9">
        <v>24</v>
      </c>
      <c r="F13" s="10">
        <v>4466</v>
      </c>
      <c r="G13" s="10">
        <f t="shared" si="0"/>
        <v>107184</v>
      </c>
    </row>
    <row r="14" spans="1:7" ht="17" thickBot="1" x14ac:dyDescent="0.25">
      <c r="A14" s="9" t="s">
        <v>334</v>
      </c>
      <c r="B14" s="75"/>
      <c r="C14" s="9" t="s">
        <v>36</v>
      </c>
      <c r="D14" s="9" t="s">
        <v>2192</v>
      </c>
      <c r="E14" s="9">
        <v>12</v>
      </c>
      <c r="F14" s="10">
        <v>5649.2</v>
      </c>
      <c r="G14" s="10">
        <f t="shared" si="0"/>
        <v>67790.399999999994</v>
      </c>
    </row>
    <row r="15" spans="1:7" ht="17" thickBot="1" x14ac:dyDescent="0.25">
      <c r="A15" s="9" t="s">
        <v>334</v>
      </c>
      <c r="B15" s="75"/>
      <c r="C15" s="9" t="s">
        <v>36</v>
      </c>
      <c r="D15" s="9" t="s">
        <v>1848</v>
      </c>
      <c r="E15" s="9">
        <v>8</v>
      </c>
      <c r="F15" s="10">
        <v>11948</v>
      </c>
      <c r="G15" s="10">
        <f t="shared" si="0"/>
        <v>95584</v>
      </c>
    </row>
    <row r="16" spans="1:7" ht="17" thickBot="1" x14ac:dyDescent="0.25">
      <c r="A16" s="9" t="s">
        <v>47</v>
      </c>
      <c r="B16" s="75"/>
      <c r="C16" s="9" t="s">
        <v>36</v>
      </c>
      <c r="D16" s="9" t="s">
        <v>2193</v>
      </c>
      <c r="E16" s="9">
        <v>12</v>
      </c>
      <c r="F16" s="10">
        <v>14384</v>
      </c>
      <c r="G16" s="10">
        <f t="shared" si="0"/>
        <v>172608</v>
      </c>
    </row>
    <row r="17" spans="1:7" ht="17" thickBot="1" x14ac:dyDescent="0.25">
      <c r="A17" s="9" t="s">
        <v>47</v>
      </c>
      <c r="B17" s="75"/>
      <c r="C17" s="9" t="s">
        <v>36</v>
      </c>
      <c r="D17" s="9" t="s">
        <v>773</v>
      </c>
      <c r="E17" s="9">
        <v>12</v>
      </c>
      <c r="F17" s="10">
        <v>14384</v>
      </c>
      <c r="G17" s="10">
        <f t="shared" si="0"/>
        <v>172608</v>
      </c>
    </row>
    <row r="18" spans="1:7" ht="17" thickBot="1" x14ac:dyDescent="0.25">
      <c r="A18" s="9" t="s">
        <v>48</v>
      </c>
      <c r="B18" s="75"/>
      <c r="C18" s="9" t="s">
        <v>36</v>
      </c>
      <c r="D18" s="9" t="s">
        <v>2194</v>
      </c>
      <c r="E18" s="9">
        <v>4</v>
      </c>
      <c r="F18" s="10">
        <v>8468</v>
      </c>
      <c r="G18" s="10">
        <f t="shared" si="0"/>
        <v>33872</v>
      </c>
    </row>
    <row r="19" spans="1:7" ht="17" thickBot="1" x14ac:dyDescent="0.25">
      <c r="A19" s="9" t="s">
        <v>47</v>
      </c>
      <c r="B19" s="75"/>
      <c r="C19" s="9" t="s">
        <v>36</v>
      </c>
      <c r="D19" s="9" t="s">
        <v>2195</v>
      </c>
      <c r="E19" s="9">
        <v>12</v>
      </c>
      <c r="F19" s="10">
        <v>1276</v>
      </c>
      <c r="G19" s="10">
        <f t="shared" si="0"/>
        <v>15312</v>
      </c>
    </row>
    <row r="20" spans="1:7" ht="17" thickBot="1" x14ac:dyDescent="0.25">
      <c r="A20" s="9" t="s">
        <v>133</v>
      </c>
      <c r="B20" s="75"/>
      <c r="C20" s="9" t="s">
        <v>36</v>
      </c>
      <c r="D20" s="9" t="s">
        <v>2196</v>
      </c>
      <c r="E20" s="9">
        <v>12</v>
      </c>
      <c r="F20" s="10">
        <v>4408</v>
      </c>
      <c r="G20" s="10">
        <f t="shared" si="0"/>
        <v>52896</v>
      </c>
    </row>
    <row r="21" spans="1:7" ht="17" thickBot="1" x14ac:dyDescent="0.25">
      <c r="A21" s="9" t="s">
        <v>47</v>
      </c>
      <c r="B21" s="75"/>
      <c r="C21" s="9" t="s">
        <v>36</v>
      </c>
      <c r="D21" s="9" t="s">
        <v>2197</v>
      </c>
      <c r="E21" s="9">
        <v>12</v>
      </c>
      <c r="F21" s="10">
        <v>14384</v>
      </c>
      <c r="G21" s="10">
        <f t="shared" si="0"/>
        <v>172608</v>
      </c>
    </row>
    <row r="22" spans="1:7" ht="17" thickBot="1" x14ac:dyDescent="0.25">
      <c r="A22" s="9" t="s">
        <v>76</v>
      </c>
      <c r="B22" s="75"/>
      <c r="C22" s="9" t="s">
        <v>36</v>
      </c>
      <c r="D22" s="9" t="s">
        <v>2198</v>
      </c>
      <c r="E22" s="9">
        <v>6</v>
      </c>
      <c r="F22" s="10">
        <v>3828</v>
      </c>
      <c r="G22" s="10">
        <f t="shared" si="0"/>
        <v>22968</v>
      </c>
    </row>
    <row r="23" spans="1:7" ht="17" thickBot="1" x14ac:dyDescent="0.25">
      <c r="A23" s="9" t="s">
        <v>159</v>
      </c>
      <c r="B23" s="75"/>
      <c r="C23" s="9" t="s">
        <v>36</v>
      </c>
      <c r="D23" s="9" t="s">
        <v>2199</v>
      </c>
      <c r="E23" s="9">
        <v>8</v>
      </c>
      <c r="F23" s="10">
        <v>11971.2</v>
      </c>
      <c r="G23" s="10">
        <f t="shared" si="0"/>
        <v>95769.600000000006</v>
      </c>
    </row>
    <row r="24" spans="1:7" ht="17" thickBot="1" x14ac:dyDescent="0.25">
      <c r="A24" s="9" t="s">
        <v>334</v>
      </c>
      <c r="B24" s="75"/>
      <c r="C24" s="9" t="s">
        <v>36</v>
      </c>
      <c r="D24" s="9" t="s">
        <v>764</v>
      </c>
      <c r="E24" s="9">
        <v>6</v>
      </c>
      <c r="F24" s="10">
        <v>9512</v>
      </c>
      <c r="G24" s="10">
        <f t="shared" si="0"/>
        <v>57072</v>
      </c>
    </row>
    <row r="25" spans="1:7" ht="17" thickBot="1" x14ac:dyDescent="0.25">
      <c r="A25" s="9" t="s">
        <v>47</v>
      </c>
      <c r="B25" s="75"/>
      <c r="C25" s="9" t="s">
        <v>36</v>
      </c>
      <c r="D25" s="9" t="s">
        <v>772</v>
      </c>
      <c r="E25" s="9">
        <v>6</v>
      </c>
      <c r="F25" s="10">
        <v>14384</v>
      </c>
      <c r="G25" s="10">
        <f t="shared" si="0"/>
        <v>86304</v>
      </c>
    </row>
    <row r="26" spans="1:7" ht="17" thickBot="1" x14ac:dyDescent="0.25">
      <c r="A26" s="9" t="s">
        <v>47</v>
      </c>
      <c r="B26" s="75"/>
      <c r="C26" s="9" t="s">
        <v>36</v>
      </c>
      <c r="D26" s="9" t="s">
        <v>2200</v>
      </c>
      <c r="E26" s="9">
        <v>12</v>
      </c>
      <c r="F26" s="10">
        <v>14384</v>
      </c>
      <c r="G26" s="10">
        <f t="shared" si="0"/>
        <v>172608</v>
      </c>
    </row>
    <row r="27" spans="1:7" ht="17" thickBot="1" x14ac:dyDescent="0.25">
      <c r="A27" s="9" t="s">
        <v>115</v>
      </c>
      <c r="B27" s="75"/>
      <c r="C27" s="9" t="s">
        <v>36</v>
      </c>
      <c r="D27" s="9" t="s">
        <v>1046</v>
      </c>
      <c r="E27" s="9">
        <v>6</v>
      </c>
      <c r="F27" s="10">
        <v>10788</v>
      </c>
      <c r="G27" s="10">
        <f t="shared" si="0"/>
        <v>64728</v>
      </c>
    </row>
    <row r="28" spans="1:7" ht="17" thickBot="1" x14ac:dyDescent="0.25">
      <c r="A28" s="9" t="s">
        <v>334</v>
      </c>
      <c r="B28" s="75"/>
      <c r="C28" s="9" t="s">
        <v>36</v>
      </c>
      <c r="D28" s="9" t="s">
        <v>2201</v>
      </c>
      <c r="E28" s="9">
        <v>6</v>
      </c>
      <c r="F28" s="10">
        <v>8038.8</v>
      </c>
      <c r="G28" s="10">
        <f t="shared" si="0"/>
        <v>48232.800000000003</v>
      </c>
    </row>
    <row r="29" spans="1:7" ht="17" thickBot="1" x14ac:dyDescent="0.25">
      <c r="A29" s="9" t="s">
        <v>74</v>
      </c>
      <c r="B29" s="75"/>
      <c r="C29" s="9" t="s">
        <v>36</v>
      </c>
      <c r="D29" s="9" t="s">
        <v>750</v>
      </c>
      <c r="E29" s="9">
        <v>6</v>
      </c>
      <c r="F29" s="10">
        <v>4640</v>
      </c>
      <c r="G29" s="10">
        <f t="shared" si="0"/>
        <v>27840</v>
      </c>
    </row>
    <row r="30" spans="1:7" ht="17" thickBot="1" x14ac:dyDescent="0.25">
      <c r="A30" s="9" t="s">
        <v>133</v>
      </c>
      <c r="B30" s="75"/>
      <c r="C30" s="9" t="s">
        <v>36</v>
      </c>
      <c r="D30" s="9" t="s">
        <v>2202</v>
      </c>
      <c r="E30" s="9">
        <v>24</v>
      </c>
      <c r="F30" s="10">
        <v>13502.4</v>
      </c>
      <c r="G30" s="10">
        <f t="shared" si="0"/>
        <v>324057.59999999998</v>
      </c>
    </row>
    <row r="31" spans="1:7" ht="17" thickBot="1" x14ac:dyDescent="0.25">
      <c r="A31" s="9" t="s">
        <v>740</v>
      </c>
      <c r="B31" s="75"/>
      <c r="C31" s="9" t="s">
        <v>36</v>
      </c>
      <c r="D31" s="9" t="s">
        <v>1059</v>
      </c>
      <c r="E31" s="9">
        <v>18</v>
      </c>
      <c r="F31" s="10">
        <v>20416</v>
      </c>
      <c r="G31" s="10">
        <f t="shared" si="0"/>
        <v>367488</v>
      </c>
    </row>
    <row r="32" spans="1:7" ht="17" thickBot="1" x14ac:dyDescent="0.25">
      <c r="A32" s="9" t="s">
        <v>74</v>
      </c>
      <c r="B32" s="75"/>
      <c r="C32" s="9" t="s">
        <v>36</v>
      </c>
      <c r="D32" s="9" t="s">
        <v>1417</v>
      </c>
      <c r="E32" s="9">
        <v>6</v>
      </c>
      <c r="F32" s="10">
        <v>2833.88</v>
      </c>
      <c r="G32" s="10">
        <f t="shared" si="0"/>
        <v>17003.28</v>
      </c>
    </row>
    <row r="33" spans="1:7" ht="17" thickBot="1" x14ac:dyDescent="0.25">
      <c r="A33" s="9" t="s">
        <v>74</v>
      </c>
      <c r="B33" s="75"/>
      <c r="C33" s="9" t="s">
        <v>36</v>
      </c>
      <c r="D33" s="9" t="s">
        <v>2203</v>
      </c>
      <c r="E33" s="9">
        <v>6</v>
      </c>
      <c r="F33" s="10">
        <v>10904</v>
      </c>
      <c r="G33" s="10">
        <f t="shared" si="0"/>
        <v>65424</v>
      </c>
    </row>
    <row r="34" spans="1:7" ht="17" thickBot="1" x14ac:dyDescent="0.25">
      <c r="A34" s="9" t="s">
        <v>47</v>
      </c>
      <c r="B34" s="75"/>
      <c r="C34" s="9" t="s">
        <v>36</v>
      </c>
      <c r="D34" s="9" t="s">
        <v>1065</v>
      </c>
      <c r="E34" s="9">
        <v>12</v>
      </c>
      <c r="F34" s="10">
        <v>13920</v>
      </c>
      <c r="G34" s="10">
        <f t="shared" si="0"/>
        <v>167040</v>
      </c>
    </row>
    <row r="35" spans="1:7" ht="17" thickBot="1" x14ac:dyDescent="0.25">
      <c r="A35" s="9" t="s">
        <v>76</v>
      </c>
      <c r="B35" s="75"/>
      <c r="C35" s="9" t="s">
        <v>36</v>
      </c>
      <c r="D35" s="9" t="s">
        <v>1050</v>
      </c>
      <c r="E35" s="9">
        <v>6</v>
      </c>
      <c r="F35" s="10">
        <v>4570.3999999999996</v>
      </c>
      <c r="G35" s="10">
        <f t="shared" si="0"/>
        <v>27422.399999999998</v>
      </c>
    </row>
    <row r="36" spans="1:7" ht="17" thickBot="1" x14ac:dyDescent="0.25">
      <c r="A36" s="9" t="s">
        <v>47</v>
      </c>
      <c r="B36" s="75"/>
      <c r="C36" s="9" t="s">
        <v>36</v>
      </c>
      <c r="D36" s="9" t="s">
        <v>745</v>
      </c>
      <c r="E36" s="9">
        <v>2</v>
      </c>
      <c r="F36" s="10">
        <v>15892</v>
      </c>
      <c r="G36" s="10">
        <f t="shared" si="0"/>
        <v>31784</v>
      </c>
    </row>
    <row r="37" spans="1:7" ht="17" thickBot="1" x14ac:dyDescent="0.25">
      <c r="A37" s="9" t="s">
        <v>115</v>
      </c>
      <c r="B37" s="75"/>
      <c r="C37" s="9" t="s">
        <v>36</v>
      </c>
      <c r="D37" s="9" t="s">
        <v>2204</v>
      </c>
      <c r="E37" s="9">
        <v>12</v>
      </c>
      <c r="F37" s="10">
        <v>13630</v>
      </c>
      <c r="G37" s="10">
        <f t="shared" si="0"/>
        <v>163560</v>
      </c>
    </row>
    <row r="38" spans="1:7" ht="17" thickBot="1" x14ac:dyDescent="0.25">
      <c r="A38" s="9" t="s">
        <v>150</v>
      </c>
      <c r="B38" s="75"/>
      <c r="C38" s="9" t="s">
        <v>36</v>
      </c>
      <c r="D38" s="9" t="s">
        <v>2205</v>
      </c>
      <c r="E38" s="9">
        <v>6</v>
      </c>
      <c r="F38" s="10">
        <v>11948</v>
      </c>
      <c r="G38" s="10">
        <f t="shared" si="0"/>
        <v>71688</v>
      </c>
    </row>
    <row r="39" spans="1:7" ht="17" thickBot="1" x14ac:dyDescent="0.25">
      <c r="A39" s="255"/>
      <c r="C39" s="255"/>
      <c r="D39" s="255"/>
      <c r="E39" s="255"/>
      <c r="F39" s="264"/>
      <c r="G39" s="12">
        <f>SUM(G2:G38)</f>
        <v>3194985.6799999997</v>
      </c>
    </row>
    <row r="40" spans="1:7" ht="22" thickBot="1" x14ac:dyDescent="0.25">
      <c r="A40" s="300" t="s">
        <v>2207</v>
      </c>
    </row>
    <row r="41" spans="1:7" ht="18" thickBot="1" x14ac:dyDescent="0.25">
      <c r="A41" s="8" t="s">
        <v>1099</v>
      </c>
      <c r="B41" s="75"/>
      <c r="C41" s="9" t="s">
        <v>36</v>
      </c>
      <c r="D41" s="9" t="s">
        <v>650</v>
      </c>
      <c r="E41" s="9">
        <v>2</v>
      </c>
      <c r="F41" s="10">
        <v>15532.4</v>
      </c>
      <c r="G41" s="12">
        <f>F41*E41</f>
        <v>31064.799999999999</v>
      </c>
    </row>
    <row r="43" spans="1:7" ht="22" thickBot="1" x14ac:dyDescent="0.25">
      <c r="A43" s="300" t="s">
        <v>2219</v>
      </c>
    </row>
    <row r="44" spans="1:7" ht="17" thickBot="1" x14ac:dyDescent="0.25">
      <c r="A44" s="9" t="s">
        <v>47</v>
      </c>
      <c r="B44" s="75"/>
      <c r="C44" s="9" t="s">
        <v>36</v>
      </c>
      <c r="D44" s="9" t="s">
        <v>2208</v>
      </c>
      <c r="E44" s="9">
        <v>12</v>
      </c>
      <c r="F44" s="10">
        <v>7772</v>
      </c>
      <c r="G44" s="10">
        <f>F44*E44</f>
        <v>93264</v>
      </c>
    </row>
    <row r="45" spans="1:7" ht="17" thickBot="1" x14ac:dyDescent="0.25">
      <c r="A45" s="9" t="s">
        <v>548</v>
      </c>
      <c r="B45" s="75"/>
      <c r="C45" s="9" t="s">
        <v>36</v>
      </c>
      <c r="D45" s="9" t="s">
        <v>760</v>
      </c>
      <c r="E45" s="9">
        <v>6</v>
      </c>
      <c r="F45" s="10">
        <v>6960</v>
      </c>
      <c r="G45" s="10">
        <f t="shared" ref="G45:G60" si="1">F45*E45</f>
        <v>41760</v>
      </c>
    </row>
    <row r="46" spans="1:7" ht="17" thickBot="1" x14ac:dyDescent="0.25">
      <c r="A46" s="9" t="s">
        <v>89</v>
      </c>
      <c r="B46" s="75"/>
      <c r="C46" s="9" t="s">
        <v>36</v>
      </c>
      <c r="D46" s="9" t="s">
        <v>2209</v>
      </c>
      <c r="E46" s="9">
        <v>12</v>
      </c>
      <c r="F46" s="10">
        <v>17516</v>
      </c>
      <c r="G46" s="10">
        <f t="shared" si="1"/>
        <v>210192</v>
      </c>
    </row>
    <row r="47" spans="1:7" ht="17" thickBot="1" x14ac:dyDescent="0.25">
      <c r="A47" s="9" t="s">
        <v>47</v>
      </c>
      <c r="B47" s="75"/>
      <c r="C47" s="9" t="s">
        <v>36</v>
      </c>
      <c r="D47" s="9" t="s">
        <v>775</v>
      </c>
      <c r="E47" s="9">
        <v>6</v>
      </c>
      <c r="F47" s="10">
        <v>580</v>
      </c>
      <c r="G47" s="10">
        <f t="shared" si="1"/>
        <v>3480</v>
      </c>
    </row>
    <row r="48" spans="1:7" ht="17" thickBot="1" x14ac:dyDescent="0.25">
      <c r="A48" s="9" t="s">
        <v>159</v>
      </c>
      <c r="B48" s="75"/>
      <c r="C48" s="9" t="s">
        <v>36</v>
      </c>
      <c r="D48" s="9" t="s">
        <v>1664</v>
      </c>
      <c r="E48" s="9">
        <v>18</v>
      </c>
      <c r="F48" s="10">
        <v>13920</v>
      </c>
      <c r="G48" s="10">
        <f t="shared" si="1"/>
        <v>250560</v>
      </c>
    </row>
    <row r="49" spans="1:7" ht="17" thickBot="1" x14ac:dyDescent="0.25">
      <c r="A49" s="9" t="s">
        <v>325</v>
      </c>
      <c r="B49" s="75"/>
      <c r="C49" s="9" t="s">
        <v>36</v>
      </c>
      <c r="D49" s="9" t="s">
        <v>2210</v>
      </c>
      <c r="E49" s="9">
        <v>12</v>
      </c>
      <c r="F49" s="10">
        <v>11948</v>
      </c>
      <c r="G49" s="10">
        <f t="shared" si="1"/>
        <v>143376</v>
      </c>
    </row>
    <row r="50" spans="1:7" ht="17" thickBot="1" x14ac:dyDescent="0.25">
      <c r="A50" s="9" t="s">
        <v>76</v>
      </c>
      <c r="B50" s="75"/>
      <c r="C50" s="9" t="s">
        <v>36</v>
      </c>
      <c r="D50" s="9" t="s">
        <v>2211</v>
      </c>
      <c r="E50" s="9">
        <v>24</v>
      </c>
      <c r="F50" s="10">
        <v>5022.8</v>
      </c>
      <c r="G50" s="10">
        <f t="shared" si="1"/>
        <v>120547.20000000001</v>
      </c>
    </row>
    <row r="51" spans="1:7" ht="17" thickBot="1" x14ac:dyDescent="0.25">
      <c r="A51" s="9" t="s">
        <v>76</v>
      </c>
      <c r="B51" s="75"/>
      <c r="C51" s="9" t="s">
        <v>36</v>
      </c>
      <c r="D51" s="9" t="s">
        <v>2212</v>
      </c>
      <c r="E51" s="9">
        <v>24</v>
      </c>
      <c r="F51" s="10">
        <v>2577.52</v>
      </c>
      <c r="G51" s="10">
        <f t="shared" si="1"/>
        <v>61860.479999999996</v>
      </c>
    </row>
    <row r="52" spans="1:7" ht="17" thickBot="1" x14ac:dyDescent="0.25">
      <c r="A52" s="9" t="s">
        <v>74</v>
      </c>
      <c r="B52" s="75"/>
      <c r="C52" s="9" t="s">
        <v>36</v>
      </c>
      <c r="D52" s="9" t="s">
        <v>765</v>
      </c>
      <c r="E52" s="9">
        <v>6</v>
      </c>
      <c r="F52" s="10">
        <v>10904</v>
      </c>
      <c r="G52" s="10">
        <f t="shared" si="1"/>
        <v>65424</v>
      </c>
    </row>
    <row r="53" spans="1:7" ht="17" thickBot="1" x14ac:dyDescent="0.25">
      <c r="A53" s="9" t="s">
        <v>159</v>
      </c>
      <c r="B53" s="75"/>
      <c r="C53" s="9" t="s">
        <v>36</v>
      </c>
      <c r="D53" s="9" t="s">
        <v>1850</v>
      </c>
      <c r="E53" s="9">
        <v>12</v>
      </c>
      <c r="F53" s="10">
        <v>12064</v>
      </c>
      <c r="G53" s="10">
        <f t="shared" si="1"/>
        <v>144768</v>
      </c>
    </row>
    <row r="54" spans="1:7" ht="17" thickBot="1" x14ac:dyDescent="0.25">
      <c r="A54" s="9" t="s">
        <v>443</v>
      </c>
      <c r="B54" s="75"/>
      <c r="C54" s="9" t="s">
        <v>36</v>
      </c>
      <c r="D54" s="9" t="s">
        <v>2213</v>
      </c>
      <c r="E54" s="9">
        <v>12</v>
      </c>
      <c r="F54" s="10">
        <v>5800</v>
      </c>
      <c r="G54" s="10">
        <f t="shared" si="1"/>
        <v>69600</v>
      </c>
    </row>
    <row r="55" spans="1:7" ht="17" thickBot="1" x14ac:dyDescent="0.25">
      <c r="A55" s="9" t="s">
        <v>74</v>
      </c>
      <c r="B55" s="75"/>
      <c r="C55" s="9" t="s">
        <v>36</v>
      </c>
      <c r="D55" s="9" t="s">
        <v>2214</v>
      </c>
      <c r="E55" s="9">
        <v>12</v>
      </c>
      <c r="F55" s="10">
        <v>1102</v>
      </c>
      <c r="G55" s="10">
        <f t="shared" si="1"/>
        <v>13224</v>
      </c>
    </row>
    <row r="56" spans="1:7" ht="17" thickBot="1" x14ac:dyDescent="0.25">
      <c r="A56" s="9" t="s">
        <v>47</v>
      </c>
      <c r="B56" s="75"/>
      <c r="C56" s="9" t="s">
        <v>36</v>
      </c>
      <c r="D56" s="9" t="s">
        <v>484</v>
      </c>
      <c r="E56" s="9">
        <v>6</v>
      </c>
      <c r="F56" s="10">
        <v>4640</v>
      </c>
      <c r="G56" s="10">
        <f t="shared" si="1"/>
        <v>27840</v>
      </c>
    </row>
    <row r="57" spans="1:7" ht="17" thickBot="1" x14ac:dyDescent="0.25">
      <c r="A57" s="9" t="s">
        <v>568</v>
      </c>
      <c r="B57" s="75"/>
      <c r="C57" s="9" t="s">
        <v>36</v>
      </c>
      <c r="D57" s="9" t="s">
        <v>2215</v>
      </c>
      <c r="E57" s="9">
        <v>6</v>
      </c>
      <c r="F57" s="10">
        <v>7772</v>
      </c>
      <c r="G57" s="10">
        <f t="shared" si="1"/>
        <v>46632</v>
      </c>
    </row>
    <row r="58" spans="1:7" ht="17" thickBot="1" x14ac:dyDescent="0.25">
      <c r="A58" s="9" t="s">
        <v>47</v>
      </c>
      <c r="B58" s="75"/>
      <c r="C58" s="9" t="s">
        <v>36</v>
      </c>
      <c r="D58" s="9" t="s">
        <v>2216</v>
      </c>
      <c r="E58" s="9">
        <v>6</v>
      </c>
      <c r="F58" s="10">
        <v>7980.8</v>
      </c>
      <c r="G58" s="10">
        <f t="shared" si="1"/>
        <v>47884.800000000003</v>
      </c>
    </row>
    <row r="59" spans="1:7" ht="17" thickBot="1" x14ac:dyDescent="0.25">
      <c r="A59" s="9" t="s">
        <v>159</v>
      </c>
      <c r="B59" s="75"/>
      <c r="C59" s="9" t="s">
        <v>36</v>
      </c>
      <c r="D59" s="9" t="s">
        <v>2217</v>
      </c>
      <c r="E59" s="9">
        <v>4</v>
      </c>
      <c r="F59" s="10">
        <v>12064</v>
      </c>
      <c r="G59" s="10">
        <f t="shared" si="1"/>
        <v>48256</v>
      </c>
    </row>
    <row r="60" spans="1:7" ht="17" thickBot="1" x14ac:dyDescent="0.25">
      <c r="A60" s="9" t="s">
        <v>334</v>
      </c>
      <c r="B60" s="75"/>
      <c r="C60" s="9" t="s">
        <v>36</v>
      </c>
      <c r="D60" s="9" t="s">
        <v>2218</v>
      </c>
      <c r="E60" s="9">
        <v>2</v>
      </c>
      <c r="F60" s="10">
        <v>7192</v>
      </c>
      <c r="G60" s="10">
        <f t="shared" si="1"/>
        <v>14384</v>
      </c>
    </row>
    <row r="61" spans="1:7" ht="17" thickBot="1" x14ac:dyDescent="0.25">
      <c r="A61" s="255"/>
      <c r="C61" s="255"/>
      <c r="D61" s="255"/>
      <c r="E61" s="255"/>
      <c r="F61" s="264"/>
      <c r="G61" s="12">
        <f>SUM(G44:G60)</f>
        <v>1403052.48</v>
      </c>
    </row>
    <row r="62" spans="1:7" ht="22" thickBot="1" x14ac:dyDescent="0.25">
      <c r="A62" s="300" t="s">
        <v>2220</v>
      </c>
    </row>
    <row r="63" spans="1:7" ht="17" thickBot="1" x14ac:dyDescent="0.25">
      <c r="A63" s="9" t="s">
        <v>133</v>
      </c>
      <c r="B63" s="75"/>
      <c r="C63" s="9" t="s">
        <v>36</v>
      </c>
      <c r="D63" s="9" t="s">
        <v>2221</v>
      </c>
      <c r="E63" s="9">
        <v>18</v>
      </c>
      <c r="F63" s="10">
        <v>4060</v>
      </c>
      <c r="G63" s="10">
        <f>F63*E63</f>
        <v>73080</v>
      </c>
    </row>
    <row r="64" spans="1:7" ht="17" thickBot="1" x14ac:dyDescent="0.25">
      <c r="A64" s="9" t="s">
        <v>47</v>
      </c>
      <c r="B64" s="75"/>
      <c r="C64" s="9" t="s">
        <v>36</v>
      </c>
      <c r="D64" s="9" t="s">
        <v>1388</v>
      </c>
      <c r="E64" s="9">
        <v>6</v>
      </c>
      <c r="F64" s="10">
        <v>812</v>
      </c>
      <c r="G64" s="10">
        <f>F64*E64</f>
        <v>4872</v>
      </c>
    </row>
    <row r="65" spans="1:16" ht="17" thickBot="1" x14ac:dyDescent="0.25">
      <c r="A65" s="255"/>
      <c r="C65" s="255"/>
      <c r="D65" s="255"/>
      <c r="E65" s="255"/>
      <c r="F65" s="264"/>
      <c r="G65" s="12">
        <f>G64+G63</f>
        <v>77952</v>
      </c>
    </row>
    <row r="79" spans="1:16" ht="20" thickBot="1" x14ac:dyDescent="0.25">
      <c r="A79" s="6" t="s">
        <v>415</v>
      </c>
      <c r="B79" s="82"/>
      <c r="C79" s="2" t="s">
        <v>389</v>
      </c>
      <c r="D79" s="2" t="s">
        <v>390</v>
      </c>
      <c r="K79" t="s">
        <v>2043</v>
      </c>
      <c r="L79" s="36">
        <v>46164</v>
      </c>
      <c r="N79" t="s">
        <v>2044</v>
      </c>
    </row>
    <row r="80" spans="1:16" ht="18" thickBot="1" x14ac:dyDescent="0.25">
      <c r="A80" s="8" t="s">
        <v>47</v>
      </c>
      <c r="B80" s="75" t="s">
        <v>876</v>
      </c>
      <c r="C80" s="9" t="s">
        <v>36</v>
      </c>
      <c r="D80" s="9" t="s">
        <v>116</v>
      </c>
      <c r="E80" s="9">
        <v>5</v>
      </c>
      <c r="F80" s="10">
        <v>17516</v>
      </c>
      <c r="G80" s="10">
        <f>E80*F80</f>
        <v>87580</v>
      </c>
      <c r="H80" s="39"/>
      <c r="I80" s="24">
        <v>17516</v>
      </c>
      <c r="J80" s="42">
        <f>H80*I80</f>
        <v>0</v>
      </c>
      <c r="K80" s="251"/>
      <c r="L80" s="252">
        <v>17516</v>
      </c>
      <c r="M80" s="252">
        <f>K80*L80</f>
        <v>0</v>
      </c>
      <c r="N80" s="23"/>
      <c r="O80" s="24">
        <v>17516</v>
      </c>
      <c r="P80" s="24">
        <f>N80*O80</f>
        <v>0</v>
      </c>
    </row>
    <row r="81" spans="1:16" ht="18" thickBot="1" x14ac:dyDescent="0.25">
      <c r="A81" s="8" t="s">
        <v>51</v>
      </c>
      <c r="B81" s="75" t="s">
        <v>851</v>
      </c>
      <c r="C81" s="9" t="s">
        <v>36</v>
      </c>
      <c r="D81" s="9" t="s">
        <v>110</v>
      </c>
      <c r="E81" s="9">
        <v>120</v>
      </c>
      <c r="F81" s="10">
        <v>5452</v>
      </c>
      <c r="G81" s="10">
        <f t="shared" ref="G81:G120" si="2">E81*F81</f>
        <v>654240</v>
      </c>
      <c r="H81" s="39">
        <v>2</v>
      </c>
      <c r="I81" s="24">
        <v>5452</v>
      </c>
      <c r="J81" s="42">
        <f t="shared" ref="J81:J120" si="3">H81*I81</f>
        <v>10904</v>
      </c>
      <c r="K81" s="251"/>
      <c r="L81" s="252">
        <v>5452</v>
      </c>
      <c r="M81" s="252">
        <f t="shared" ref="M81:M120" si="4">K81*L81</f>
        <v>0</v>
      </c>
      <c r="N81" s="23">
        <v>18</v>
      </c>
      <c r="O81" s="24">
        <v>5452</v>
      </c>
      <c r="P81" s="24">
        <f t="shared" ref="P81:P120" si="5">N81*O81</f>
        <v>98136</v>
      </c>
    </row>
    <row r="82" spans="1:16" ht="18" thickBot="1" x14ac:dyDescent="0.25">
      <c r="A82" s="8" t="s">
        <v>155</v>
      </c>
      <c r="B82" s="75" t="s">
        <v>876</v>
      </c>
      <c r="C82" s="9" t="s">
        <v>36</v>
      </c>
      <c r="D82" s="9" t="s">
        <v>39</v>
      </c>
      <c r="E82" s="9">
        <v>10</v>
      </c>
      <c r="F82" s="10">
        <v>13108</v>
      </c>
      <c r="G82" s="10">
        <f t="shared" si="2"/>
        <v>131080</v>
      </c>
      <c r="H82" s="39">
        <v>2</v>
      </c>
      <c r="I82" s="24">
        <v>13108</v>
      </c>
      <c r="J82" s="42">
        <f t="shared" si="3"/>
        <v>26216</v>
      </c>
      <c r="K82" s="251"/>
      <c r="L82" s="252">
        <v>13108</v>
      </c>
      <c r="M82" s="252">
        <f t="shared" si="4"/>
        <v>0</v>
      </c>
      <c r="N82" s="23"/>
      <c r="O82" s="24">
        <v>13108</v>
      </c>
      <c r="P82" s="24">
        <f t="shared" si="5"/>
        <v>0</v>
      </c>
    </row>
    <row r="83" spans="1:16" ht="18" thickBot="1" x14ac:dyDescent="0.25">
      <c r="A83" s="8" t="s">
        <v>47</v>
      </c>
      <c r="B83" s="75" t="s">
        <v>913</v>
      </c>
      <c r="C83" s="9" t="s">
        <v>36</v>
      </c>
      <c r="D83" s="9" t="s">
        <v>391</v>
      </c>
      <c r="E83" s="9">
        <v>15</v>
      </c>
      <c r="F83" s="10">
        <v>17400</v>
      </c>
      <c r="G83" s="10">
        <f t="shared" si="2"/>
        <v>261000</v>
      </c>
      <c r="H83" s="39"/>
      <c r="I83" s="24">
        <v>17400</v>
      </c>
      <c r="J83" s="42">
        <f t="shared" si="3"/>
        <v>0</v>
      </c>
      <c r="K83" s="251">
        <v>4</v>
      </c>
      <c r="L83" s="252">
        <v>17400</v>
      </c>
      <c r="M83" s="252">
        <f t="shared" si="4"/>
        <v>69600</v>
      </c>
      <c r="N83" s="23">
        <v>4</v>
      </c>
      <c r="O83" s="24">
        <v>17400</v>
      </c>
      <c r="P83" s="24">
        <f t="shared" si="5"/>
        <v>69600</v>
      </c>
    </row>
    <row r="84" spans="1:16" ht="18" thickBot="1" x14ac:dyDescent="0.25">
      <c r="A84" s="8" t="s">
        <v>344</v>
      </c>
      <c r="B84" s="75" t="s">
        <v>2051</v>
      </c>
      <c r="C84" s="9" t="s">
        <v>36</v>
      </c>
      <c r="D84" s="9" t="s">
        <v>125</v>
      </c>
      <c r="E84" s="9">
        <v>60</v>
      </c>
      <c r="F84" s="10">
        <v>7772</v>
      </c>
      <c r="G84" s="10">
        <f t="shared" si="2"/>
        <v>466320</v>
      </c>
      <c r="H84" s="39"/>
      <c r="I84" s="24">
        <v>7772</v>
      </c>
      <c r="J84" s="42">
        <f t="shared" si="3"/>
        <v>0</v>
      </c>
      <c r="K84" s="251"/>
      <c r="L84" s="252">
        <v>7772</v>
      </c>
      <c r="M84" s="252">
        <f t="shared" si="4"/>
        <v>0</v>
      </c>
      <c r="N84" s="23"/>
      <c r="O84" s="24">
        <v>7772</v>
      </c>
      <c r="P84" s="24">
        <f t="shared" si="5"/>
        <v>0</v>
      </c>
    </row>
    <row r="85" spans="1:16" ht="18" thickBot="1" x14ac:dyDescent="0.25">
      <c r="A85" s="8" t="s">
        <v>60</v>
      </c>
      <c r="B85" s="75" t="s">
        <v>849</v>
      </c>
      <c r="C85" s="9" t="s">
        <v>36</v>
      </c>
      <c r="D85" s="9" t="s">
        <v>122</v>
      </c>
      <c r="E85" s="9">
        <v>30</v>
      </c>
      <c r="F85" s="10">
        <v>4756</v>
      </c>
      <c r="G85" s="10">
        <f t="shared" si="2"/>
        <v>142680</v>
      </c>
      <c r="H85" s="39">
        <v>4</v>
      </c>
      <c r="I85" s="24">
        <v>4756</v>
      </c>
      <c r="J85" s="42">
        <f t="shared" si="3"/>
        <v>19024</v>
      </c>
      <c r="K85" s="251">
        <v>26</v>
      </c>
      <c r="L85" s="252">
        <v>4756</v>
      </c>
      <c r="M85" s="252">
        <f t="shared" si="4"/>
        <v>123656</v>
      </c>
      <c r="N85" s="23"/>
      <c r="O85" s="24">
        <v>4756</v>
      </c>
      <c r="P85" s="24">
        <f t="shared" si="5"/>
        <v>0</v>
      </c>
    </row>
    <row r="86" spans="1:16" ht="18" thickBot="1" x14ac:dyDescent="0.25">
      <c r="A86" s="8" t="s">
        <v>341</v>
      </c>
      <c r="B86" s="75" t="s">
        <v>831</v>
      </c>
      <c r="C86" s="9" t="s">
        <v>36</v>
      </c>
      <c r="D86" s="9" t="s">
        <v>119</v>
      </c>
      <c r="E86" s="9">
        <v>15</v>
      </c>
      <c r="F86" s="10">
        <v>4872</v>
      </c>
      <c r="G86" s="10">
        <f t="shared" si="2"/>
        <v>73080</v>
      </c>
      <c r="H86" s="39">
        <v>4</v>
      </c>
      <c r="I86" s="24">
        <v>4872</v>
      </c>
      <c r="J86" s="42">
        <f t="shared" si="3"/>
        <v>19488</v>
      </c>
      <c r="K86" s="251">
        <v>3</v>
      </c>
      <c r="L86" s="252">
        <v>4872</v>
      </c>
      <c r="M86" s="252">
        <f t="shared" si="4"/>
        <v>14616</v>
      </c>
      <c r="N86" s="23">
        <v>8</v>
      </c>
      <c r="O86" s="24">
        <v>4872</v>
      </c>
      <c r="P86" s="24">
        <f t="shared" si="5"/>
        <v>38976</v>
      </c>
    </row>
    <row r="87" spans="1:16" ht="18" thickBot="1" x14ac:dyDescent="0.25">
      <c r="A87" s="8" t="s">
        <v>115</v>
      </c>
      <c r="B87" s="75" t="s">
        <v>885</v>
      </c>
      <c r="C87" s="9" t="s">
        <v>36</v>
      </c>
      <c r="D87" s="9" t="s">
        <v>53</v>
      </c>
      <c r="E87" s="9">
        <v>68</v>
      </c>
      <c r="F87" s="10">
        <v>9222</v>
      </c>
      <c r="G87" s="10">
        <f t="shared" si="2"/>
        <v>627096</v>
      </c>
      <c r="H87" s="39">
        <v>11</v>
      </c>
      <c r="I87" s="24">
        <v>9222</v>
      </c>
      <c r="J87" s="42">
        <f t="shared" si="3"/>
        <v>101442</v>
      </c>
      <c r="K87" s="251"/>
      <c r="L87" s="252">
        <v>9222</v>
      </c>
      <c r="M87" s="252">
        <f t="shared" si="4"/>
        <v>0</v>
      </c>
      <c r="N87" s="23"/>
      <c r="O87" s="24">
        <v>9222</v>
      </c>
      <c r="P87" s="24">
        <f t="shared" si="5"/>
        <v>0</v>
      </c>
    </row>
    <row r="88" spans="1:16" ht="18" thickBot="1" x14ac:dyDescent="0.25">
      <c r="A88" s="8" t="s">
        <v>392</v>
      </c>
      <c r="B88" s="75" t="s">
        <v>845</v>
      </c>
      <c r="C88" s="9" t="s">
        <v>36</v>
      </c>
      <c r="D88" s="55" t="s">
        <v>205</v>
      </c>
      <c r="E88" s="9">
        <v>40</v>
      </c>
      <c r="F88" s="10">
        <v>8468</v>
      </c>
      <c r="G88" s="10">
        <f t="shared" si="2"/>
        <v>338720</v>
      </c>
      <c r="H88" s="39"/>
      <c r="I88" s="24">
        <v>8468</v>
      </c>
      <c r="J88" s="42">
        <f t="shared" si="3"/>
        <v>0</v>
      </c>
      <c r="K88" s="251">
        <v>6</v>
      </c>
      <c r="L88" s="252">
        <v>8468</v>
      </c>
      <c r="M88" s="252">
        <f t="shared" si="4"/>
        <v>50808</v>
      </c>
      <c r="N88" s="23">
        <v>6</v>
      </c>
      <c r="O88" s="24">
        <v>8468</v>
      </c>
      <c r="P88" s="24">
        <f t="shared" si="5"/>
        <v>50808</v>
      </c>
    </row>
    <row r="89" spans="1:16" ht="18" thickBot="1" x14ac:dyDescent="0.25">
      <c r="A89" s="8" t="s">
        <v>76</v>
      </c>
      <c r="B89" s="75" t="s">
        <v>1346</v>
      </c>
      <c r="C89" s="9" t="s">
        <v>4</v>
      </c>
      <c r="D89" s="9" t="s">
        <v>393</v>
      </c>
      <c r="E89" s="9">
        <v>60</v>
      </c>
      <c r="F89" s="10">
        <v>4872</v>
      </c>
      <c r="G89" s="10">
        <f t="shared" si="2"/>
        <v>292320</v>
      </c>
      <c r="H89" s="39"/>
      <c r="I89" s="24">
        <v>4872</v>
      </c>
      <c r="J89" s="42">
        <f t="shared" si="3"/>
        <v>0</v>
      </c>
      <c r="K89" s="251">
        <v>24</v>
      </c>
      <c r="L89" s="252">
        <v>4872</v>
      </c>
      <c r="M89" s="252">
        <f t="shared" si="4"/>
        <v>116928</v>
      </c>
      <c r="N89" s="23">
        <v>12</v>
      </c>
      <c r="O89" s="24">
        <v>4872</v>
      </c>
      <c r="P89" s="24">
        <f t="shared" si="5"/>
        <v>58464</v>
      </c>
    </row>
    <row r="90" spans="1:16" ht="18" thickBot="1" x14ac:dyDescent="0.25">
      <c r="A90" s="8" t="s">
        <v>47</v>
      </c>
      <c r="B90" s="75" t="s">
        <v>896</v>
      </c>
      <c r="C90" s="9" t="s">
        <v>36</v>
      </c>
      <c r="D90" s="9" t="s">
        <v>52</v>
      </c>
      <c r="E90" s="9">
        <v>80</v>
      </c>
      <c r="F90" s="10">
        <v>11356.4</v>
      </c>
      <c r="G90" s="10">
        <f t="shared" si="2"/>
        <v>908512</v>
      </c>
      <c r="H90" s="39">
        <v>15</v>
      </c>
      <c r="I90" s="24">
        <v>11356.4</v>
      </c>
      <c r="J90" s="42">
        <f t="shared" si="3"/>
        <v>170346</v>
      </c>
      <c r="K90" s="251">
        <v>12</v>
      </c>
      <c r="L90" s="252">
        <v>11356.4</v>
      </c>
      <c r="M90" s="252">
        <f t="shared" si="4"/>
        <v>136276.79999999999</v>
      </c>
      <c r="N90" s="23">
        <v>10</v>
      </c>
      <c r="O90" s="24">
        <v>11356.4</v>
      </c>
      <c r="P90" s="24">
        <f t="shared" si="5"/>
        <v>113564</v>
      </c>
    </row>
    <row r="91" spans="1:16" ht="18" thickBot="1" x14ac:dyDescent="0.25">
      <c r="A91" s="8" t="s">
        <v>334</v>
      </c>
      <c r="B91" s="75" t="s">
        <v>1344</v>
      </c>
      <c r="C91" s="9" t="s">
        <v>36</v>
      </c>
      <c r="D91" s="9" t="s">
        <v>394</v>
      </c>
      <c r="E91" s="9">
        <v>10</v>
      </c>
      <c r="F91" s="10">
        <v>14152</v>
      </c>
      <c r="G91" s="10">
        <f t="shared" si="2"/>
        <v>141520</v>
      </c>
      <c r="H91" s="39">
        <v>4</v>
      </c>
      <c r="I91" s="24">
        <v>14152</v>
      </c>
      <c r="J91" s="42">
        <f t="shared" si="3"/>
        <v>56608</v>
      </c>
      <c r="K91" s="251"/>
      <c r="L91" s="252">
        <v>14152</v>
      </c>
      <c r="M91" s="252">
        <f t="shared" si="4"/>
        <v>0</v>
      </c>
      <c r="N91" s="23">
        <v>6</v>
      </c>
      <c r="O91" s="24">
        <v>14152</v>
      </c>
      <c r="P91" s="24">
        <f t="shared" si="5"/>
        <v>84912</v>
      </c>
    </row>
    <row r="92" spans="1:16" ht="18" thickBot="1" x14ac:dyDescent="0.25">
      <c r="A92" s="8" t="s">
        <v>63</v>
      </c>
      <c r="B92" s="75" t="s">
        <v>1337</v>
      </c>
      <c r="C92" s="9" t="s">
        <v>36</v>
      </c>
      <c r="D92" s="9" t="s">
        <v>395</v>
      </c>
      <c r="E92" s="9">
        <v>40</v>
      </c>
      <c r="F92" s="10">
        <v>11356.4</v>
      </c>
      <c r="G92" s="10">
        <f t="shared" si="2"/>
        <v>454256</v>
      </c>
      <c r="H92" s="39"/>
      <c r="I92" s="24">
        <v>11356.4</v>
      </c>
      <c r="J92" s="42">
        <f t="shared" si="3"/>
        <v>0</v>
      </c>
      <c r="K92" s="251"/>
      <c r="L92" s="252">
        <v>11356.4</v>
      </c>
      <c r="M92" s="252">
        <f t="shared" si="4"/>
        <v>0</v>
      </c>
      <c r="N92" s="23">
        <v>12</v>
      </c>
      <c r="O92" s="24">
        <v>11356.4</v>
      </c>
      <c r="P92" s="24">
        <f t="shared" si="5"/>
        <v>136276.79999999999</v>
      </c>
    </row>
    <row r="93" spans="1:16" ht="18" thickBot="1" x14ac:dyDescent="0.25">
      <c r="A93" s="8" t="s">
        <v>396</v>
      </c>
      <c r="B93" s="75" t="s">
        <v>878</v>
      </c>
      <c r="C93" s="9" t="s">
        <v>36</v>
      </c>
      <c r="D93" s="9" t="s">
        <v>244</v>
      </c>
      <c r="E93" s="9">
        <v>2</v>
      </c>
      <c r="F93" s="10">
        <v>17400</v>
      </c>
      <c r="G93" s="10">
        <f t="shared" si="2"/>
        <v>34800</v>
      </c>
      <c r="H93" s="39"/>
      <c r="I93" s="24">
        <v>17400</v>
      </c>
      <c r="J93" s="42">
        <f t="shared" si="3"/>
        <v>0</v>
      </c>
      <c r="K93" s="251"/>
      <c r="L93" s="252">
        <v>17400</v>
      </c>
      <c r="M93" s="252">
        <f t="shared" si="4"/>
        <v>0</v>
      </c>
      <c r="N93" s="23"/>
      <c r="O93" s="24">
        <v>17400</v>
      </c>
      <c r="P93" s="24">
        <f t="shared" si="5"/>
        <v>0</v>
      </c>
    </row>
    <row r="94" spans="1:16" ht="18" thickBot="1" x14ac:dyDescent="0.25">
      <c r="A94" s="8" t="s">
        <v>140</v>
      </c>
      <c r="B94" s="75" t="s">
        <v>953</v>
      </c>
      <c r="C94" s="9" t="s">
        <v>36</v>
      </c>
      <c r="D94" s="9" t="s">
        <v>397</v>
      </c>
      <c r="E94" s="9">
        <v>10</v>
      </c>
      <c r="F94" s="10">
        <v>9744</v>
      </c>
      <c r="G94" s="10">
        <f t="shared" si="2"/>
        <v>97440</v>
      </c>
      <c r="H94" s="39">
        <v>4</v>
      </c>
      <c r="I94" s="24">
        <v>9744</v>
      </c>
      <c r="J94" s="42">
        <f t="shared" si="3"/>
        <v>38976</v>
      </c>
      <c r="K94" s="251"/>
      <c r="L94" s="252">
        <v>9744</v>
      </c>
      <c r="M94" s="252">
        <f t="shared" si="4"/>
        <v>0</v>
      </c>
      <c r="N94" s="23">
        <v>6</v>
      </c>
      <c r="O94" s="24">
        <v>9744</v>
      </c>
      <c r="P94" s="24">
        <f t="shared" si="5"/>
        <v>58464</v>
      </c>
    </row>
    <row r="95" spans="1:16" ht="18" thickBot="1" x14ac:dyDescent="0.25">
      <c r="A95" s="8" t="s">
        <v>140</v>
      </c>
      <c r="B95" s="75" t="s">
        <v>970</v>
      </c>
      <c r="C95" s="9" t="s">
        <v>36</v>
      </c>
      <c r="D95" s="9" t="s">
        <v>398</v>
      </c>
      <c r="E95" s="9">
        <v>10</v>
      </c>
      <c r="F95" s="10">
        <v>10440</v>
      </c>
      <c r="G95" s="10">
        <f t="shared" si="2"/>
        <v>104400</v>
      </c>
      <c r="H95" s="39">
        <v>4</v>
      </c>
      <c r="I95" s="24">
        <v>10440</v>
      </c>
      <c r="J95" s="42">
        <f t="shared" si="3"/>
        <v>41760</v>
      </c>
      <c r="K95" s="251"/>
      <c r="L95" s="252">
        <v>10440</v>
      </c>
      <c r="M95" s="252">
        <f t="shared" si="4"/>
        <v>0</v>
      </c>
      <c r="N95" s="23"/>
      <c r="O95" s="24">
        <v>10440</v>
      </c>
      <c r="P95" s="24">
        <f t="shared" si="5"/>
        <v>0</v>
      </c>
    </row>
    <row r="96" spans="1:16" ht="18" thickBot="1" x14ac:dyDescent="0.25">
      <c r="A96" s="8" t="s">
        <v>76</v>
      </c>
      <c r="B96" s="75" t="s">
        <v>892</v>
      </c>
      <c r="C96" s="9" t="s">
        <v>4</v>
      </c>
      <c r="D96" s="9" t="s">
        <v>80</v>
      </c>
      <c r="E96" s="9">
        <v>20</v>
      </c>
      <c r="F96" s="10">
        <v>4872</v>
      </c>
      <c r="G96" s="10">
        <f t="shared" si="2"/>
        <v>97440</v>
      </c>
      <c r="H96" s="39"/>
      <c r="I96" s="24">
        <v>4872</v>
      </c>
      <c r="J96" s="42">
        <f t="shared" si="3"/>
        <v>0</v>
      </c>
      <c r="K96" s="251">
        <v>10</v>
      </c>
      <c r="L96" s="252">
        <v>4872</v>
      </c>
      <c r="M96" s="252">
        <f t="shared" si="4"/>
        <v>48720</v>
      </c>
      <c r="N96" s="23">
        <v>10</v>
      </c>
      <c r="O96" s="24">
        <v>4872</v>
      </c>
      <c r="P96" s="24">
        <f t="shared" si="5"/>
        <v>48720</v>
      </c>
    </row>
    <row r="97" spans="1:16" ht="18" thickBot="1" x14ac:dyDescent="0.25">
      <c r="A97" s="8" t="s">
        <v>63</v>
      </c>
      <c r="B97" s="75" t="s">
        <v>910</v>
      </c>
      <c r="C97" s="9" t="s">
        <v>36</v>
      </c>
      <c r="D97" s="9" t="s">
        <v>165</v>
      </c>
      <c r="E97" s="9">
        <v>10</v>
      </c>
      <c r="F97" s="10">
        <v>17516</v>
      </c>
      <c r="G97" s="10">
        <f t="shared" si="2"/>
        <v>175160</v>
      </c>
      <c r="H97" s="39">
        <v>1</v>
      </c>
      <c r="I97" s="24">
        <v>17516</v>
      </c>
      <c r="J97" s="42">
        <f t="shared" si="3"/>
        <v>17516</v>
      </c>
      <c r="K97" s="251"/>
      <c r="L97" s="252">
        <v>17516</v>
      </c>
      <c r="M97" s="252">
        <f t="shared" si="4"/>
        <v>0</v>
      </c>
      <c r="N97" s="23"/>
      <c r="O97" s="24">
        <v>17516</v>
      </c>
      <c r="P97" s="24">
        <f t="shared" si="5"/>
        <v>0</v>
      </c>
    </row>
    <row r="98" spans="1:16" ht="18" thickBot="1" x14ac:dyDescent="0.25">
      <c r="A98" s="8" t="s">
        <v>47</v>
      </c>
      <c r="B98" s="75" t="s">
        <v>1579</v>
      </c>
      <c r="C98" s="9" t="s">
        <v>36</v>
      </c>
      <c r="D98" s="9" t="s">
        <v>339</v>
      </c>
      <c r="E98" s="9">
        <v>40</v>
      </c>
      <c r="F98" s="10">
        <v>17516</v>
      </c>
      <c r="G98" s="10">
        <f t="shared" si="2"/>
        <v>700640</v>
      </c>
      <c r="H98" s="39"/>
      <c r="I98" s="24">
        <v>17516</v>
      </c>
      <c r="J98" s="42">
        <f t="shared" si="3"/>
        <v>0</v>
      </c>
      <c r="K98" s="251">
        <v>2</v>
      </c>
      <c r="L98" s="252">
        <v>17516</v>
      </c>
      <c r="M98" s="252">
        <f t="shared" si="4"/>
        <v>35032</v>
      </c>
      <c r="N98" s="23">
        <v>2</v>
      </c>
      <c r="O98" s="24">
        <v>17516</v>
      </c>
      <c r="P98" s="24">
        <f t="shared" si="5"/>
        <v>35032</v>
      </c>
    </row>
    <row r="99" spans="1:16" ht="18" thickBot="1" x14ac:dyDescent="0.25">
      <c r="A99" s="8" t="s">
        <v>399</v>
      </c>
      <c r="B99" s="75" t="s">
        <v>2049</v>
      </c>
      <c r="C99" s="9" t="s">
        <v>36</v>
      </c>
      <c r="D99" s="9" t="s">
        <v>400</v>
      </c>
      <c r="E99" s="9">
        <v>40</v>
      </c>
      <c r="F99" s="10">
        <v>8131.6</v>
      </c>
      <c r="G99" s="10">
        <f t="shared" si="2"/>
        <v>325264</v>
      </c>
      <c r="H99" s="39"/>
      <c r="I99" s="24">
        <v>8131.6</v>
      </c>
      <c r="J99" s="42">
        <f t="shared" si="3"/>
        <v>0</v>
      </c>
      <c r="K99" s="251">
        <v>12</v>
      </c>
      <c r="L99" s="252">
        <v>8131.6</v>
      </c>
      <c r="M99" s="252">
        <f t="shared" si="4"/>
        <v>97579.200000000012</v>
      </c>
      <c r="N99" s="23">
        <v>6</v>
      </c>
      <c r="O99" s="24">
        <v>8131.6</v>
      </c>
      <c r="P99" s="24">
        <f t="shared" si="5"/>
        <v>48789.600000000006</v>
      </c>
    </row>
    <row r="100" spans="1:16" ht="18" thickBot="1" x14ac:dyDescent="0.25">
      <c r="A100" s="8" t="s">
        <v>401</v>
      </c>
      <c r="B100" s="75" t="s">
        <v>840</v>
      </c>
      <c r="C100" s="9" t="s">
        <v>36</v>
      </c>
      <c r="D100" s="9" t="s">
        <v>402</v>
      </c>
      <c r="E100" s="9">
        <v>40</v>
      </c>
      <c r="F100" s="10">
        <v>2839.1</v>
      </c>
      <c r="G100" s="10">
        <f t="shared" si="2"/>
        <v>113564</v>
      </c>
      <c r="H100" s="39"/>
      <c r="I100" s="24">
        <v>2839.1</v>
      </c>
      <c r="J100" s="42">
        <f t="shared" si="3"/>
        <v>0</v>
      </c>
      <c r="K100" s="251"/>
      <c r="L100" s="252">
        <v>2839.1</v>
      </c>
      <c r="M100" s="252">
        <f t="shared" si="4"/>
        <v>0</v>
      </c>
      <c r="N100" s="23"/>
      <c r="O100" s="24">
        <v>2839.1</v>
      </c>
      <c r="P100" s="24">
        <f t="shared" si="5"/>
        <v>0</v>
      </c>
    </row>
    <row r="101" spans="1:16" ht="18" thickBot="1" x14ac:dyDescent="0.25">
      <c r="A101" s="8" t="s">
        <v>403</v>
      </c>
      <c r="B101" s="75" t="s">
        <v>841</v>
      </c>
      <c r="C101" s="9" t="s">
        <v>36</v>
      </c>
      <c r="D101" s="9" t="s">
        <v>295</v>
      </c>
      <c r="E101" s="9">
        <v>5</v>
      </c>
      <c r="F101" s="10">
        <v>17284</v>
      </c>
      <c r="G101" s="10">
        <f t="shared" si="2"/>
        <v>86420</v>
      </c>
      <c r="H101" s="39"/>
      <c r="I101" s="24">
        <v>17284</v>
      </c>
      <c r="J101" s="42">
        <f t="shared" si="3"/>
        <v>0</v>
      </c>
      <c r="K101" s="251"/>
      <c r="L101" s="252">
        <v>17284</v>
      </c>
      <c r="M101" s="252">
        <f t="shared" si="4"/>
        <v>0</v>
      </c>
      <c r="N101" s="23">
        <v>5</v>
      </c>
      <c r="O101" s="24">
        <v>17284</v>
      </c>
      <c r="P101" s="24">
        <f t="shared" si="5"/>
        <v>86420</v>
      </c>
    </row>
    <row r="102" spans="1:16" ht="18" thickBot="1" x14ac:dyDescent="0.25">
      <c r="A102" s="8" t="s">
        <v>47</v>
      </c>
      <c r="B102" s="75" t="s">
        <v>841</v>
      </c>
      <c r="C102" s="9" t="s">
        <v>36</v>
      </c>
      <c r="D102" s="9" t="s">
        <v>295</v>
      </c>
      <c r="E102" s="9">
        <v>40</v>
      </c>
      <c r="F102" s="10">
        <v>11600</v>
      </c>
      <c r="G102" s="10">
        <f t="shared" si="2"/>
        <v>464000</v>
      </c>
      <c r="H102" s="39"/>
      <c r="I102" s="24">
        <v>11600</v>
      </c>
      <c r="J102" s="42">
        <f t="shared" si="3"/>
        <v>0</v>
      </c>
      <c r="K102" s="251">
        <v>27</v>
      </c>
      <c r="L102" s="252">
        <v>11600</v>
      </c>
      <c r="M102" s="252">
        <f t="shared" si="4"/>
        <v>313200</v>
      </c>
      <c r="N102" s="23"/>
      <c r="O102" s="24">
        <v>11600</v>
      </c>
      <c r="P102" s="24">
        <f t="shared" si="5"/>
        <v>0</v>
      </c>
    </row>
    <row r="103" spans="1:16" ht="18" thickBot="1" x14ac:dyDescent="0.25">
      <c r="A103" s="8" t="s">
        <v>48</v>
      </c>
      <c r="B103" s="75" t="s">
        <v>2037</v>
      </c>
      <c r="C103" s="9" t="s">
        <v>36</v>
      </c>
      <c r="D103" s="9" t="s">
        <v>404</v>
      </c>
      <c r="E103" s="9">
        <v>70</v>
      </c>
      <c r="F103" s="10">
        <v>12412</v>
      </c>
      <c r="G103" s="10">
        <f t="shared" si="2"/>
        <v>868840</v>
      </c>
      <c r="H103" s="39">
        <v>3</v>
      </c>
      <c r="I103" s="24">
        <v>12412</v>
      </c>
      <c r="J103" s="42">
        <f t="shared" si="3"/>
        <v>37236</v>
      </c>
      <c r="K103" s="251">
        <v>6</v>
      </c>
      <c r="L103" s="252">
        <v>12412</v>
      </c>
      <c r="M103" s="252">
        <f t="shared" si="4"/>
        <v>74472</v>
      </c>
      <c r="N103" s="23">
        <v>10</v>
      </c>
      <c r="O103" s="24">
        <v>12412</v>
      </c>
      <c r="P103" s="24">
        <f t="shared" si="5"/>
        <v>124120</v>
      </c>
    </row>
    <row r="104" spans="1:16" ht="18" thickBot="1" x14ac:dyDescent="0.25">
      <c r="A104" s="8" t="s">
        <v>405</v>
      </c>
      <c r="B104" s="75" t="s">
        <v>835</v>
      </c>
      <c r="C104" s="9" t="s">
        <v>36</v>
      </c>
      <c r="D104" s="9" t="s">
        <v>406</v>
      </c>
      <c r="E104" s="9">
        <v>40</v>
      </c>
      <c r="F104" s="10">
        <v>4176</v>
      </c>
      <c r="G104" s="10">
        <f t="shared" si="2"/>
        <v>167040</v>
      </c>
      <c r="H104" s="39">
        <v>5</v>
      </c>
      <c r="I104" s="24">
        <v>4176</v>
      </c>
      <c r="J104" s="42">
        <f t="shared" si="3"/>
        <v>20880</v>
      </c>
      <c r="K104" s="251"/>
      <c r="L104" s="252">
        <v>4176</v>
      </c>
      <c r="M104" s="252">
        <f t="shared" si="4"/>
        <v>0</v>
      </c>
      <c r="N104" s="23">
        <v>20</v>
      </c>
      <c r="O104" s="24">
        <v>4176</v>
      </c>
      <c r="P104" s="24">
        <f t="shared" si="5"/>
        <v>83520</v>
      </c>
    </row>
    <row r="105" spans="1:16" ht="18" thickBot="1" x14ac:dyDescent="0.25">
      <c r="A105" s="8" t="s">
        <v>76</v>
      </c>
      <c r="B105" s="75" t="s">
        <v>1346</v>
      </c>
      <c r="C105" s="9" t="s">
        <v>4</v>
      </c>
      <c r="D105" s="9" t="s">
        <v>331</v>
      </c>
      <c r="E105" s="9">
        <v>60</v>
      </c>
      <c r="F105" s="10">
        <v>7656</v>
      </c>
      <c r="G105" s="10">
        <f t="shared" si="2"/>
        <v>459360</v>
      </c>
      <c r="H105" s="39"/>
      <c r="I105" s="24">
        <v>7656</v>
      </c>
      <c r="J105" s="42">
        <f t="shared" si="3"/>
        <v>0</v>
      </c>
      <c r="K105" s="251">
        <v>12</v>
      </c>
      <c r="L105" s="252">
        <v>7656</v>
      </c>
      <c r="M105" s="252">
        <f t="shared" si="4"/>
        <v>91872</v>
      </c>
      <c r="N105" s="23">
        <v>12</v>
      </c>
      <c r="O105" s="24">
        <v>7656</v>
      </c>
      <c r="P105" s="24">
        <f t="shared" si="5"/>
        <v>91872</v>
      </c>
    </row>
    <row r="106" spans="1:16" ht="18" thickBot="1" x14ac:dyDescent="0.25">
      <c r="A106" s="8" t="s">
        <v>155</v>
      </c>
      <c r="B106" s="75" t="s">
        <v>918</v>
      </c>
      <c r="C106" s="9" t="s">
        <v>36</v>
      </c>
      <c r="D106" s="9" t="s">
        <v>319</v>
      </c>
      <c r="E106" s="9">
        <v>15</v>
      </c>
      <c r="F106" s="10">
        <v>4756</v>
      </c>
      <c r="G106" s="10">
        <f t="shared" si="2"/>
        <v>71340</v>
      </c>
      <c r="H106" s="39"/>
      <c r="I106" s="24">
        <v>4756</v>
      </c>
      <c r="J106" s="42">
        <f t="shared" si="3"/>
        <v>0</v>
      </c>
      <c r="K106" s="251"/>
      <c r="L106" s="252">
        <v>4756</v>
      </c>
      <c r="M106" s="252">
        <f t="shared" si="4"/>
        <v>0</v>
      </c>
      <c r="N106" s="23">
        <v>6</v>
      </c>
      <c r="O106" s="24">
        <v>4756</v>
      </c>
      <c r="P106" s="24">
        <f t="shared" si="5"/>
        <v>28536</v>
      </c>
    </row>
    <row r="107" spans="1:16" ht="18" thickBot="1" x14ac:dyDescent="0.25">
      <c r="A107" s="8" t="s">
        <v>47</v>
      </c>
      <c r="B107" s="75" t="s">
        <v>2052</v>
      </c>
      <c r="C107" s="9" t="s">
        <v>36</v>
      </c>
      <c r="D107" s="9" t="s">
        <v>113</v>
      </c>
      <c r="E107" s="9">
        <v>5</v>
      </c>
      <c r="F107" s="10">
        <v>17516</v>
      </c>
      <c r="G107" s="10">
        <f t="shared" si="2"/>
        <v>87580</v>
      </c>
      <c r="H107" s="39"/>
      <c r="I107" s="24">
        <v>17516</v>
      </c>
      <c r="J107" s="42">
        <f t="shared" si="3"/>
        <v>0</v>
      </c>
      <c r="K107" s="251"/>
      <c r="L107" s="252">
        <v>17516</v>
      </c>
      <c r="M107" s="252">
        <f t="shared" si="4"/>
        <v>0</v>
      </c>
      <c r="N107" s="23"/>
      <c r="O107" s="24">
        <v>17516</v>
      </c>
      <c r="P107" s="24">
        <f t="shared" si="5"/>
        <v>0</v>
      </c>
    </row>
    <row r="108" spans="1:16" ht="18" thickBot="1" x14ac:dyDescent="0.25">
      <c r="A108" s="8" t="s">
        <v>47</v>
      </c>
      <c r="B108" s="75" t="s">
        <v>880</v>
      </c>
      <c r="C108" s="9" t="s">
        <v>36</v>
      </c>
      <c r="D108" s="9" t="s">
        <v>407</v>
      </c>
      <c r="E108" s="9">
        <v>5</v>
      </c>
      <c r="F108" s="10">
        <v>17516</v>
      </c>
      <c r="G108" s="10">
        <f t="shared" si="2"/>
        <v>87580</v>
      </c>
      <c r="H108" s="39"/>
      <c r="I108" s="24">
        <v>17516</v>
      </c>
      <c r="J108" s="42">
        <f t="shared" si="3"/>
        <v>0</v>
      </c>
      <c r="K108" s="251"/>
      <c r="L108" s="252">
        <v>17516</v>
      </c>
      <c r="M108" s="252">
        <f t="shared" si="4"/>
        <v>0</v>
      </c>
      <c r="N108" s="23"/>
      <c r="O108" s="24">
        <v>17516</v>
      </c>
      <c r="P108" s="24">
        <f t="shared" si="5"/>
        <v>0</v>
      </c>
    </row>
    <row r="109" spans="1:16" ht="18" thickBot="1" x14ac:dyDescent="0.25">
      <c r="A109" s="8" t="s">
        <v>140</v>
      </c>
      <c r="B109" s="75" t="s">
        <v>862</v>
      </c>
      <c r="C109" s="9" t="s">
        <v>36</v>
      </c>
      <c r="D109" s="9" t="s">
        <v>408</v>
      </c>
      <c r="E109" s="9">
        <v>40</v>
      </c>
      <c r="F109" s="10">
        <v>8584</v>
      </c>
      <c r="G109" s="10">
        <f t="shared" si="2"/>
        <v>343360</v>
      </c>
      <c r="H109" s="39">
        <v>6</v>
      </c>
      <c r="I109" s="24">
        <v>8584</v>
      </c>
      <c r="J109" s="42">
        <f t="shared" si="3"/>
        <v>51504</v>
      </c>
      <c r="K109" s="251"/>
      <c r="L109" s="252">
        <v>8584</v>
      </c>
      <c r="M109" s="252">
        <f t="shared" si="4"/>
        <v>0</v>
      </c>
      <c r="N109" s="23">
        <v>6</v>
      </c>
      <c r="O109" s="24">
        <v>8584</v>
      </c>
      <c r="P109" s="24">
        <f t="shared" si="5"/>
        <v>51504</v>
      </c>
    </row>
    <row r="110" spans="1:16" ht="18" thickBot="1" x14ac:dyDescent="0.25">
      <c r="A110" s="8" t="s">
        <v>140</v>
      </c>
      <c r="B110" s="75" t="s">
        <v>1958</v>
      </c>
      <c r="C110" s="9" t="s">
        <v>36</v>
      </c>
      <c r="D110" s="9" t="s">
        <v>409</v>
      </c>
      <c r="E110" s="9">
        <v>10</v>
      </c>
      <c r="F110" s="10">
        <v>10672</v>
      </c>
      <c r="G110" s="10">
        <f t="shared" si="2"/>
        <v>106720</v>
      </c>
      <c r="H110" s="39">
        <v>2</v>
      </c>
      <c r="I110" s="24">
        <v>10672</v>
      </c>
      <c r="J110" s="42">
        <f t="shared" si="3"/>
        <v>21344</v>
      </c>
      <c r="K110" s="251"/>
      <c r="L110" s="252">
        <v>10672</v>
      </c>
      <c r="M110" s="252">
        <f t="shared" si="4"/>
        <v>0</v>
      </c>
      <c r="N110" s="23">
        <v>8</v>
      </c>
      <c r="O110" s="24">
        <v>10672</v>
      </c>
      <c r="P110" s="24">
        <f t="shared" si="5"/>
        <v>85376</v>
      </c>
    </row>
    <row r="111" spans="1:16" ht="18" thickBot="1" x14ac:dyDescent="0.25">
      <c r="A111" s="8" t="s">
        <v>60</v>
      </c>
      <c r="B111" s="75" t="s">
        <v>1964</v>
      </c>
      <c r="C111" s="9" t="s">
        <v>36</v>
      </c>
      <c r="D111" s="9" t="s">
        <v>410</v>
      </c>
      <c r="E111" s="9">
        <v>140</v>
      </c>
      <c r="F111" s="10">
        <v>4848.8</v>
      </c>
      <c r="G111" s="10">
        <f t="shared" si="2"/>
        <v>678832</v>
      </c>
      <c r="H111" s="39">
        <v>1</v>
      </c>
      <c r="I111" s="24">
        <v>4848.8</v>
      </c>
      <c r="J111" s="42">
        <f t="shared" si="3"/>
        <v>4848.8</v>
      </c>
      <c r="K111" s="251"/>
      <c r="L111" s="252">
        <v>4848.8</v>
      </c>
      <c r="M111" s="252">
        <f t="shared" si="4"/>
        <v>0</v>
      </c>
      <c r="N111" s="23">
        <v>36</v>
      </c>
      <c r="O111" s="24">
        <v>4848.8</v>
      </c>
      <c r="P111" s="24">
        <f t="shared" si="5"/>
        <v>174556.80000000002</v>
      </c>
    </row>
    <row r="112" spans="1:16" ht="18" thickBot="1" x14ac:dyDescent="0.25">
      <c r="A112" s="8" t="s">
        <v>401</v>
      </c>
      <c r="B112" s="75" t="s">
        <v>2053</v>
      </c>
      <c r="C112" s="9" t="s">
        <v>36</v>
      </c>
      <c r="D112" s="9" t="s">
        <v>411</v>
      </c>
      <c r="E112" s="9">
        <v>40</v>
      </c>
      <c r="F112" s="10">
        <v>3161</v>
      </c>
      <c r="G112" s="10">
        <f t="shared" si="2"/>
        <v>126440</v>
      </c>
      <c r="H112" s="39">
        <v>10</v>
      </c>
      <c r="I112" s="24">
        <v>3161</v>
      </c>
      <c r="J112" s="42">
        <f t="shared" si="3"/>
        <v>31610</v>
      </c>
      <c r="K112" s="251"/>
      <c r="L112" s="252">
        <v>3161</v>
      </c>
      <c r="M112" s="252">
        <f t="shared" si="4"/>
        <v>0</v>
      </c>
      <c r="N112" s="23"/>
      <c r="O112" s="24">
        <v>3161</v>
      </c>
      <c r="P112" s="24">
        <f t="shared" si="5"/>
        <v>0</v>
      </c>
    </row>
    <row r="113" spans="1:16" ht="18" thickBot="1" x14ac:dyDescent="0.25">
      <c r="A113" s="8" t="s">
        <v>401</v>
      </c>
      <c r="B113" s="75" t="s">
        <v>883</v>
      </c>
      <c r="C113" s="9" t="s">
        <v>36</v>
      </c>
      <c r="D113" s="9" t="s">
        <v>169</v>
      </c>
      <c r="E113" s="9">
        <v>120</v>
      </c>
      <c r="F113" s="10">
        <v>11948</v>
      </c>
      <c r="G113" s="10">
        <f t="shared" si="2"/>
        <v>1433760</v>
      </c>
      <c r="H113" s="39"/>
      <c r="I113" s="24">
        <v>11948</v>
      </c>
      <c r="J113" s="42">
        <f t="shared" si="3"/>
        <v>0</v>
      </c>
      <c r="K113" s="251">
        <v>24</v>
      </c>
      <c r="L113" s="252">
        <v>11948</v>
      </c>
      <c r="M113" s="252">
        <f t="shared" si="4"/>
        <v>286752</v>
      </c>
      <c r="N113" s="23">
        <v>12</v>
      </c>
      <c r="O113" s="24">
        <v>11948</v>
      </c>
      <c r="P113" s="24">
        <f t="shared" si="5"/>
        <v>143376</v>
      </c>
    </row>
    <row r="114" spans="1:16" ht="18" thickBot="1" x14ac:dyDescent="0.25">
      <c r="A114" s="8" t="s">
        <v>412</v>
      </c>
      <c r="B114" s="75" t="s">
        <v>846</v>
      </c>
      <c r="C114" s="9" t="s">
        <v>36</v>
      </c>
      <c r="D114" s="9" t="s">
        <v>41</v>
      </c>
      <c r="E114" s="9">
        <v>2</v>
      </c>
      <c r="F114" s="10">
        <v>17516</v>
      </c>
      <c r="G114" s="10">
        <f t="shared" si="2"/>
        <v>35032</v>
      </c>
      <c r="H114" s="39"/>
      <c r="I114" s="24">
        <v>17516</v>
      </c>
      <c r="J114" s="42">
        <f t="shared" si="3"/>
        <v>0</v>
      </c>
      <c r="K114" s="251"/>
      <c r="L114" s="252">
        <v>17516</v>
      </c>
      <c r="M114" s="252">
        <f t="shared" si="4"/>
        <v>0</v>
      </c>
      <c r="N114" s="23"/>
      <c r="O114" s="24">
        <v>17516</v>
      </c>
      <c r="P114" s="24">
        <f t="shared" si="5"/>
        <v>0</v>
      </c>
    </row>
    <row r="115" spans="1:16" ht="18" thickBot="1" x14ac:dyDescent="0.25">
      <c r="A115" s="8" t="s">
        <v>60</v>
      </c>
      <c r="B115" s="75" t="s">
        <v>836</v>
      </c>
      <c r="C115" s="9" t="s">
        <v>36</v>
      </c>
      <c r="D115" s="9" t="s">
        <v>413</v>
      </c>
      <c r="E115" s="9">
        <v>20</v>
      </c>
      <c r="F115" s="10">
        <v>4964.8</v>
      </c>
      <c r="G115" s="10">
        <f t="shared" si="2"/>
        <v>99296</v>
      </c>
      <c r="H115" s="39">
        <v>3</v>
      </c>
      <c r="I115" s="24">
        <v>4964.8</v>
      </c>
      <c r="J115" s="42">
        <f t="shared" si="3"/>
        <v>14894.400000000001</v>
      </c>
      <c r="K115" s="251"/>
      <c r="L115" s="252">
        <v>4964.8</v>
      </c>
      <c r="M115" s="252">
        <f t="shared" si="4"/>
        <v>0</v>
      </c>
      <c r="N115" s="23">
        <v>17</v>
      </c>
      <c r="O115" s="24">
        <v>4964.8</v>
      </c>
      <c r="P115" s="24">
        <f t="shared" si="5"/>
        <v>84401.600000000006</v>
      </c>
    </row>
    <row r="116" spans="1:16" ht="18" thickBot="1" x14ac:dyDescent="0.25">
      <c r="A116" s="8" t="s">
        <v>47</v>
      </c>
      <c r="B116" s="75" t="s">
        <v>905</v>
      </c>
      <c r="C116" s="9" t="s">
        <v>36</v>
      </c>
      <c r="D116" s="9" t="s">
        <v>111</v>
      </c>
      <c r="E116" s="9">
        <v>40</v>
      </c>
      <c r="F116" s="10">
        <v>9512</v>
      </c>
      <c r="G116" s="10">
        <f t="shared" si="2"/>
        <v>380480</v>
      </c>
      <c r="H116" s="39">
        <v>5</v>
      </c>
      <c r="I116" s="24">
        <v>9512</v>
      </c>
      <c r="J116" s="42">
        <f t="shared" si="3"/>
        <v>47560</v>
      </c>
      <c r="K116" s="251">
        <v>12</v>
      </c>
      <c r="L116" s="252">
        <v>9512</v>
      </c>
      <c r="M116" s="252">
        <f t="shared" si="4"/>
        <v>114144</v>
      </c>
      <c r="N116" s="23">
        <v>12</v>
      </c>
      <c r="O116" s="24">
        <v>9512</v>
      </c>
      <c r="P116" s="24">
        <f t="shared" si="5"/>
        <v>114144</v>
      </c>
    </row>
    <row r="117" spans="1:16" ht="18" thickBot="1" x14ac:dyDescent="0.25">
      <c r="A117" s="8" t="s">
        <v>121</v>
      </c>
      <c r="B117" s="75" t="s">
        <v>2050</v>
      </c>
      <c r="C117" s="9" t="s">
        <v>36</v>
      </c>
      <c r="D117" s="9" t="s">
        <v>246</v>
      </c>
      <c r="E117" s="9">
        <v>80</v>
      </c>
      <c r="F117" s="10">
        <v>8352</v>
      </c>
      <c r="G117" s="10">
        <f t="shared" si="2"/>
        <v>668160</v>
      </c>
      <c r="H117" s="39"/>
      <c r="I117" s="24">
        <v>8352</v>
      </c>
      <c r="J117" s="42">
        <f t="shared" si="3"/>
        <v>0</v>
      </c>
      <c r="K117" s="251">
        <v>20</v>
      </c>
      <c r="L117" s="252">
        <v>8352</v>
      </c>
      <c r="M117" s="252">
        <f t="shared" si="4"/>
        <v>167040</v>
      </c>
      <c r="N117" s="23">
        <v>10</v>
      </c>
      <c r="O117" s="24">
        <v>8352</v>
      </c>
      <c r="P117" s="24">
        <f t="shared" si="5"/>
        <v>83520</v>
      </c>
    </row>
    <row r="118" spans="1:16" ht="18" thickBot="1" x14ac:dyDescent="0.25">
      <c r="A118" s="8" t="s">
        <v>51</v>
      </c>
      <c r="B118" s="75" t="s">
        <v>851</v>
      </c>
      <c r="C118" s="9" t="s">
        <v>36</v>
      </c>
      <c r="D118" s="9" t="s">
        <v>163</v>
      </c>
      <c r="E118" s="9">
        <v>20</v>
      </c>
      <c r="F118" s="10">
        <v>5452</v>
      </c>
      <c r="G118" s="10">
        <f t="shared" si="2"/>
        <v>109040</v>
      </c>
      <c r="H118" s="39"/>
      <c r="I118" s="24">
        <v>5452</v>
      </c>
      <c r="J118" s="42">
        <f t="shared" si="3"/>
        <v>0</v>
      </c>
      <c r="K118" s="251"/>
      <c r="L118" s="252">
        <v>5452</v>
      </c>
      <c r="M118" s="252">
        <f t="shared" si="4"/>
        <v>0</v>
      </c>
      <c r="N118" s="23"/>
      <c r="O118" s="24">
        <v>5452</v>
      </c>
      <c r="P118" s="24">
        <f t="shared" si="5"/>
        <v>0</v>
      </c>
    </row>
    <row r="119" spans="1:16" ht="18" thickBot="1" x14ac:dyDescent="0.25">
      <c r="A119" s="8" t="s">
        <v>401</v>
      </c>
      <c r="B119" s="75" t="s">
        <v>853</v>
      </c>
      <c r="C119" s="9" t="s">
        <v>36</v>
      </c>
      <c r="D119" s="9" t="s">
        <v>303</v>
      </c>
      <c r="E119" s="9">
        <v>200</v>
      </c>
      <c r="F119" s="10">
        <v>5452</v>
      </c>
      <c r="G119" s="10">
        <f t="shared" si="2"/>
        <v>1090400</v>
      </c>
      <c r="H119" s="39"/>
      <c r="I119" s="24">
        <v>5452</v>
      </c>
      <c r="J119" s="42">
        <f t="shared" si="3"/>
        <v>0</v>
      </c>
      <c r="K119" s="251"/>
      <c r="L119" s="252">
        <v>5452</v>
      </c>
      <c r="M119" s="252">
        <f t="shared" si="4"/>
        <v>0</v>
      </c>
      <c r="N119" s="23"/>
      <c r="O119" s="24">
        <v>5452</v>
      </c>
      <c r="P119" s="24">
        <f t="shared" si="5"/>
        <v>0</v>
      </c>
    </row>
    <row r="120" spans="1:16" ht="18" thickBot="1" x14ac:dyDescent="0.25">
      <c r="A120" s="8" t="s">
        <v>159</v>
      </c>
      <c r="B120" s="75" t="s">
        <v>853</v>
      </c>
      <c r="C120" s="9" t="s">
        <v>36</v>
      </c>
      <c r="D120" s="9" t="s">
        <v>414</v>
      </c>
      <c r="E120" s="9">
        <v>10</v>
      </c>
      <c r="F120" s="10">
        <v>14384</v>
      </c>
      <c r="G120" s="10">
        <f t="shared" si="2"/>
        <v>143840</v>
      </c>
      <c r="H120" s="39">
        <v>2</v>
      </c>
      <c r="I120" s="24">
        <v>14384</v>
      </c>
      <c r="J120" s="42">
        <f t="shared" si="3"/>
        <v>28768</v>
      </c>
      <c r="K120" s="251">
        <v>4</v>
      </c>
      <c r="L120" s="252">
        <v>14384</v>
      </c>
      <c r="M120" s="252">
        <f t="shared" si="4"/>
        <v>57536</v>
      </c>
      <c r="N120" s="23">
        <v>4</v>
      </c>
      <c r="O120" s="24">
        <v>14384</v>
      </c>
      <c r="P120" s="24">
        <f t="shared" si="5"/>
        <v>57536</v>
      </c>
    </row>
    <row r="121" spans="1:16" ht="17" thickBot="1" x14ac:dyDescent="0.25">
      <c r="G121" s="12">
        <f>SUM(G80:G120)</f>
        <v>13734632</v>
      </c>
      <c r="J121" s="41">
        <f>SUM(J80:J120)</f>
        <v>760925.20000000007</v>
      </c>
      <c r="K121" s="2"/>
      <c r="L121" s="3"/>
      <c r="M121" s="250">
        <f>SUM(M80:M120)</f>
        <v>1798232</v>
      </c>
      <c r="N121" s="2"/>
      <c r="O121" s="3"/>
      <c r="P121" s="26">
        <f>SUM(P80:P120)</f>
        <v>2050624.8</v>
      </c>
    </row>
    <row r="123" spans="1:16" ht="18" thickBot="1" x14ac:dyDescent="0.25">
      <c r="A123" s="7" t="s">
        <v>416</v>
      </c>
      <c r="B123" s="80"/>
      <c r="C123"/>
      <c r="D123"/>
      <c r="E123"/>
      <c r="F123"/>
      <c r="G123"/>
    </row>
    <row r="124" spans="1:16" ht="18" thickBot="1" x14ac:dyDescent="0.25">
      <c r="A124" s="8" t="s">
        <v>334</v>
      </c>
      <c r="B124" s="75"/>
      <c r="C124" s="9" t="s">
        <v>4</v>
      </c>
      <c r="D124" s="9" t="s">
        <v>417</v>
      </c>
      <c r="E124" s="9">
        <v>10</v>
      </c>
      <c r="F124" s="10">
        <v>2018.4</v>
      </c>
      <c r="G124" s="10">
        <f>E124*F124</f>
        <v>20184</v>
      </c>
      <c r="J124" s="3"/>
    </row>
    <row r="125" spans="1:16" ht="18" thickBot="1" x14ac:dyDescent="0.25">
      <c r="A125" s="8" t="s">
        <v>47</v>
      </c>
      <c r="B125" s="75"/>
      <c r="C125" s="9" t="s">
        <v>36</v>
      </c>
      <c r="D125" s="9" t="s">
        <v>52</v>
      </c>
      <c r="E125" s="9">
        <v>80</v>
      </c>
      <c r="F125" s="10">
        <v>9512</v>
      </c>
      <c r="G125" s="10">
        <f>E125*F125</f>
        <v>760960</v>
      </c>
      <c r="J125" s="3"/>
    </row>
    <row r="126" spans="1:16" ht="17" thickBot="1" x14ac:dyDescent="0.25">
      <c r="G126" s="12">
        <f>SUM(G124:G125)</f>
        <v>781144</v>
      </c>
      <c r="J126" s="3"/>
    </row>
    <row r="127" spans="1:16" ht="17" thickBot="1" x14ac:dyDescent="0.25">
      <c r="A127" s="30" t="s">
        <v>1657</v>
      </c>
      <c r="B127" s="77" t="s">
        <v>389</v>
      </c>
      <c r="C127" s="2" t="s">
        <v>390</v>
      </c>
      <c r="F127" s="2"/>
      <c r="G127" s="33"/>
      <c r="J127" s="3"/>
    </row>
    <row r="128" spans="1:16" ht="17" thickBot="1" x14ac:dyDescent="0.25">
      <c r="A128" s="9" t="s">
        <v>285</v>
      </c>
      <c r="B128" s="75"/>
      <c r="C128" s="9" t="s">
        <v>36</v>
      </c>
      <c r="D128" s="9" t="s">
        <v>1656</v>
      </c>
      <c r="E128" s="9">
        <v>80</v>
      </c>
      <c r="F128" s="10">
        <v>8352</v>
      </c>
      <c r="G128" s="12">
        <f>F128*E128</f>
        <v>668160</v>
      </c>
      <c r="J128" s="3"/>
    </row>
    <row r="130" spans="1:34" ht="17" thickBot="1" x14ac:dyDescent="0.25">
      <c r="A130" s="30" t="s">
        <v>1617</v>
      </c>
      <c r="B130" s="77" t="s">
        <v>1597</v>
      </c>
      <c r="C130" s="2" t="s">
        <v>1598</v>
      </c>
      <c r="D130"/>
      <c r="E130"/>
      <c r="F130"/>
      <c r="H130" s="38" t="s">
        <v>2173</v>
      </c>
      <c r="J130" s="290">
        <v>46114</v>
      </c>
      <c r="K130" t="s">
        <v>2174</v>
      </c>
      <c r="M130" s="36">
        <v>46146</v>
      </c>
      <c r="N130" t="s">
        <v>2175</v>
      </c>
      <c r="P130" s="36">
        <v>46154</v>
      </c>
      <c r="Q130" t="s">
        <v>2177</v>
      </c>
      <c r="S130" s="36">
        <v>46197</v>
      </c>
      <c r="T130" t="s">
        <v>2175</v>
      </c>
      <c r="V130" s="36">
        <v>46199</v>
      </c>
      <c r="W130" t="s">
        <v>2178</v>
      </c>
      <c r="Y130" s="36">
        <v>46199</v>
      </c>
      <c r="Z130" t="s">
        <v>2179</v>
      </c>
      <c r="AB130" s="36">
        <v>46197</v>
      </c>
      <c r="AC130" t="s">
        <v>2174</v>
      </c>
      <c r="AE130" s="36">
        <v>46202</v>
      </c>
      <c r="AF130" t="s">
        <v>2304</v>
      </c>
      <c r="AH130" s="36">
        <v>46202</v>
      </c>
    </row>
    <row r="131" spans="1:34" ht="18" thickBot="1" x14ac:dyDescent="0.25">
      <c r="A131" s="9" t="s">
        <v>243</v>
      </c>
      <c r="B131" s="75" t="s">
        <v>884</v>
      </c>
      <c r="C131" s="9" t="s">
        <v>36</v>
      </c>
      <c r="D131" s="9" t="s">
        <v>1599</v>
      </c>
      <c r="E131" s="9">
        <v>120</v>
      </c>
      <c r="F131" s="10">
        <v>4814</v>
      </c>
      <c r="G131" s="10">
        <f>F131*E131</f>
        <v>577680</v>
      </c>
      <c r="H131" s="18"/>
      <c r="I131" s="19">
        <v>4814</v>
      </c>
      <c r="J131" s="19">
        <f>I131*H131</f>
        <v>0</v>
      </c>
      <c r="K131" s="27"/>
      <c r="L131" s="28">
        <v>4814</v>
      </c>
      <c r="M131" s="28">
        <f>L131*K131</f>
        <v>0</v>
      </c>
      <c r="N131" s="291"/>
      <c r="O131" s="292">
        <v>4814</v>
      </c>
      <c r="P131" s="292">
        <f>O131*N131</f>
        <v>0</v>
      </c>
      <c r="Q131" s="23">
        <v>10</v>
      </c>
      <c r="R131" s="24">
        <v>4814</v>
      </c>
      <c r="S131" s="24">
        <f>R131*Q131</f>
        <v>48140</v>
      </c>
      <c r="T131" s="291">
        <v>10</v>
      </c>
      <c r="U131" s="292">
        <v>4814</v>
      </c>
      <c r="V131" s="292">
        <f>U131*T131</f>
        <v>48140</v>
      </c>
      <c r="W131" s="295">
        <v>20</v>
      </c>
      <c r="X131" s="296">
        <v>4814</v>
      </c>
      <c r="Y131" s="296">
        <f>X131*W131</f>
        <v>96280</v>
      </c>
      <c r="Z131" s="23"/>
      <c r="AA131" s="24">
        <v>4814</v>
      </c>
      <c r="AB131" s="24">
        <f>AA131*Z131</f>
        <v>0</v>
      </c>
      <c r="AC131" s="92">
        <v>20</v>
      </c>
      <c r="AD131" s="93">
        <v>4814</v>
      </c>
      <c r="AE131" s="93">
        <f>AD131*AC131</f>
        <v>96280</v>
      </c>
      <c r="AF131" s="196">
        <v>12</v>
      </c>
      <c r="AG131" s="197">
        <v>4814</v>
      </c>
      <c r="AH131" s="197">
        <f>AG131*AF131</f>
        <v>57768</v>
      </c>
    </row>
    <row r="132" spans="1:34" ht="18" thickBot="1" x14ac:dyDescent="0.25">
      <c r="A132" s="9" t="s">
        <v>57</v>
      </c>
      <c r="B132" s="75" t="s">
        <v>1940</v>
      </c>
      <c r="C132" s="9" t="s">
        <v>36</v>
      </c>
      <c r="D132" s="9" t="s">
        <v>1368</v>
      </c>
      <c r="E132" s="9">
        <v>72</v>
      </c>
      <c r="F132" s="10">
        <v>4640</v>
      </c>
      <c r="G132" s="10">
        <f t="shared" ref="G132:G185" si="6">F132*E132</f>
        <v>334080</v>
      </c>
      <c r="H132" s="18">
        <v>12</v>
      </c>
      <c r="I132" s="19">
        <v>4640</v>
      </c>
      <c r="J132" s="19">
        <f t="shared" ref="J132:J185" si="7">I132*H132</f>
        <v>55680</v>
      </c>
      <c r="K132" s="27">
        <v>12</v>
      </c>
      <c r="L132" s="28">
        <v>4640</v>
      </c>
      <c r="M132" s="28">
        <f t="shared" ref="M132:M185" si="8">L132*K132</f>
        <v>55680</v>
      </c>
      <c r="N132" s="291">
        <v>12</v>
      </c>
      <c r="O132" s="292">
        <v>4640</v>
      </c>
      <c r="P132" s="292">
        <f t="shared" ref="P132:P185" si="9">O132*N132</f>
        <v>55680</v>
      </c>
      <c r="Q132" s="23">
        <v>3</v>
      </c>
      <c r="R132" s="24">
        <v>4640</v>
      </c>
      <c r="S132" s="24">
        <f t="shared" ref="S132:S185" si="10">R132*Q132</f>
        <v>13920</v>
      </c>
      <c r="T132" s="291"/>
      <c r="U132" s="292">
        <v>4640</v>
      </c>
      <c r="V132" s="292">
        <f t="shared" ref="V132:V185" si="11">U132*T132</f>
        <v>0</v>
      </c>
      <c r="W132" s="295">
        <v>12</v>
      </c>
      <c r="X132" s="296">
        <v>4640</v>
      </c>
      <c r="Y132" s="296">
        <f t="shared" ref="Y132:Y185" si="12">X132*W132</f>
        <v>55680</v>
      </c>
      <c r="Z132" s="23"/>
      <c r="AA132" s="24">
        <v>4640</v>
      </c>
      <c r="AB132" s="24">
        <f t="shared" ref="AB132:AB185" si="13">AA132*Z132</f>
        <v>0</v>
      </c>
      <c r="AC132" s="92"/>
      <c r="AD132" s="93">
        <v>4640</v>
      </c>
      <c r="AE132" s="93">
        <f t="shared" ref="AE132:AE185" si="14">AD132*AC132</f>
        <v>0</v>
      </c>
      <c r="AF132" s="196">
        <v>12</v>
      </c>
      <c r="AG132" s="197">
        <v>4640</v>
      </c>
      <c r="AH132" s="197">
        <f t="shared" ref="AH132:AH185" si="15">AG132*AF132</f>
        <v>55680</v>
      </c>
    </row>
    <row r="133" spans="1:34" ht="18" thickBot="1" x14ac:dyDescent="0.25">
      <c r="A133" s="9" t="s">
        <v>1600</v>
      </c>
      <c r="B133" s="75" t="s">
        <v>892</v>
      </c>
      <c r="C133" s="9" t="s">
        <v>36</v>
      </c>
      <c r="D133" s="9" t="s">
        <v>80</v>
      </c>
      <c r="E133" s="9">
        <v>60</v>
      </c>
      <c r="F133" s="10">
        <v>4570.3999999999996</v>
      </c>
      <c r="G133" s="10">
        <f t="shared" si="6"/>
        <v>274224</v>
      </c>
      <c r="H133" s="18">
        <v>5</v>
      </c>
      <c r="I133" s="19">
        <v>4570.3999999999996</v>
      </c>
      <c r="J133" s="19">
        <f t="shared" si="7"/>
        <v>22852</v>
      </c>
      <c r="K133" s="27"/>
      <c r="L133" s="28">
        <v>4570.3999999999996</v>
      </c>
      <c r="M133" s="28">
        <f t="shared" si="8"/>
        <v>0</v>
      </c>
      <c r="N133" s="291"/>
      <c r="O133" s="292">
        <v>4570.3999999999996</v>
      </c>
      <c r="P133" s="292">
        <f t="shared" si="9"/>
        <v>0</v>
      </c>
      <c r="Q133" s="23"/>
      <c r="R133" s="24">
        <v>4570.3999999999996</v>
      </c>
      <c r="S133" s="24">
        <f t="shared" si="10"/>
        <v>0</v>
      </c>
      <c r="T133" s="291"/>
      <c r="U133" s="292">
        <v>4570.3999999999996</v>
      </c>
      <c r="V133" s="292">
        <f t="shared" si="11"/>
        <v>0</v>
      </c>
      <c r="W133" s="295"/>
      <c r="X133" s="296">
        <v>4570.3999999999996</v>
      </c>
      <c r="Y133" s="296">
        <f t="shared" si="12"/>
        <v>0</v>
      </c>
      <c r="Z133" s="23"/>
      <c r="AA133" s="24">
        <v>4570.3999999999996</v>
      </c>
      <c r="AB133" s="24">
        <f t="shared" si="13"/>
        <v>0</v>
      </c>
      <c r="AC133" s="92">
        <v>36</v>
      </c>
      <c r="AD133" s="93">
        <v>4570.3999999999996</v>
      </c>
      <c r="AE133" s="93">
        <f t="shared" si="14"/>
        <v>164534.39999999999</v>
      </c>
      <c r="AF133" s="196"/>
      <c r="AG133" s="197">
        <v>4570.3999999999996</v>
      </c>
      <c r="AH133" s="197">
        <f t="shared" si="15"/>
        <v>0</v>
      </c>
    </row>
    <row r="134" spans="1:34" ht="18" thickBot="1" x14ac:dyDescent="0.25">
      <c r="A134" s="9" t="s">
        <v>238</v>
      </c>
      <c r="B134" s="75" t="s">
        <v>878</v>
      </c>
      <c r="C134" s="9" t="s">
        <v>36</v>
      </c>
      <c r="D134" s="9" t="s">
        <v>244</v>
      </c>
      <c r="E134" s="9">
        <v>100</v>
      </c>
      <c r="F134" s="10">
        <v>10440</v>
      </c>
      <c r="G134" s="10">
        <f t="shared" si="6"/>
        <v>1044000</v>
      </c>
      <c r="H134" s="18"/>
      <c r="I134" s="19">
        <v>10440</v>
      </c>
      <c r="J134" s="19">
        <f t="shared" si="7"/>
        <v>0</v>
      </c>
      <c r="K134" s="27"/>
      <c r="L134" s="28">
        <v>10440</v>
      </c>
      <c r="M134" s="28">
        <f t="shared" si="8"/>
        <v>0</v>
      </c>
      <c r="N134" s="291"/>
      <c r="O134" s="292">
        <v>10440</v>
      </c>
      <c r="P134" s="292">
        <f t="shared" si="9"/>
        <v>0</v>
      </c>
      <c r="Q134" s="23">
        <v>6</v>
      </c>
      <c r="R134" s="24">
        <v>10440</v>
      </c>
      <c r="S134" s="24">
        <f t="shared" si="10"/>
        <v>62640</v>
      </c>
      <c r="T134" s="291"/>
      <c r="U134" s="292">
        <v>10440</v>
      </c>
      <c r="V134" s="292">
        <f t="shared" si="11"/>
        <v>0</v>
      </c>
      <c r="W134" s="295">
        <v>6</v>
      </c>
      <c r="X134" s="296">
        <v>10440</v>
      </c>
      <c r="Y134" s="296">
        <f t="shared" si="12"/>
        <v>62640</v>
      </c>
      <c r="Z134" s="23"/>
      <c r="AA134" s="24">
        <v>10440</v>
      </c>
      <c r="AB134" s="24">
        <f t="shared" si="13"/>
        <v>0</v>
      </c>
      <c r="AC134" s="92"/>
      <c r="AD134" s="93">
        <v>10440</v>
      </c>
      <c r="AE134" s="93">
        <f t="shared" si="14"/>
        <v>0</v>
      </c>
      <c r="AF134" s="196"/>
      <c r="AG134" s="197">
        <v>10440</v>
      </c>
      <c r="AH134" s="197">
        <f t="shared" si="15"/>
        <v>0</v>
      </c>
    </row>
    <row r="135" spans="1:34" ht="18" thickBot="1" x14ac:dyDescent="0.25">
      <c r="A135" s="9" t="s">
        <v>193</v>
      </c>
      <c r="B135" s="75" t="s">
        <v>911</v>
      </c>
      <c r="C135" s="9" t="s">
        <v>36</v>
      </c>
      <c r="D135" s="9" t="s">
        <v>306</v>
      </c>
      <c r="E135" s="9">
        <v>134</v>
      </c>
      <c r="F135" s="10">
        <v>136764</v>
      </c>
      <c r="G135" s="10">
        <f t="shared" si="6"/>
        <v>18326376</v>
      </c>
      <c r="H135" s="18">
        <v>54</v>
      </c>
      <c r="I135" s="19">
        <v>136764</v>
      </c>
      <c r="J135" s="19">
        <f t="shared" si="7"/>
        <v>7385256</v>
      </c>
      <c r="K135" s="27">
        <v>54</v>
      </c>
      <c r="L135" s="28">
        <v>136764</v>
      </c>
      <c r="M135" s="28">
        <f t="shared" si="8"/>
        <v>7385256</v>
      </c>
      <c r="N135" s="291"/>
      <c r="O135" s="292">
        <v>136764</v>
      </c>
      <c r="P135" s="292">
        <f t="shared" si="9"/>
        <v>0</v>
      </c>
      <c r="Q135" s="23"/>
      <c r="R135" s="24">
        <v>136764</v>
      </c>
      <c r="S135" s="24">
        <f t="shared" si="10"/>
        <v>0</v>
      </c>
      <c r="T135" s="291"/>
      <c r="U135" s="292">
        <v>136764</v>
      </c>
      <c r="V135" s="292">
        <f t="shared" si="11"/>
        <v>0</v>
      </c>
      <c r="W135" s="295"/>
      <c r="X135" s="296">
        <v>136764</v>
      </c>
      <c r="Y135" s="296">
        <f t="shared" si="12"/>
        <v>0</v>
      </c>
      <c r="Z135" s="23">
        <v>21</v>
      </c>
      <c r="AA135" s="24">
        <v>136764</v>
      </c>
      <c r="AB135" s="24">
        <f t="shared" si="13"/>
        <v>2872044</v>
      </c>
      <c r="AC135" s="92"/>
      <c r="AD135" s="93">
        <v>136764</v>
      </c>
      <c r="AE135" s="93">
        <f t="shared" si="14"/>
        <v>0</v>
      </c>
      <c r="AF135" s="196"/>
      <c r="AG135" s="197">
        <v>136764</v>
      </c>
      <c r="AH135" s="197">
        <f t="shared" si="15"/>
        <v>0</v>
      </c>
    </row>
    <row r="136" spans="1:34" ht="18" thickBot="1" x14ac:dyDescent="0.25">
      <c r="A136" s="9" t="s">
        <v>663</v>
      </c>
      <c r="B136" s="75" t="s">
        <v>852</v>
      </c>
      <c r="C136" s="9" t="s">
        <v>36</v>
      </c>
      <c r="D136" s="9" t="s">
        <v>651</v>
      </c>
      <c r="E136" s="9">
        <v>60</v>
      </c>
      <c r="F136" s="10">
        <v>1160</v>
      </c>
      <c r="G136" s="10">
        <f t="shared" si="6"/>
        <v>69600</v>
      </c>
      <c r="H136" s="18"/>
      <c r="I136" s="19">
        <v>1160</v>
      </c>
      <c r="J136" s="19">
        <f t="shared" si="7"/>
        <v>0</v>
      </c>
      <c r="K136" s="27">
        <v>15</v>
      </c>
      <c r="L136" s="28">
        <v>1160</v>
      </c>
      <c r="M136" s="28">
        <f t="shared" si="8"/>
        <v>17400</v>
      </c>
      <c r="N136" s="291">
        <v>21</v>
      </c>
      <c r="O136" s="292">
        <v>1160</v>
      </c>
      <c r="P136" s="292">
        <f t="shared" si="9"/>
        <v>24360</v>
      </c>
      <c r="Q136" s="23"/>
      <c r="R136" s="24">
        <v>1160</v>
      </c>
      <c r="S136" s="24">
        <f t="shared" si="10"/>
        <v>0</v>
      </c>
      <c r="T136" s="291"/>
      <c r="U136" s="292">
        <v>1160</v>
      </c>
      <c r="V136" s="292">
        <f t="shared" si="11"/>
        <v>0</v>
      </c>
      <c r="W136" s="295">
        <v>24</v>
      </c>
      <c r="X136" s="296">
        <v>1160</v>
      </c>
      <c r="Y136" s="296">
        <f t="shared" si="12"/>
        <v>27840</v>
      </c>
      <c r="Z136" s="23"/>
      <c r="AA136" s="24">
        <v>1160</v>
      </c>
      <c r="AB136" s="24">
        <f t="shared" si="13"/>
        <v>0</v>
      </c>
      <c r="AC136" s="92"/>
      <c r="AD136" s="93">
        <v>1160</v>
      </c>
      <c r="AE136" s="93">
        <f t="shared" si="14"/>
        <v>0</v>
      </c>
      <c r="AF136" s="196"/>
      <c r="AG136" s="197">
        <v>1160</v>
      </c>
      <c r="AH136" s="197">
        <f t="shared" si="15"/>
        <v>0</v>
      </c>
    </row>
    <row r="137" spans="1:34" ht="18" thickBot="1" x14ac:dyDescent="0.25">
      <c r="A137" s="9" t="s">
        <v>283</v>
      </c>
      <c r="B137" s="75" t="s">
        <v>921</v>
      </c>
      <c r="C137" s="9" t="s">
        <v>36</v>
      </c>
      <c r="D137" s="9" t="s">
        <v>1601</v>
      </c>
      <c r="E137" s="9">
        <v>60</v>
      </c>
      <c r="F137" s="10">
        <v>10312.4</v>
      </c>
      <c r="G137" s="10">
        <f t="shared" si="6"/>
        <v>618744</v>
      </c>
      <c r="H137" s="18"/>
      <c r="I137" s="19">
        <v>10312.4</v>
      </c>
      <c r="J137" s="19">
        <f t="shared" si="7"/>
        <v>0</v>
      </c>
      <c r="K137" s="27"/>
      <c r="L137" s="28">
        <v>10312.4</v>
      </c>
      <c r="M137" s="28">
        <f t="shared" si="8"/>
        <v>0</v>
      </c>
      <c r="N137" s="291"/>
      <c r="O137" s="292">
        <v>10312.4</v>
      </c>
      <c r="P137" s="292">
        <f t="shared" si="9"/>
        <v>0</v>
      </c>
      <c r="Q137" s="23">
        <v>6</v>
      </c>
      <c r="R137" s="24">
        <v>10312.4</v>
      </c>
      <c r="S137" s="24">
        <f t="shared" si="10"/>
        <v>61874.399999999994</v>
      </c>
      <c r="T137" s="291"/>
      <c r="U137" s="292">
        <v>10312.4</v>
      </c>
      <c r="V137" s="292">
        <f t="shared" si="11"/>
        <v>0</v>
      </c>
      <c r="W137" s="295"/>
      <c r="X137" s="296">
        <v>10312.4</v>
      </c>
      <c r="Y137" s="296">
        <f t="shared" si="12"/>
        <v>0</v>
      </c>
      <c r="Z137" s="23"/>
      <c r="AA137" s="24">
        <v>10312.4</v>
      </c>
      <c r="AB137" s="24">
        <f t="shared" si="13"/>
        <v>0</v>
      </c>
      <c r="AC137" s="92"/>
      <c r="AD137" s="93">
        <v>10312.4</v>
      </c>
      <c r="AE137" s="93">
        <f t="shared" si="14"/>
        <v>0</v>
      </c>
      <c r="AF137" s="196">
        <v>6</v>
      </c>
      <c r="AG137" s="197">
        <v>10312.4</v>
      </c>
      <c r="AH137" s="197">
        <f t="shared" si="15"/>
        <v>61874.399999999994</v>
      </c>
    </row>
    <row r="138" spans="1:34" ht="18" thickBot="1" x14ac:dyDescent="0.25">
      <c r="A138" s="9" t="s">
        <v>283</v>
      </c>
      <c r="B138" s="75" t="s">
        <v>842</v>
      </c>
      <c r="C138" s="9" t="s">
        <v>36</v>
      </c>
      <c r="D138" s="9" t="s">
        <v>311</v>
      </c>
      <c r="E138" s="9">
        <v>72</v>
      </c>
      <c r="F138" s="10">
        <v>9512</v>
      </c>
      <c r="G138" s="10">
        <f t="shared" si="6"/>
        <v>684864</v>
      </c>
      <c r="H138" s="18"/>
      <c r="I138" s="19">
        <v>9512</v>
      </c>
      <c r="J138" s="19">
        <f t="shared" si="7"/>
        <v>0</v>
      </c>
      <c r="K138" s="27"/>
      <c r="L138" s="28">
        <v>9512</v>
      </c>
      <c r="M138" s="28">
        <f t="shared" si="8"/>
        <v>0</v>
      </c>
      <c r="N138" s="291"/>
      <c r="O138" s="292">
        <v>9512</v>
      </c>
      <c r="P138" s="292">
        <f t="shared" si="9"/>
        <v>0</v>
      </c>
      <c r="Q138" s="23">
        <v>6</v>
      </c>
      <c r="R138" s="24">
        <v>9512</v>
      </c>
      <c r="S138" s="24">
        <f t="shared" si="10"/>
        <v>57072</v>
      </c>
      <c r="T138" s="291"/>
      <c r="U138" s="292">
        <v>9512</v>
      </c>
      <c r="V138" s="292">
        <f t="shared" si="11"/>
        <v>0</v>
      </c>
      <c r="W138" s="295"/>
      <c r="X138" s="296">
        <v>9512</v>
      </c>
      <c r="Y138" s="296">
        <f t="shared" si="12"/>
        <v>0</v>
      </c>
      <c r="Z138" s="23"/>
      <c r="AA138" s="24">
        <v>9512</v>
      </c>
      <c r="AB138" s="24">
        <f t="shared" si="13"/>
        <v>0</v>
      </c>
      <c r="AC138" s="92"/>
      <c r="AD138" s="93">
        <v>9512</v>
      </c>
      <c r="AE138" s="93">
        <f t="shared" si="14"/>
        <v>0</v>
      </c>
      <c r="AF138" s="196">
        <v>12</v>
      </c>
      <c r="AG138" s="197">
        <v>9512</v>
      </c>
      <c r="AH138" s="197">
        <f t="shared" si="15"/>
        <v>114144</v>
      </c>
    </row>
    <row r="139" spans="1:34" ht="18" thickBot="1" x14ac:dyDescent="0.25">
      <c r="A139" s="9" t="s">
        <v>283</v>
      </c>
      <c r="B139" s="75" t="s">
        <v>1584</v>
      </c>
      <c r="C139" s="9" t="s">
        <v>36</v>
      </c>
      <c r="D139" s="9" t="s">
        <v>1138</v>
      </c>
      <c r="E139" s="9">
        <v>60</v>
      </c>
      <c r="F139" s="10">
        <v>5800</v>
      </c>
      <c r="G139" s="10">
        <f t="shared" si="6"/>
        <v>348000</v>
      </c>
      <c r="H139" s="18"/>
      <c r="I139" s="19">
        <v>5800</v>
      </c>
      <c r="J139" s="19">
        <f t="shared" si="7"/>
        <v>0</v>
      </c>
      <c r="K139" s="27"/>
      <c r="L139" s="28">
        <v>5800</v>
      </c>
      <c r="M139" s="28">
        <f t="shared" si="8"/>
        <v>0</v>
      </c>
      <c r="N139" s="291"/>
      <c r="O139" s="292">
        <v>5800</v>
      </c>
      <c r="P139" s="292">
        <f t="shared" si="9"/>
        <v>0</v>
      </c>
      <c r="Q139" s="23">
        <v>6</v>
      </c>
      <c r="R139" s="24">
        <v>5800</v>
      </c>
      <c r="S139" s="24">
        <f t="shared" si="10"/>
        <v>34800</v>
      </c>
      <c r="T139" s="291"/>
      <c r="U139" s="292">
        <v>5800</v>
      </c>
      <c r="V139" s="292">
        <f t="shared" si="11"/>
        <v>0</v>
      </c>
      <c r="W139" s="295">
        <v>10</v>
      </c>
      <c r="X139" s="296">
        <v>5800</v>
      </c>
      <c r="Y139" s="296">
        <f t="shared" si="12"/>
        <v>58000</v>
      </c>
      <c r="Z139" s="23"/>
      <c r="AA139" s="24">
        <v>5800</v>
      </c>
      <c r="AB139" s="24">
        <f t="shared" si="13"/>
        <v>0</v>
      </c>
      <c r="AC139" s="92">
        <v>6</v>
      </c>
      <c r="AD139" s="93">
        <v>5800</v>
      </c>
      <c r="AE139" s="93">
        <f t="shared" si="14"/>
        <v>34800</v>
      </c>
      <c r="AF139" s="196">
        <v>6</v>
      </c>
      <c r="AG139" s="197">
        <v>5800</v>
      </c>
      <c r="AH139" s="197">
        <f t="shared" si="15"/>
        <v>34800</v>
      </c>
    </row>
    <row r="140" spans="1:34" ht="18" thickBot="1" x14ac:dyDescent="0.25">
      <c r="A140" s="9" t="s">
        <v>140</v>
      </c>
      <c r="B140" s="75" t="s">
        <v>1559</v>
      </c>
      <c r="C140" s="9" t="s">
        <v>36</v>
      </c>
      <c r="D140" s="9" t="s">
        <v>1602</v>
      </c>
      <c r="E140" s="9">
        <v>60</v>
      </c>
      <c r="F140" s="10">
        <v>1798</v>
      </c>
      <c r="G140" s="10">
        <f t="shared" si="6"/>
        <v>107880</v>
      </c>
      <c r="H140" s="18">
        <v>8</v>
      </c>
      <c r="I140" s="19">
        <v>1798</v>
      </c>
      <c r="J140" s="19">
        <f t="shared" si="7"/>
        <v>14384</v>
      </c>
      <c r="K140" s="27"/>
      <c r="L140" s="28">
        <v>1798</v>
      </c>
      <c r="M140" s="28">
        <f t="shared" si="8"/>
        <v>0</v>
      </c>
      <c r="N140" s="291"/>
      <c r="O140" s="292">
        <v>1798</v>
      </c>
      <c r="P140" s="292">
        <f t="shared" si="9"/>
        <v>0</v>
      </c>
      <c r="Q140" s="23"/>
      <c r="R140" s="24">
        <v>1798</v>
      </c>
      <c r="S140" s="24">
        <f t="shared" si="10"/>
        <v>0</v>
      </c>
      <c r="T140" s="291"/>
      <c r="U140" s="292">
        <v>1798</v>
      </c>
      <c r="V140" s="292">
        <f t="shared" si="11"/>
        <v>0</v>
      </c>
      <c r="W140" s="295"/>
      <c r="X140" s="296">
        <v>1798</v>
      </c>
      <c r="Y140" s="296">
        <f t="shared" si="12"/>
        <v>0</v>
      </c>
      <c r="Z140" s="23"/>
      <c r="AA140" s="24">
        <v>1798</v>
      </c>
      <c r="AB140" s="24">
        <f t="shared" si="13"/>
        <v>0</v>
      </c>
      <c r="AC140" s="92"/>
      <c r="AD140" s="93">
        <v>1798</v>
      </c>
      <c r="AE140" s="93">
        <f t="shared" si="14"/>
        <v>0</v>
      </c>
      <c r="AF140" s="196"/>
      <c r="AG140" s="197">
        <v>1798</v>
      </c>
      <c r="AH140" s="197">
        <f t="shared" si="15"/>
        <v>0</v>
      </c>
    </row>
    <row r="141" spans="1:34" ht="18" thickBot="1" x14ac:dyDescent="0.25">
      <c r="A141" s="9" t="s">
        <v>667</v>
      </c>
      <c r="B141" s="75" t="s">
        <v>862</v>
      </c>
      <c r="C141" s="9" t="s">
        <v>36</v>
      </c>
      <c r="D141" s="9" t="s">
        <v>296</v>
      </c>
      <c r="E141" s="9">
        <v>356</v>
      </c>
      <c r="F141" s="10">
        <v>7308</v>
      </c>
      <c r="G141" s="10">
        <f t="shared" si="6"/>
        <v>2601648</v>
      </c>
      <c r="H141" s="18">
        <v>20</v>
      </c>
      <c r="I141" s="19">
        <v>7308</v>
      </c>
      <c r="J141" s="19">
        <f t="shared" si="7"/>
        <v>146160</v>
      </c>
      <c r="K141" s="27">
        <v>40</v>
      </c>
      <c r="L141" s="28">
        <v>7308</v>
      </c>
      <c r="M141" s="28">
        <f t="shared" si="8"/>
        <v>292320</v>
      </c>
      <c r="N141" s="291">
        <v>40</v>
      </c>
      <c r="O141" s="292">
        <v>7308</v>
      </c>
      <c r="P141" s="292">
        <f t="shared" si="9"/>
        <v>292320</v>
      </c>
      <c r="Q141" s="23">
        <v>24</v>
      </c>
      <c r="R141" s="24">
        <v>7308</v>
      </c>
      <c r="S141" s="24">
        <f t="shared" si="10"/>
        <v>175392</v>
      </c>
      <c r="T141" s="291">
        <v>8</v>
      </c>
      <c r="U141" s="292">
        <v>7308</v>
      </c>
      <c r="V141" s="292">
        <f t="shared" si="11"/>
        <v>58464</v>
      </c>
      <c r="W141" s="295"/>
      <c r="X141" s="296">
        <v>7308</v>
      </c>
      <c r="Y141" s="296">
        <f t="shared" si="12"/>
        <v>0</v>
      </c>
      <c r="Z141" s="23"/>
      <c r="AA141" s="24">
        <v>7308</v>
      </c>
      <c r="AB141" s="24">
        <f t="shared" si="13"/>
        <v>0</v>
      </c>
      <c r="AC141" s="92">
        <v>16</v>
      </c>
      <c r="AD141" s="93">
        <v>7308</v>
      </c>
      <c r="AE141" s="93">
        <f t="shared" si="14"/>
        <v>116928</v>
      </c>
      <c r="AF141" s="196">
        <v>24</v>
      </c>
      <c r="AG141" s="197">
        <v>7308</v>
      </c>
      <c r="AH141" s="197">
        <f t="shared" si="15"/>
        <v>175392</v>
      </c>
    </row>
    <row r="142" spans="1:34" ht="18" thickBot="1" x14ac:dyDescent="0.25">
      <c r="A142" s="9" t="s">
        <v>792</v>
      </c>
      <c r="B142" s="75" t="s">
        <v>876</v>
      </c>
      <c r="C142" s="9" t="s">
        <v>36</v>
      </c>
      <c r="D142" s="9" t="s">
        <v>39</v>
      </c>
      <c r="E142" s="9">
        <v>174</v>
      </c>
      <c r="F142" s="10">
        <v>11924.8</v>
      </c>
      <c r="G142" s="10">
        <f t="shared" si="6"/>
        <v>2074915.2</v>
      </c>
      <c r="H142" s="18"/>
      <c r="I142" s="19">
        <v>11924.8</v>
      </c>
      <c r="J142" s="19">
        <f t="shared" si="7"/>
        <v>0</v>
      </c>
      <c r="K142" s="27"/>
      <c r="L142" s="28">
        <v>11924.8</v>
      </c>
      <c r="M142" s="28">
        <f t="shared" si="8"/>
        <v>0</v>
      </c>
      <c r="N142" s="291"/>
      <c r="O142" s="292">
        <v>11924.8</v>
      </c>
      <c r="P142" s="292">
        <f t="shared" si="9"/>
        <v>0</v>
      </c>
      <c r="Q142" s="23">
        <v>10</v>
      </c>
      <c r="R142" s="24">
        <v>11924.8</v>
      </c>
      <c r="S142" s="24">
        <f t="shared" si="10"/>
        <v>119248</v>
      </c>
      <c r="T142" s="291">
        <v>15</v>
      </c>
      <c r="U142" s="292">
        <v>11924.8</v>
      </c>
      <c r="V142" s="292">
        <f t="shared" si="11"/>
        <v>178872</v>
      </c>
      <c r="W142" s="295">
        <v>30</v>
      </c>
      <c r="X142" s="296">
        <v>11924.8</v>
      </c>
      <c r="Y142" s="296">
        <f t="shared" si="12"/>
        <v>357744</v>
      </c>
      <c r="Z142" s="23"/>
      <c r="AA142" s="24">
        <v>11924.8</v>
      </c>
      <c r="AB142" s="24">
        <f t="shared" si="13"/>
        <v>0</v>
      </c>
      <c r="AC142" s="92">
        <v>10</v>
      </c>
      <c r="AD142" s="93">
        <v>11924.8</v>
      </c>
      <c r="AE142" s="93">
        <f t="shared" si="14"/>
        <v>119248</v>
      </c>
      <c r="AF142" s="196">
        <v>10</v>
      </c>
      <c r="AG142" s="197">
        <v>11924.8</v>
      </c>
      <c r="AH142" s="197">
        <f t="shared" si="15"/>
        <v>119248</v>
      </c>
    </row>
    <row r="143" spans="1:34" ht="18" thickBot="1" x14ac:dyDescent="0.25">
      <c r="A143" s="9" t="s">
        <v>35</v>
      </c>
      <c r="B143" s="75" t="s">
        <v>1334</v>
      </c>
      <c r="C143" s="9" t="s">
        <v>36</v>
      </c>
      <c r="D143" s="9" t="s">
        <v>120</v>
      </c>
      <c r="E143" s="9">
        <v>288</v>
      </c>
      <c r="F143" s="10">
        <v>17168</v>
      </c>
      <c r="G143" s="10">
        <f t="shared" si="6"/>
        <v>4944384</v>
      </c>
      <c r="H143" s="18">
        <v>20</v>
      </c>
      <c r="I143" s="19">
        <v>17168</v>
      </c>
      <c r="J143" s="19">
        <f t="shared" si="7"/>
        <v>343360</v>
      </c>
      <c r="K143" s="27"/>
      <c r="L143" s="28">
        <v>17168</v>
      </c>
      <c r="M143" s="28">
        <f t="shared" si="8"/>
        <v>0</v>
      </c>
      <c r="N143" s="291"/>
      <c r="O143" s="292">
        <v>17168</v>
      </c>
      <c r="P143" s="292">
        <f t="shared" si="9"/>
        <v>0</v>
      </c>
      <c r="Q143" s="23"/>
      <c r="R143" s="24">
        <v>17168</v>
      </c>
      <c r="S143" s="24">
        <f t="shared" si="10"/>
        <v>0</v>
      </c>
      <c r="T143" s="291"/>
      <c r="U143" s="292">
        <v>17168</v>
      </c>
      <c r="V143" s="292">
        <f t="shared" si="11"/>
        <v>0</v>
      </c>
      <c r="W143" s="295"/>
      <c r="X143" s="296">
        <v>17168</v>
      </c>
      <c r="Y143" s="296">
        <f t="shared" si="12"/>
        <v>0</v>
      </c>
      <c r="Z143" s="23"/>
      <c r="AA143" s="24">
        <v>17168</v>
      </c>
      <c r="AB143" s="24">
        <f t="shared" si="13"/>
        <v>0</v>
      </c>
      <c r="AC143" s="92"/>
      <c r="AD143" s="93">
        <v>17168</v>
      </c>
      <c r="AE143" s="93">
        <f t="shared" si="14"/>
        <v>0</v>
      </c>
      <c r="AF143" s="196"/>
      <c r="AG143" s="197">
        <v>17168</v>
      </c>
      <c r="AH143" s="197">
        <f t="shared" si="15"/>
        <v>0</v>
      </c>
    </row>
    <row r="144" spans="1:34" ht="18" thickBot="1" x14ac:dyDescent="0.25">
      <c r="A144" s="9" t="s">
        <v>1603</v>
      </c>
      <c r="B144" s="75" t="s">
        <v>1941</v>
      </c>
      <c r="C144" s="9" t="s">
        <v>36</v>
      </c>
      <c r="D144" s="9" t="s">
        <v>1604</v>
      </c>
      <c r="E144" s="9">
        <v>30</v>
      </c>
      <c r="F144" s="10">
        <v>10554.84</v>
      </c>
      <c r="G144" s="10">
        <f t="shared" si="6"/>
        <v>316645.2</v>
      </c>
      <c r="H144" s="18"/>
      <c r="I144" s="19">
        <v>10554.84</v>
      </c>
      <c r="J144" s="19">
        <f t="shared" si="7"/>
        <v>0</v>
      </c>
      <c r="K144" s="27"/>
      <c r="L144" s="28">
        <v>10554.84</v>
      </c>
      <c r="M144" s="28">
        <f t="shared" si="8"/>
        <v>0</v>
      </c>
      <c r="N144" s="291"/>
      <c r="O144" s="292">
        <v>10554.84</v>
      </c>
      <c r="P144" s="292">
        <f t="shared" si="9"/>
        <v>0</v>
      </c>
      <c r="Q144" s="23">
        <v>2</v>
      </c>
      <c r="R144" s="24">
        <v>10554.84</v>
      </c>
      <c r="S144" s="24">
        <f t="shared" si="10"/>
        <v>21109.68</v>
      </c>
      <c r="T144" s="291">
        <v>2</v>
      </c>
      <c r="U144" s="292">
        <v>10554.84</v>
      </c>
      <c r="V144" s="292">
        <f t="shared" si="11"/>
        <v>21109.68</v>
      </c>
      <c r="W144" s="295">
        <v>5</v>
      </c>
      <c r="X144" s="296">
        <v>10554.84</v>
      </c>
      <c r="Y144" s="296">
        <f t="shared" si="12"/>
        <v>52774.2</v>
      </c>
      <c r="Z144" s="23"/>
      <c r="AA144" s="24">
        <v>10554.84</v>
      </c>
      <c r="AB144" s="24">
        <f t="shared" si="13"/>
        <v>0</v>
      </c>
      <c r="AC144" s="92">
        <v>2</v>
      </c>
      <c r="AD144" s="93">
        <v>10554.84</v>
      </c>
      <c r="AE144" s="93">
        <f t="shared" si="14"/>
        <v>21109.68</v>
      </c>
      <c r="AF144" s="196">
        <v>2</v>
      </c>
      <c r="AG144" s="197">
        <v>10554.84</v>
      </c>
      <c r="AH144" s="197">
        <f t="shared" si="15"/>
        <v>21109.68</v>
      </c>
    </row>
    <row r="145" spans="1:34" ht="18" thickBot="1" x14ac:dyDescent="0.25">
      <c r="A145" s="9" t="s">
        <v>617</v>
      </c>
      <c r="B145" s="75" t="s">
        <v>1559</v>
      </c>
      <c r="C145" s="9" t="s">
        <v>36</v>
      </c>
      <c r="D145" s="9" t="s">
        <v>1605</v>
      </c>
      <c r="E145" s="9">
        <v>60</v>
      </c>
      <c r="F145" s="10">
        <v>1160</v>
      </c>
      <c r="G145" s="10">
        <f t="shared" si="6"/>
        <v>69600</v>
      </c>
      <c r="H145" s="18"/>
      <c r="I145" s="19">
        <v>1160</v>
      </c>
      <c r="J145" s="19">
        <f t="shared" si="7"/>
        <v>0</v>
      </c>
      <c r="K145" s="27"/>
      <c r="L145" s="28">
        <v>1160</v>
      </c>
      <c r="M145" s="28">
        <f t="shared" si="8"/>
        <v>0</v>
      </c>
      <c r="N145" s="291">
        <v>12</v>
      </c>
      <c r="O145" s="292">
        <v>1160</v>
      </c>
      <c r="P145" s="292">
        <f t="shared" si="9"/>
        <v>13920</v>
      </c>
      <c r="Q145" s="23"/>
      <c r="R145" s="24">
        <v>1160</v>
      </c>
      <c r="S145" s="24">
        <f t="shared" si="10"/>
        <v>0</v>
      </c>
      <c r="T145" s="291"/>
      <c r="U145" s="292">
        <v>1160</v>
      </c>
      <c r="V145" s="292">
        <f t="shared" si="11"/>
        <v>0</v>
      </c>
      <c r="W145" s="295"/>
      <c r="X145" s="296">
        <v>1160</v>
      </c>
      <c r="Y145" s="296">
        <f t="shared" si="12"/>
        <v>0</v>
      </c>
      <c r="Z145" s="23"/>
      <c r="AA145" s="24">
        <v>1160</v>
      </c>
      <c r="AB145" s="24">
        <f t="shared" si="13"/>
        <v>0</v>
      </c>
      <c r="AC145" s="92"/>
      <c r="AD145" s="93">
        <v>1160</v>
      </c>
      <c r="AE145" s="93">
        <f t="shared" si="14"/>
        <v>0</v>
      </c>
      <c r="AF145" s="196"/>
      <c r="AG145" s="197">
        <v>1160</v>
      </c>
      <c r="AH145" s="197">
        <f t="shared" si="15"/>
        <v>0</v>
      </c>
    </row>
    <row r="146" spans="1:34" ht="18" thickBot="1" x14ac:dyDescent="0.25">
      <c r="A146" s="9" t="s">
        <v>140</v>
      </c>
      <c r="B146" s="75" t="s">
        <v>974</v>
      </c>
      <c r="C146" s="9" t="s">
        <v>36</v>
      </c>
      <c r="D146" s="9" t="s">
        <v>668</v>
      </c>
      <c r="E146" s="9">
        <v>48</v>
      </c>
      <c r="F146" s="10">
        <v>4628.3999999999996</v>
      </c>
      <c r="G146" s="10">
        <f t="shared" si="6"/>
        <v>222163.19999999998</v>
      </c>
      <c r="H146" s="18"/>
      <c r="I146" s="19">
        <v>4628.3999999999996</v>
      </c>
      <c r="J146" s="19">
        <f t="shared" si="7"/>
        <v>0</v>
      </c>
      <c r="K146" s="27">
        <v>12</v>
      </c>
      <c r="L146" s="28">
        <v>4628.3999999999996</v>
      </c>
      <c r="M146" s="28">
        <f t="shared" si="8"/>
        <v>55540.799999999996</v>
      </c>
      <c r="N146" s="291">
        <v>12</v>
      </c>
      <c r="O146" s="292">
        <v>4628.3999999999996</v>
      </c>
      <c r="P146" s="292">
        <f t="shared" si="9"/>
        <v>55540.799999999996</v>
      </c>
      <c r="Q146" s="23">
        <v>6</v>
      </c>
      <c r="R146" s="24">
        <v>4628.3999999999996</v>
      </c>
      <c r="S146" s="24">
        <f t="shared" si="10"/>
        <v>27770.399999999998</v>
      </c>
      <c r="T146" s="291"/>
      <c r="U146" s="292">
        <v>4628.3999999999996</v>
      </c>
      <c r="V146" s="292">
        <f t="shared" si="11"/>
        <v>0</v>
      </c>
      <c r="W146" s="295">
        <v>6</v>
      </c>
      <c r="X146" s="296">
        <v>4628.3999999999996</v>
      </c>
      <c r="Y146" s="296">
        <f t="shared" si="12"/>
        <v>27770.399999999998</v>
      </c>
      <c r="Z146" s="23"/>
      <c r="AA146" s="24">
        <v>4628.3999999999996</v>
      </c>
      <c r="AB146" s="24">
        <f t="shared" si="13"/>
        <v>0</v>
      </c>
      <c r="AC146" s="92"/>
      <c r="AD146" s="93">
        <v>4628.3999999999996</v>
      </c>
      <c r="AE146" s="93">
        <f t="shared" si="14"/>
        <v>0</v>
      </c>
      <c r="AF146" s="196">
        <v>6</v>
      </c>
      <c r="AG146" s="197">
        <v>4628.3999999999996</v>
      </c>
      <c r="AH146" s="197">
        <f t="shared" si="15"/>
        <v>27770.399999999998</v>
      </c>
    </row>
    <row r="147" spans="1:34" ht="18" thickBot="1" x14ac:dyDescent="0.25">
      <c r="A147" s="9" t="s">
        <v>1600</v>
      </c>
      <c r="B147" s="75" t="s">
        <v>892</v>
      </c>
      <c r="C147" s="9" t="s">
        <v>36</v>
      </c>
      <c r="D147" s="9" t="s">
        <v>80</v>
      </c>
      <c r="E147" s="9">
        <v>240</v>
      </c>
      <c r="F147" s="10">
        <v>4872</v>
      </c>
      <c r="G147" s="10">
        <f t="shared" si="6"/>
        <v>1169280</v>
      </c>
      <c r="H147" s="18"/>
      <c r="I147" s="19">
        <v>4872</v>
      </c>
      <c r="J147" s="19">
        <f t="shared" si="7"/>
        <v>0</v>
      </c>
      <c r="K147" s="27"/>
      <c r="L147" s="28">
        <v>4872</v>
      </c>
      <c r="M147" s="28">
        <f t="shared" si="8"/>
        <v>0</v>
      </c>
      <c r="N147" s="291"/>
      <c r="O147" s="292">
        <v>4872</v>
      </c>
      <c r="P147" s="292">
        <f t="shared" si="9"/>
        <v>0</v>
      </c>
      <c r="Q147" s="23">
        <v>24</v>
      </c>
      <c r="R147" s="24">
        <v>4872</v>
      </c>
      <c r="S147" s="24">
        <f t="shared" si="10"/>
        <v>116928</v>
      </c>
      <c r="T147" s="291">
        <v>24</v>
      </c>
      <c r="U147" s="292">
        <v>4872</v>
      </c>
      <c r="V147" s="292">
        <f t="shared" si="11"/>
        <v>116928</v>
      </c>
      <c r="W147" s="295">
        <v>40</v>
      </c>
      <c r="X147" s="296">
        <v>4872</v>
      </c>
      <c r="Y147" s="296">
        <f t="shared" si="12"/>
        <v>194880</v>
      </c>
      <c r="Z147" s="23"/>
      <c r="AA147" s="24">
        <v>4872</v>
      </c>
      <c r="AB147" s="24">
        <f t="shared" si="13"/>
        <v>0</v>
      </c>
      <c r="AC147" s="92">
        <v>12</v>
      </c>
      <c r="AD147" s="93">
        <v>4872</v>
      </c>
      <c r="AE147" s="93">
        <f t="shared" si="14"/>
        <v>58464</v>
      </c>
      <c r="AF147" s="196">
        <v>24</v>
      </c>
      <c r="AG147" s="197">
        <v>4872</v>
      </c>
      <c r="AH147" s="197">
        <f t="shared" si="15"/>
        <v>116928</v>
      </c>
    </row>
    <row r="148" spans="1:34" ht="18" thickBot="1" x14ac:dyDescent="0.25">
      <c r="A148" s="9" t="s">
        <v>1606</v>
      </c>
      <c r="B148" s="75" t="s">
        <v>1942</v>
      </c>
      <c r="C148" s="9" t="s">
        <v>36</v>
      </c>
      <c r="D148" s="9" t="s">
        <v>1226</v>
      </c>
      <c r="E148" s="9">
        <v>200</v>
      </c>
      <c r="F148" s="10">
        <v>9396</v>
      </c>
      <c r="G148" s="10">
        <f t="shared" si="6"/>
        <v>1879200</v>
      </c>
      <c r="H148" s="18"/>
      <c r="I148" s="19">
        <v>9396</v>
      </c>
      <c r="J148" s="19">
        <f t="shared" si="7"/>
        <v>0</v>
      </c>
      <c r="K148" s="27">
        <v>24</v>
      </c>
      <c r="L148" s="28">
        <v>9396</v>
      </c>
      <c r="M148" s="28">
        <f t="shared" si="8"/>
        <v>225504</v>
      </c>
      <c r="N148" s="291">
        <v>10</v>
      </c>
      <c r="O148" s="292">
        <v>9396</v>
      </c>
      <c r="P148" s="292">
        <f t="shared" si="9"/>
        <v>93960</v>
      </c>
      <c r="Q148" s="23">
        <v>15</v>
      </c>
      <c r="R148" s="24">
        <v>9396</v>
      </c>
      <c r="S148" s="24">
        <f t="shared" si="10"/>
        <v>140940</v>
      </c>
      <c r="T148" s="291">
        <v>14</v>
      </c>
      <c r="U148" s="292">
        <v>9396</v>
      </c>
      <c r="V148" s="292">
        <f t="shared" si="11"/>
        <v>131544</v>
      </c>
      <c r="W148" s="295">
        <v>30</v>
      </c>
      <c r="X148" s="296">
        <v>9396</v>
      </c>
      <c r="Y148" s="296">
        <f t="shared" si="12"/>
        <v>281880</v>
      </c>
      <c r="Z148" s="23"/>
      <c r="AA148" s="24">
        <v>9396</v>
      </c>
      <c r="AB148" s="24">
        <f t="shared" si="13"/>
        <v>0</v>
      </c>
      <c r="AC148" s="92">
        <v>8</v>
      </c>
      <c r="AD148" s="93">
        <v>9396</v>
      </c>
      <c r="AE148" s="93">
        <f t="shared" si="14"/>
        <v>75168</v>
      </c>
      <c r="AF148" s="196">
        <v>10</v>
      </c>
      <c r="AG148" s="197">
        <v>9396</v>
      </c>
      <c r="AH148" s="197">
        <f t="shared" si="15"/>
        <v>93960</v>
      </c>
    </row>
    <row r="149" spans="1:34" ht="18" thickBot="1" x14ac:dyDescent="0.25">
      <c r="A149" s="9" t="s">
        <v>285</v>
      </c>
      <c r="B149" s="75" t="s">
        <v>887</v>
      </c>
      <c r="C149" s="9" t="s">
        <v>36</v>
      </c>
      <c r="D149" s="9" t="s">
        <v>302</v>
      </c>
      <c r="E149" s="9">
        <v>70</v>
      </c>
      <c r="F149" s="10">
        <v>15196</v>
      </c>
      <c r="G149" s="10">
        <f t="shared" si="6"/>
        <v>1063720</v>
      </c>
      <c r="H149" s="18">
        <v>8</v>
      </c>
      <c r="I149" s="19">
        <v>15196</v>
      </c>
      <c r="J149" s="19">
        <f t="shared" si="7"/>
        <v>121568</v>
      </c>
      <c r="K149" s="27"/>
      <c r="L149" s="28">
        <v>15196</v>
      </c>
      <c r="M149" s="28">
        <f t="shared" si="8"/>
        <v>0</v>
      </c>
      <c r="N149" s="291"/>
      <c r="O149" s="292">
        <v>15196</v>
      </c>
      <c r="P149" s="292">
        <f t="shared" si="9"/>
        <v>0</v>
      </c>
      <c r="Q149" s="23"/>
      <c r="R149" s="24">
        <v>15196</v>
      </c>
      <c r="S149" s="24">
        <f t="shared" si="10"/>
        <v>0</v>
      </c>
      <c r="T149" s="291"/>
      <c r="U149" s="292">
        <v>15196</v>
      </c>
      <c r="V149" s="292">
        <f t="shared" si="11"/>
        <v>0</v>
      </c>
      <c r="W149" s="295"/>
      <c r="X149" s="296">
        <v>15196</v>
      </c>
      <c r="Y149" s="296">
        <f t="shared" si="12"/>
        <v>0</v>
      </c>
      <c r="Z149" s="23"/>
      <c r="AA149" s="24">
        <v>15196</v>
      </c>
      <c r="AB149" s="24">
        <f t="shared" si="13"/>
        <v>0</v>
      </c>
      <c r="AC149" s="92"/>
      <c r="AD149" s="93">
        <v>15196</v>
      </c>
      <c r="AE149" s="93">
        <f t="shared" si="14"/>
        <v>0</v>
      </c>
      <c r="AF149" s="196"/>
      <c r="AG149" s="197">
        <v>15196</v>
      </c>
      <c r="AH149" s="197">
        <f t="shared" si="15"/>
        <v>0</v>
      </c>
    </row>
    <row r="150" spans="1:34" ht="18" thickBot="1" x14ac:dyDescent="0.25">
      <c r="A150" s="9" t="s">
        <v>283</v>
      </c>
      <c r="B150" s="75" t="s">
        <v>837</v>
      </c>
      <c r="C150" s="9" t="s">
        <v>36</v>
      </c>
      <c r="D150" s="9" t="s">
        <v>827</v>
      </c>
      <c r="E150" s="9">
        <v>36</v>
      </c>
      <c r="F150" s="10">
        <v>2668</v>
      </c>
      <c r="G150" s="10">
        <f t="shared" si="6"/>
        <v>96048</v>
      </c>
      <c r="H150" s="18">
        <v>9</v>
      </c>
      <c r="I150" s="19">
        <v>2668</v>
      </c>
      <c r="J150" s="19">
        <f t="shared" si="7"/>
        <v>24012</v>
      </c>
      <c r="K150" s="27">
        <v>10</v>
      </c>
      <c r="L150" s="28">
        <v>2668</v>
      </c>
      <c r="M150" s="28">
        <f t="shared" si="8"/>
        <v>26680</v>
      </c>
      <c r="N150" s="291">
        <v>9</v>
      </c>
      <c r="O150" s="292">
        <v>2668</v>
      </c>
      <c r="P150" s="292">
        <f t="shared" si="9"/>
        <v>24012</v>
      </c>
      <c r="Q150" s="23"/>
      <c r="R150" s="24">
        <v>2668</v>
      </c>
      <c r="S150" s="24">
        <f t="shared" si="10"/>
        <v>0</v>
      </c>
      <c r="T150" s="291"/>
      <c r="U150" s="292">
        <v>2668</v>
      </c>
      <c r="V150" s="292">
        <f t="shared" si="11"/>
        <v>0</v>
      </c>
      <c r="W150" s="295">
        <v>3</v>
      </c>
      <c r="X150" s="296">
        <v>2668</v>
      </c>
      <c r="Y150" s="296">
        <f t="shared" si="12"/>
        <v>8004</v>
      </c>
      <c r="Z150" s="23"/>
      <c r="AA150" s="24">
        <v>2668</v>
      </c>
      <c r="AB150" s="24">
        <f t="shared" si="13"/>
        <v>0</v>
      </c>
      <c r="AC150" s="92"/>
      <c r="AD150" s="93">
        <v>2668</v>
      </c>
      <c r="AE150" s="93">
        <f t="shared" si="14"/>
        <v>0</v>
      </c>
      <c r="AF150" s="196">
        <v>3</v>
      </c>
      <c r="AG150" s="197">
        <v>2668</v>
      </c>
      <c r="AH150" s="197">
        <f t="shared" si="15"/>
        <v>8004</v>
      </c>
    </row>
    <row r="151" spans="1:34" ht="18" thickBot="1" x14ac:dyDescent="0.25">
      <c r="A151" s="9" t="s">
        <v>140</v>
      </c>
      <c r="B151" s="75" t="s">
        <v>919</v>
      </c>
      <c r="C151" s="9" t="s">
        <v>36</v>
      </c>
      <c r="D151" s="9" t="s">
        <v>408</v>
      </c>
      <c r="E151" s="9">
        <v>200</v>
      </c>
      <c r="F151" s="10">
        <v>8816</v>
      </c>
      <c r="G151" s="10">
        <f t="shared" si="6"/>
        <v>1763200</v>
      </c>
      <c r="H151" s="18">
        <v>28</v>
      </c>
      <c r="I151" s="19">
        <v>8816</v>
      </c>
      <c r="J151" s="19">
        <f t="shared" si="7"/>
        <v>246848</v>
      </c>
      <c r="K151" s="27">
        <v>28</v>
      </c>
      <c r="L151" s="28">
        <v>8816</v>
      </c>
      <c r="M151" s="28">
        <f t="shared" si="8"/>
        <v>246848</v>
      </c>
      <c r="N151" s="291">
        <v>28</v>
      </c>
      <c r="O151" s="292">
        <v>8816</v>
      </c>
      <c r="P151" s="292">
        <f t="shared" si="9"/>
        <v>246848</v>
      </c>
      <c r="Q151" s="23"/>
      <c r="R151" s="24">
        <v>8816</v>
      </c>
      <c r="S151" s="24">
        <f t="shared" si="10"/>
        <v>0</v>
      </c>
      <c r="T151" s="291">
        <v>6</v>
      </c>
      <c r="U151" s="292">
        <v>8816</v>
      </c>
      <c r="V151" s="292">
        <f t="shared" si="11"/>
        <v>52896</v>
      </c>
      <c r="W151" s="295">
        <v>34</v>
      </c>
      <c r="X151" s="296">
        <v>8816</v>
      </c>
      <c r="Y151" s="296">
        <f t="shared" si="12"/>
        <v>299744</v>
      </c>
      <c r="Z151" s="23"/>
      <c r="AA151" s="24">
        <v>8816</v>
      </c>
      <c r="AB151" s="24">
        <f t="shared" si="13"/>
        <v>0</v>
      </c>
      <c r="AC151" s="92"/>
      <c r="AD151" s="93">
        <v>8816</v>
      </c>
      <c r="AE151" s="93">
        <f t="shared" si="14"/>
        <v>0</v>
      </c>
      <c r="AF151" s="196"/>
      <c r="AG151" s="197">
        <v>8816</v>
      </c>
      <c r="AH151" s="197">
        <f t="shared" si="15"/>
        <v>0</v>
      </c>
    </row>
    <row r="152" spans="1:34" ht="18" thickBot="1" x14ac:dyDescent="0.25">
      <c r="A152" s="9" t="s">
        <v>1607</v>
      </c>
      <c r="B152" s="75" t="s">
        <v>1560</v>
      </c>
      <c r="C152" s="9" t="s">
        <v>36</v>
      </c>
      <c r="D152" s="9" t="s">
        <v>1251</v>
      </c>
      <c r="E152" s="9">
        <v>36</v>
      </c>
      <c r="F152" s="10">
        <v>8584</v>
      </c>
      <c r="G152" s="10">
        <f t="shared" si="6"/>
        <v>309024</v>
      </c>
      <c r="H152" s="18">
        <v>10</v>
      </c>
      <c r="I152" s="19">
        <v>8584</v>
      </c>
      <c r="J152" s="19">
        <f t="shared" si="7"/>
        <v>85840</v>
      </c>
      <c r="K152" s="27">
        <v>12</v>
      </c>
      <c r="L152" s="28">
        <v>8584</v>
      </c>
      <c r="M152" s="28">
        <f t="shared" si="8"/>
        <v>103008</v>
      </c>
      <c r="N152" s="291">
        <v>8</v>
      </c>
      <c r="O152" s="292">
        <v>8584</v>
      </c>
      <c r="P152" s="292">
        <f t="shared" si="9"/>
        <v>68672</v>
      </c>
      <c r="Q152" s="23"/>
      <c r="R152" s="24">
        <v>8584</v>
      </c>
      <c r="S152" s="24">
        <f t="shared" si="10"/>
        <v>0</v>
      </c>
      <c r="T152" s="291"/>
      <c r="U152" s="292">
        <v>8584</v>
      </c>
      <c r="V152" s="292">
        <f t="shared" si="11"/>
        <v>0</v>
      </c>
      <c r="W152" s="295">
        <v>2</v>
      </c>
      <c r="X152" s="296">
        <v>8584</v>
      </c>
      <c r="Y152" s="296">
        <f t="shared" si="12"/>
        <v>17168</v>
      </c>
      <c r="Z152" s="23"/>
      <c r="AA152" s="24">
        <v>8584</v>
      </c>
      <c r="AB152" s="24">
        <f t="shared" si="13"/>
        <v>0</v>
      </c>
      <c r="AC152" s="92"/>
      <c r="AD152" s="93">
        <v>8584</v>
      </c>
      <c r="AE152" s="93">
        <f t="shared" si="14"/>
        <v>0</v>
      </c>
      <c r="AF152" s="196"/>
      <c r="AG152" s="197">
        <v>8584</v>
      </c>
      <c r="AH152" s="197">
        <f t="shared" si="15"/>
        <v>0</v>
      </c>
    </row>
    <row r="153" spans="1:34" ht="18" thickBot="1" x14ac:dyDescent="0.25">
      <c r="A153" s="9" t="s">
        <v>683</v>
      </c>
      <c r="B153" s="75" t="s">
        <v>851</v>
      </c>
      <c r="C153" s="9" t="s">
        <v>36</v>
      </c>
      <c r="D153" s="9" t="s">
        <v>337</v>
      </c>
      <c r="E153" s="9">
        <v>60</v>
      </c>
      <c r="F153" s="10">
        <v>2577.52</v>
      </c>
      <c r="G153" s="10">
        <f t="shared" si="6"/>
        <v>154651.20000000001</v>
      </c>
      <c r="H153" s="18">
        <v>10</v>
      </c>
      <c r="I153" s="19">
        <v>2577.52</v>
      </c>
      <c r="J153" s="19">
        <f t="shared" si="7"/>
        <v>25775.200000000001</v>
      </c>
      <c r="K153" s="27">
        <v>15</v>
      </c>
      <c r="L153" s="28">
        <v>2577.52</v>
      </c>
      <c r="M153" s="28">
        <f t="shared" si="8"/>
        <v>38662.800000000003</v>
      </c>
      <c r="N153" s="291">
        <v>10</v>
      </c>
      <c r="O153" s="292">
        <v>2577.52</v>
      </c>
      <c r="P153" s="292">
        <f t="shared" si="9"/>
        <v>25775.200000000001</v>
      </c>
      <c r="Q153" s="23">
        <v>3</v>
      </c>
      <c r="R153" s="24">
        <v>2577.52</v>
      </c>
      <c r="S153" s="24">
        <f t="shared" si="10"/>
        <v>7732.5599999999995</v>
      </c>
      <c r="T153" s="291"/>
      <c r="U153" s="292">
        <v>2577.52</v>
      </c>
      <c r="V153" s="292">
        <f t="shared" si="11"/>
        <v>0</v>
      </c>
      <c r="W153" s="295">
        <v>8</v>
      </c>
      <c r="X153" s="296">
        <v>2577.52</v>
      </c>
      <c r="Y153" s="296">
        <f t="shared" si="12"/>
        <v>20620.16</v>
      </c>
      <c r="Z153" s="23"/>
      <c r="AA153" s="24">
        <v>2577.52</v>
      </c>
      <c r="AB153" s="24">
        <f t="shared" si="13"/>
        <v>0</v>
      </c>
      <c r="AC153" s="92"/>
      <c r="AD153" s="93">
        <v>2577.52</v>
      </c>
      <c r="AE153" s="93">
        <f t="shared" si="14"/>
        <v>0</v>
      </c>
      <c r="AF153" s="196">
        <v>9</v>
      </c>
      <c r="AG153" s="197">
        <v>2577.52</v>
      </c>
      <c r="AH153" s="197">
        <f t="shared" si="15"/>
        <v>23197.68</v>
      </c>
    </row>
    <row r="154" spans="1:34" ht="18" thickBot="1" x14ac:dyDescent="0.25">
      <c r="A154" s="9" t="s">
        <v>285</v>
      </c>
      <c r="B154" s="75" t="s">
        <v>858</v>
      </c>
      <c r="C154" s="9" t="s">
        <v>36</v>
      </c>
      <c r="D154" s="9" t="s">
        <v>656</v>
      </c>
      <c r="E154" s="9">
        <v>90</v>
      </c>
      <c r="F154" s="10">
        <v>3074</v>
      </c>
      <c r="G154" s="10">
        <f t="shared" si="6"/>
        <v>276660</v>
      </c>
      <c r="H154" s="18">
        <v>14</v>
      </c>
      <c r="I154" s="19">
        <v>3074</v>
      </c>
      <c r="J154" s="19">
        <f t="shared" si="7"/>
        <v>43036</v>
      </c>
      <c r="K154" s="27">
        <v>24</v>
      </c>
      <c r="L154" s="28">
        <v>3074</v>
      </c>
      <c r="M154" s="28">
        <f t="shared" si="8"/>
        <v>73776</v>
      </c>
      <c r="N154" s="291">
        <v>24</v>
      </c>
      <c r="O154" s="292">
        <v>3074</v>
      </c>
      <c r="P154" s="292">
        <f t="shared" si="9"/>
        <v>73776</v>
      </c>
      <c r="Q154" s="23">
        <v>2</v>
      </c>
      <c r="R154" s="24">
        <v>3074</v>
      </c>
      <c r="S154" s="24">
        <f t="shared" si="10"/>
        <v>6148</v>
      </c>
      <c r="T154" s="291"/>
      <c r="U154" s="292">
        <v>3074</v>
      </c>
      <c r="V154" s="292">
        <f t="shared" si="11"/>
        <v>0</v>
      </c>
      <c r="W154" s="295">
        <v>9</v>
      </c>
      <c r="X154" s="296">
        <v>3074</v>
      </c>
      <c r="Y154" s="296">
        <f t="shared" si="12"/>
        <v>27666</v>
      </c>
      <c r="Z154" s="23"/>
      <c r="AA154" s="24">
        <v>3074</v>
      </c>
      <c r="AB154" s="24">
        <f t="shared" si="13"/>
        <v>0</v>
      </c>
      <c r="AC154" s="92"/>
      <c r="AD154" s="93">
        <v>3074</v>
      </c>
      <c r="AE154" s="93">
        <f t="shared" si="14"/>
        <v>0</v>
      </c>
      <c r="AF154" s="196"/>
      <c r="AG154" s="197">
        <v>3074</v>
      </c>
      <c r="AH154" s="197">
        <f t="shared" si="15"/>
        <v>0</v>
      </c>
    </row>
    <row r="155" spans="1:34" ht="18" thickBot="1" x14ac:dyDescent="0.25">
      <c r="A155" s="9" t="s">
        <v>1168</v>
      </c>
      <c r="B155" s="75" t="s">
        <v>846</v>
      </c>
      <c r="C155" s="9" t="s">
        <v>36</v>
      </c>
      <c r="D155" s="9" t="s">
        <v>41</v>
      </c>
      <c r="E155" s="9">
        <v>170</v>
      </c>
      <c r="F155" s="10">
        <v>17342</v>
      </c>
      <c r="G155" s="10">
        <f t="shared" si="6"/>
        <v>2948140</v>
      </c>
      <c r="H155" s="18"/>
      <c r="I155" s="19">
        <v>17342</v>
      </c>
      <c r="J155" s="19">
        <f t="shared" si="7"/>
        <v>0</v>
      </c>
      <c r="K155" s="27"/>
      <c r="L155" s="28">
        <v>17342</v>
      </c>
      <c r="M155" s="28">
        <f t="shared" si="8"/>
        <v>0</v>
      </c>
      <c r="N155" s="291"/>
      <c r="O155" s="292">
        <v>17342</v>
      </c>
      <c r="P155" s="292">
        <f t="shared" si="9"/>
        <v>0</v>
      </c>
      <c r="Q155" s="23">
        <v>10</v>
      </c>
      <c r="R155" s="24">
        <v>17342</v>
      </c>
      <c r="S155" s="24">
        <f t="shared" si="10"/>
        <v>173420</v>
      </c>
      <c r="T155" s="291">
        <v>6</v>
      </c>
      <c r="U155" s="292">
        <v>17342</v>
      </c>
      <c r="V155" s="292">
        <f t="shared" si="11"/>
        <v>104052</v>
      </c>
      <c r="W155" s="295"/>
      <c r="X155" s="296">
        <v>17342</v>
      </c>
      <c r="Y155" s="296">
        <f t="shared" si="12"/>
        <v>0</v>
      </c>
      <c r="Z155" s="23"/>
      <c r="AA155" s="24">
        <v>17342</v>
      </c>
      <c r="AB155" s="24">
        <f t="shared" si="13"/>
        <v>0</v>
      </c>
      <c r="AC155" s="92"/>
      <c r="AD155" s="93">
        <v>17342</v>
      </c>
      <c r="AE155" s="93">
        <f t="shared" si="14"/>
        <v>0</v>
      </c>
      <c r="AF155" s="196"/>
      <c r="AG155" s="197">
        <v>17342</v>
      </c>
      <c r="AH155" s="197">
        <f t="shared" si="15"/>
        <v>0</v>
      </c>
    </row>
    <row r="156" spans="1:34" ht="18" thickBot="1" x14ac:dyDescent="0.25">
      <c r="A156" s="9" t="s">
        <v>140</v>
      </c>
      <c r="B156" s="75" t="s">
        <v>1345</v>
      </c>
      <c r="C156" s="9" t="s">
        <v>36</v>
      </c>
      <c r="D156" s="9" t="s">
        <v>335</v>
      </c>
      <c r="E156" s="9">
        <v>60</v>
      </c>
      <c r="F156" s="10">
        <v>12748.4</v>
      </c>
      <c r="G156" s="10">
        <f t="shared" si="6"/>
        <v>764904</v>
      </c>
      <c r="H156" s="18"/>
      <c r="I156" s="19">
        <v>12748.4</v>
      </c>
      <c r="J156" s="19">
        <f t="shared" si="7"/>
        <v>0</v>
      </c>
      <c r="K156" s="27"/>
      <c r="L156" s="28">
        <v>12748.4</v>
      </c>
      <c r="M156" s="28">
        <f t="shared" si="8"/>
        <v>0</v>
      </c>
      <c r="N156" s="291"/>
      <c r="O156" s="292">
        <v>12748.4</v>
      </c>
      <c r="P156" s="292">
        <f t="shared" si="9"/>
        <v>0</v>
      </c>
      <c r="Q156" s="23">
        <v>6</v>
      </c>
      <c r="R156" s="24">
        <v>12748.4</v>
      </c>
      <c r="S156" s="24">
        <f t="shared" si="10"/>
        <v>76490.399999999994</v>
      </c>
      <c r="T156" s="291">
        <v>5</v>
      </c>
      <c r="U156" s="292">
        <v>12748.4</v>
      </c>
      <c r="V156" s="292">
        <f t="shared" si="11"/>
        <v>63742</v>
      </c>
      <c r="W156" s="295">
        <v>10</v>
      </c>
      <c r="X156" s="296">
        <v>12748.4</v>
      </c>
      <c r="Y156" s="296">
        <f t="shared" si="12"/>
        <v>127484</v>
      </c>
      <c r="Z156" s="23"/>
      <c r="AA156" s="24">
        <v>12748.4</v>
      </c>
      <c r="AB156" s="24">
        <f t="shared" si="13"/>
        <v>0</v>
      </c>
      <c r="AC156" s="92">
        <v>10</v>
      </c>
      <c r="AD156" s="93">
        <v>12748.4</v>
      </c>
      <c r="AE156" s="93">
        <f t="shared" si="14"/>
        <v>127484</v>
      </c>
      <c r="AF156" s="196">
        <v>10</v>
      </c>
      <c r="AG156" s="197">
        <v>12748.4</v>
      </c>
      <c r="AH156" s="197">
        <f t="shared" si="15"/>
        <v>127484</v>
      </c>
    </row>
    <row r="157" spans="1:34" ht="18" thickBot="1" x14ac:dyDescent="0.25">
      <c r="A157" s="9" t="s">
        <v>57</v>
      </c>
      <c r="B157" s="75" t="s">
        <v>917</v>
      </c>
      <c r="C157" s="9" t="s">
        <v>36</v>
      </c>
      <c r="D157" s="9" t="s">
        <v>684</v>
      </c>
      <c r="E157" s="9">
        <v>20</v>
      </c>
      <c r="F157" s="10">
        <v>3654</v>
      </c>
      <c r="G157" s="10">
        <f t="shared" si="6"/>
        <v>73080</v>
      </c>
      <c r="H157" s="18">
        <v>5</v>
      </c>
      <c r="I157" s="19">
        <v>3654</v>
      </c>
      <c r="J157" s="19">
        <f t="shared" si="7"/>
        <v>18270</v>
      </c>
      <c r="K157" s="27">
        <v>5</v>
      </c>
      <c r="L157" s="28">
        <v>3654</v>
      </c>
      <c r="M157" s="28">
        <f t="shared" si="8"/>
        <v>18270</v>
      </c>
      <c r="N157" s="291">
        <v>5</v>
      </c>
      <c r="O157" s="292">
        <v>3654</v>
      </c>
      <c r="P157" s="292">
        <f t="shared" si="9"/>
        <v>18270</v>
      </c>
      <c r="Q157" s="23"/>
      <c r="R157" s="24">
        <v>3654</v>
      </c>
      <c r="S157" s="24">
        <f t="shared" si="10"/>
        <v>0</v>
      </c>
      <c r="T157" s="291"/>
      <c r="U157" s="292">
        <v>3654</v>
      </c>
      <c r="V157" s="292">
        <f t="shared" si="11"/>
        <v>0</v>
      </c>
      <c r="W157" s="295"/>
      <c r="X157" s="296">
        <v>3654</v>
      </c>
      <c r="Y157" s="296">
        <f t="shared" si="12"/>
        <v>0</v>
      </c>
      <c r="Z157" s="23"/>
      <c r="AA157" s="24">
        <v>3654</v>
      </c>
      <c r="AB157" s="24">
        <f t="shared" si="13"/>
        <v>0</v>
      </c>
      <c r="AC157" s="92"/>
      <c r="AD157" s="93">
        <v>3654</v>
      </c>
      <c r="AE157" s="93">
        <f t="shared" si="14"/>
        <v>0</v>
      </c>
      <c r="AF157" s="196">
        <v>5</v>
      </c>
      <c r="AG157" s="197">
        <v>3654</v>
      </c>
      <c r="AH157" s="197">
        <f t="shared" si="15"/>
        <v>18270</v>
      </c>
    </row>
    <row r="158" spans="1:34" ht="18" thickBot="1" x14ac:dyDescent="0.25">
      <c r="A158" s="9" t="s">
        <v>1608</v>
      </c>
      <c r="B158" s="75" t="s">
        <v>926</v>
      </c>
      <c r="C158" s="9" t="s">
        <v>36</v>
      </c>
      <c r="D158" s="9" t="s">
        <v>996</v>
      </c>
      <c r="E158" s="9">
        <v>40</v>
      </c>
      <c r="F158" s="10">
        <v>13920</v>
      </c>
      <c r="G158" s="10">
        <f t="shared" si="6"/>
        <v>556800</v>
      </c>
      <c r="H158" s="18"/>
      <c r="I158" s="19">
        <v>13920</v>
      </c>
      <c r="J158" s="19">
        <f t="shared" si="7"/>
        <v>0</v>
      </c>
      <c r="K158" s="27"/>
      <c r="L158" s="28">
        <v>13920</v>
      </c>
      <c r="M158" s="28">
        <f t="shared" si="8"/>
        <v>0</v>
      </c>
      <c r="N158" s="291"/>
      <c r="O158" s="292">
        <v>13920</v>
      </c>
      <c r="P158" s="292">
        <f t="shared" si="9"/>
        <v>0</v>
      </c>
      <c r="Q158" s="23"/>
      <c r="R158" s="24">
        <v>13920</v>
      </c>
      <c r="S158" s="24">
        <f t="shared" si="10"/>
        <v>0</v>
      </c>
      <c r="T158" s="291"/>
      <c r="U158" s="292">
        <v>13920</v>
      </c>
      <c r="V158" s="292">
        <f t="shared" si="11"/>
        <v>0</v>
      </c>
      <c r="W158" s="295"/>
      <c r="X158" s="296">
        <v>13920</v>
      </c>
      <c r="Y158" s="296">
        <f t="shared" si="12"/>
        <v>0</v>
      </c>
      <c r="Z158" s="23"/>
      <c r="AA158" s="24">
        <v>13920</v>
      </c>
      <c r="AB158" s="24">
        <f t="shared" si="13"/>
        <v>0</v>
      </c>
      <c r="AC158" s="92"/>
      <c r="AD158" s="93">
        <v>13920</v>
      </c>
      <c r="AE158" s="93">
        <f t="shared" si="14"/>
        <v>0</v>
      </c>
      <c r="AF158" s="196"/>
      <c r="AG158" s="197">
        <v>13920</v>
      </c>
      <c r="AH158" s="197">
        <f t="shared" si="15"/>
        <v>0</v>
      </c>
    </row>
    <row r="159" spans="1:34" ht="18" thickBot="1" x14ac:dyDescent="0.25">
      <c r="A159" s="9" t="s">
        <v>283</v>
      </c>
      <c r="B159" s="75" t="s">
        <v>1764</v>
      </c>
      <c r="C159" s="9" t="s">
        <v>36</v>
      </c>
      <c r="D159" s="9" t="s">
        <v>1609</v>
      </c>
      <c r="E159" s="9">
        <v>48</v>
      </c>
      <c r="F159" s="10">
        <v>5220</v>
      </c>
      <c r="G159" s="10">
        <f t="shared" si="6"/>
        <v>250560</v>
      </c>
      <c r="H159" s="18">
        <v>12</v>
      </c>
      <c r="I159" s="19">
        <v>5220</v>
      </c>
      <c r="J159" s="19">
        <f t="shared" si="7"/>
        <v>62640</v>
      </c>
      <c r="K159" s="27">
        <v>12</v>
      </c>
      <c r="L159" s="28">
        <v>5220</v>
      </c>
      <c r="M159" s="28">
        <f t="shared" si="8"/>
        <v>62640</v>
      </c>
      <c r="N159" s="291">
        <v>6</v>
      </c>
      <c r="O159" s="292">
        <v>5220</v>
      </c>
      <c r="P159" s="292">
        <f t="shared" si="9"/>
        <v>31320</v>
      </c>
      <c r="Q159" s="23"/>
      <c r="R159" s="24">
        <v>5220</v>
      </c>
      <c r="S159" s="24">
        <f t="shared" si="10"/>
        <v>0</v>
      </c>
      <c r="T159" s="291"/>
      <c r="U159" s="292">
        <v>5220</v>
      </c>
      <c r="V159" s="292">
        <f t="shared" si="11"/>
        <v>0</v>
      </c>
      <c r="W159" s="295"/>
      <c r="X159" s="296">
        <v>5220</v>
      </c>
      <c r="Y159" s="296">
        <f t="shared" si="12"/>
        <v>0</v>
      </c>
      <c r="Z159" s="23"/>
      <c r="AA159" s="24">
        <v>5220</v>
      </c>
      <c r="AB159" s="24">
        <f t="shared" si="13"/>
        <v>0</v>
      </c>
      <c r="AC159" s="92"/>
      <c r="AD159" s="93">
        <v>5220</v>
      </c>
      <c r="AE159" s="93">
        <f t="shared" si="14"/>
        <v>0</v>
      </c>
      <c r="AF159" s="196"/>
      <c r="AG159" s="197">
        <v>5220</v>
      </c>
      <c r="AH159" s="197">
        <f t="shared" si="15"/>
        <v>0</v>
      </c>
    </row>
    <row r="160" spans="1:34" ht="18" thickBot="1" x14ac:dyDescent="0.25">
      <c r="A160" s="9" t="s">
        <v>243</v>
      </c>
      <c r="B160" s="75" t="s">
        <v>1943</v>
      </c>
      <c r="C160" s="9" t="s">
        <v>36</v>
      </c>
      <c r="D160" s="9" t="s">
        <v>671</v>
      </c>
      <c r="E160" s="9">
        <v>36</v>
      </c>
      <c r="F160" s="10">
        <v>4872</v>
      </c>
      <c r="G160" s="10">
        <f t="shared" si="6"/>
        <v>175392</v>
      </c>
      <c r="H160" s="18">
        <v>6</v>
      </c>
      <c r="I160" s="19">
        <v>4872</v>
      </c>
      <c r="J160" s="19">
        <f t="shared" si="7"/>
        <v>29232</v>
      </c>
      <c r="K160" s="27"/>
      <c r="L160" s="28">
        <v>4872</v>
      </c>
      <c r="M160" s="28">
        <f t="shared" si="8"/>
        <v>0</v>
      </c>
      <c r="N160" s="291"/>
      <c r="O160" s="292">
        <v>4872</v>
      </c>
      <c r="P160" s="292">
        <f t="shared" si="9"/>
        <v>0</v>
      </c>
      <c r="Q160" s="23">
        <v>3</v>
      </c>
      <c r="R160" s="24">
        <v>4872</v>
      </c>
      <c r="S160" s="24">
        <f t="shared" si="10"/>
        <v>14616</v>
      </c>
      <c r="T160" s="291">
        <v>3</v>
      </c>
      <c r="U160" s="292">
        <v>4872</v>
      </c>
      <c r="V160" s="292">
        <f t="shared" si="11"/>
        <v>14616</v>
      </c>
      <c r="W160" s="295">
        <v>6</v>
      </c>
      <c r="X160" s="296">
        <v>4872</v>
      </c>
      <c r="Y160" s="296">
        <f t="shared" si="12"/>
        <v>29232</v>
      </c>
      <c r="Z160" s="23"/>
      <c r="AA160" s="24">
        <v>4872</v>
      </c>
      <c r="AB160" s="24">
        <f t="shared" si="13"/>
        <v>0</v>
      </c>
      <c r="AC160" s="92">
        <v>6</v>
      </c>
      <c r="AD160" s="93">
        <v>4872</v>
      </c>
      <c r="AE160" s="93">
        <f t="shared" si="14"/>
        <v>29232</v>
      </c>
      <c r="AF160" s="196">
        <v>6</v>
      </c>
      <c r="AG160" s="197">
        <v>4872</v>
      </c>
      <c r="AH160" s="197">
        <f t="shared" si="15"/>
        <v>29232</v>
      </c>
    </row>
    <row r="161" spans="1:34" ht="18" thickBot="1" x14ac:dyDescent="0.25">
      <c r="A161" s="9" t="s">
        <v>290</v>
      </c>
      <c r="B161" s="75" t="s">
        <v>831</v>
      </c>
      <c r="C161" s="9" t="s">
        <v>36</v>
      </c>
      <c r="D161" s="9" t="s">
        <v>119</v>
      </c>
      <c r="E161" s="9">
        <v>545</v>
      </c>
      <c r="F161" s="10">
        <v>3468.4</v>
      </c>
      <c r="G161" s="10">
        <f t="shared" si="6"/>
        <v>1890278</v>
      </c>
      <c r="H161" s="18"/>
      <c r="I161" s="19">
        <v>3468.4</v>
      </c>
      <c r="J161" s="19">
        <f t="shared" si="7"/>
        <v>0</v>
      </c>
      <c r="K161" s="27"/>
      <c r="L161" s="28">
        <v>3468.4</v>
      </c>
      <c r="M161" s="28">
        <f t="shared" si="8"/>
        <v>0</v>
      </c>
      <c r="N161" s="291"/>
      <c r="O161" s="292">
        <v>3468.4</v>
      </c>
      <c r="P161" s="292">
        <f t="shared" si="9"/>
        <v>0</v>
      </c>
      <c r="Q161" s="23">
        <v>12</v>
      </c>
      <c r="R161" s="24">
        <v>3468.4</v>
      </c>
      <c r="S161" s="24">
        <f t="shared" si="10"/>
        <v>41620.800000000003</v>
      </c>
      <c r="T161" s="291">
        <v>24</v>
      </c>
      <c r="U161" s="292">
        <v>3468.4</v>
      </c>
      <c r="V161" s="292">
        <f t="shared" si="11"/>
        <v>83241.600000000006</v>
      </c>
      <c r="W161" s="295">
        <v>25</v>
      </c>
      <c r="X161" s="296">
        <v>3468.4</v>
      </c>
      <c r="Y161" s="296">
        <f t="shared" si="12"/>
        <v>86710</v>
      </c>
      <c r="Z161" s="23"/>
      <c r="AA161" s="24">
        <v>3468.4</v>
      </c>
      <c r="AB161" s="24">
        <f t="shared" si="13"/>
        <v>0</v>
      </c>
      <c r="AC161" s="92">
        <v>12</v>
      </c>
      <c r="AD161" s="93">
        <v>3468.4</v>
      </c>
      <c r="AE161" s="93">
        <f t="shared" si="14"/>
        <v>41620.800000000003</v>
      </c>
      <c r="AF161" s="196">
        <v>12</v>
      </c>
      <c r="AG161" s="197">
        <v>3468.4</v>
      </c>
      <c r="AH161" s="197">
        <f t="shared" si="15"/>
        <v>41620.800000000003</v>
      </c>
    </row>
    <row r="162" spans="1:34" ht="18" thickBot="1" x14ac:dyDescent="0.25">
      <c r="A162" s="9" t="s">
        <v>57</v>
      </c>
      <c r="B162" s="75" t="s">
        <v>957</v>
      </c>
      <c r="C162" s="9" t="s">
        <v>36</v>
      </c>
      <c r="D162" s="9" t="s">
        <v>1262</v>
      </c>
      <c r="E162" s="9">
        <v>200</v>
      </c>
      <c r="F162" s="10">
        <v>3074</v>
      </c>
      <c r="G162" s="10">
        <f t="shared" si="6"/>
        <v>614800</v>
      </c>
      <c r="H162" s="18"/>
      <c r="I162" s="19">
        <v>3074</v>
      </c>
      <c r="J162" s="19">
        <f t="shared" si="7"/>
        <v>0</v>
      </c>
      <c r="K162" s="27"/>
      <c r="L162" s="28">
        <v>3074</v>
      </c>
      <c r="M162" s="28">
        <f t="shared" si="8"/>
        <v>0</v>
      </c>
      <c r="N162" s="291"/>
      <c r="O162" s="292">
        <v>3074</v>
      </c>
      <c r="P162" s="292">
        <f t="shared" si="9"/>
        <v>0</v>
      </c>
      <c r="Q162" s="23">
        <v>30</v>
      </c>
      <c r="R162" s="24">
        <v>3074</v>
      </c>
      <c r="S162" s="24">
        <f t="shared" si="10"/>
        <v>92220</v>
      </c>
      <c r="T162" s="291">
        <v>10</v>
      </c>
      <c r="U162" s="292">
        <v>3074</v>
      </c>
      <c r="V162" s="292">
        <f t="shared" si="11"/>
        <v>30740</v>
      </c>
      <c r="W162" s="295">
        <v>4</v>
      </c>
      <c r="X162" s="296">
        <v>3074</v>
      </c>
      <c r="Y162" s="296">
        <f t="shared" si="12"/>
        <v>12296</v>
      </c>
      <c r="Z162" s="23"/>
      <c r="AA162" s="24">
        <v>3074</v>
      </c>
      <c r="AB162" s="24">
        <f t="shared" si="13"/>
        <v>0</v>
      </c>
      <c r="AC162" s="92">
        <v>30</v>
      </c>
      <c r="AD162" s="93">
        <v>3074</v>
      </c>
      <c r="AE162" s="93">
        <f t="shared" si="14"/>
        <v>92220</v>
      </c>
      <c r="AF162" s="196">
        <v>10</v>
      </c>
      <c r="AG162" s="197">
        <v>3074</v>
      </c>
      <c r="AH162" s="197">
        <f t="shared" si="15"/>
        <v>30740</v>
      </c>
    </row>
    <row r="163" spans="1:34" ht="18" thickBot="1" x14ac:dyDescent="0.25">
      <c r="A163" s="9" t="s">
        <v>685</v>
      </c>
      <c r="B163" s="75" t="s">
        <v>1886</v>
      </c>
      <c r="C163" s="9" t="s">
        <v>36</v>
      </c>
      <c r="D163" s="9" t="s">
        <v>1610</v>
      </c>
      <c r="E163" s="9">
        <v>48</v>
      </c>
      <c r="F163" s="10">
        <v>12760</v>
      </c>
      <c r="G163" s="10">
        <f t="shared" si="6"/>
        <v>612480</v>
      </c>
      <c r="H163" s="18">
        <v>12</v>
      </c>
      <c r="I163" s="19">
        <v>12760</v>
      </c>
      <c r="J163" s="19">
        <f t="shared" si="7"/>
        <v>153120</v>
      </c>
      <c r="K163" s="27">
        <v>12</v>
      </c>
      <c r="L163" s="28">
        <v>12760</v>
      </c>
      <c r="M163" s="28">
        <f t="shared" si="8"/>
        <v>153120</v>
      </c>
      <c r="N163" s="291">
        <v>12</v>
      </c>
      <c r="O163" s="292">
        <v>12760</v>
      </c>
      <c r="P163" s="292">
        <f t="shared" si="9"/>
        <v>153120</v>
      </c>
      <c r="Q163" s="23"/>
      <c r="R163" s="24">
        <v>12760</v>
      </c>
      <c r="S163" s="24">
        <f t="shared" si="10"/>
        <v>0</v>
      </c>
      <c r="T163" s="291"/>
      <c r="U163" s="292">
        <v>12760</v>
      </c>
      <c r="V163" s="292">
        <f t="shared" si="11"/>
        <v>0</v>
      </c>
      <c r="W163" s="295"/>
      <c r="X163" s="296">
        <v>12760</v>
      </c>
      <c r="Y163" s="296">
        <f t="shared" si="12"/>
        <v>0</v>
      </c>
      <c r="Z163" s="23"/>
      <c r="AA163" s="24">
        <v>12760</v>
      </c>
      <c r="AB163" s="24">
        <f t="shared" si="13"/>
        <v>0</v>
      </c>
      <c r="AC163" s="92"/>
      <c r="AD163" s="93">
        <v>12760</v>
      </c>
      <c r="AE163" s="93">
        <f t="shared" si="14"/>
        <v>0</v>
      </c>
      <c r="AF163" s="196"/>
      <c r="AG163" s="197">
        <v>12760</v>
      </c>
      <c r="AH163" s="197">
        <f t="shared" si="15"/>
        <v>0</v>
      </c>
    </row>
    <row r="164" spans="1:34" ht="18" thickBot="1" x14ac:dyDescent="0.25">
      <c r="A164" s="9" t="s">
        <v>140</v>
      </c>
      <c r="B164" s="75" t="s">
        <v>901</v>
      </c>
      <c r="C164" s="9" t="s">
        <v>36</v>
      </c>
      <c r="D164" s="9" t="s">
        <v>1104</v>
      </c>
      <c r="E164" s="9">
        <v>162</v>
      </c>
      <c r="F164" s="10">
        <v>6496</v>
      </c>
      <c r="G164" s="10">
        <f t="shared" si="6"/>
        <v>1052352</v>
      </c>
      <c r="H164" s="18">
        <v>24</v>
      </c>
      <c r="I164" s="19">
        <v>6496</v>
      </c>
      <c r="J164" s="19">
        <f t="shared" si="7"/>
        <v>155904</v>
      </c>
      <c r="K164" s="27"/>
      <c r="L164" s="28">
        <v>6496</v>
      </c>
      <c r="M164" s="28">
        <f t="shared" si="8"/>
        <v>0</v>
      </c>
      <c r="N164" s="291"/>
      <c r="O164" s="292">
        <v>6496</v>
      </c>
      <c r="P164" s="292">
        <f t="shared" si="9"/>
        <v>0</v>
      </c>
      <c r="Q164" s="23"/>
      <c r="R164" s="24">
        <v>6496</v>
      </c>
      <c r="S164" s="24">
        <f t="shared" si="10"/>
        <v>0</v>
      </c>
      <c r="T164" s="291"/>
      <c r="U164" s="292">
        <v>6496</v>
      </c>
      <c r="V164" s="292">
        <f t="shared" si="11"/>
        <v>0</v>
      </c>
      <c r="W164" s="295">
        <v>5</v>
      </c>
      <c r="X164" s="296">
        <v>6496</v>
      </c>
      <c r="Y164" s="296">
        <f t="shared" si="12"/>
        <v>32480</v>
      </c>
      <c r="Z164" s="23"/>
      <c r="AA164" s="24">
        <v>6496</v>
      </c>
      <c r="AB164" s="24">
        <f t="shared" si="13"/>
        <v>0</v>
      </c>
      <c r="AC164" s="92"/>
      <c r="AD164" s="93">
        <v>6496</v>
      </c>
      <c r="AE164" s="93">
        <f t="shared" si="14"/>
        <v>0</v>
      </c>
      <c r="AF164" s="196"/>
      <c r="AG164" s="197">
        <v>6496</v>
      </c>
      <c r="AH164" s="197">
        <f t="shared" si="15"/>
        <v>0</v>
      </c>
    </row>
    <row r="165" spans="1:34" ht="18" thickBot="1" x14ac:dyDescent="0.25">
      <c r="A165" s="9" t="s">
        <v>140</v>
      </c>
      <c r="B165" s="75" t="s">
        <v>1944</v>
      </c>
      <c r="C165" s="9" t="s">
        <v>36</v>
      </c>
      <c r="D165" s="9" t="s">
        <v>1104</v>
      </c>
      <c r="E165" s="9">
        <v>60</v>
      </c>
      <c r="F165" s="10">
        <v>9164</v>
      </c>
      <c r="G165" s="10">
        <f t="shared" si="6"/>
        <v>549840</v>
      </c>
      <c r="H165" s="18">
        <v>16</v>
      </c>
      <c r="I165" s="19">
        <v>9164</v>
      </c>
      <c r="J165" s="19">
        <f t="shared" si="7"/>
        <v>146624</v>
      </c>
      <c r="K165" s="27">
        <v>14</v>
      </c>
      <c r="L165" s="28">
        <v>9164</v>
      </c>
      <c r="M165" s="28">
        <f t="shared" si="8"/>
        <v>128296</v>
      </c>
      <c r="N165" s="291">
        <v>14</v>
      </c>
      <c r="O165" s="292">
        <v>9164</v>
      </c>
      <c r="P165" s="292">
        <f t="shared" si="9"/>
        <v>128296</v>
      </c>
      <c r="Q165" s="23"/>
      <c r="R165" s="24">
        <v>9164</v>
      </c>
      <c r="S165" s="24">
        <f t="shared" si="10"/>
        <v>0</v>
      </c>
      <c r="T165" s="291"/>
      <c r="U165" s="292">
        <v>9164</v>
      </c>
      <c r="V165" s="292">
        <f t="shared" si="11"/>
        <v>0</v>
      </c>
      <c r="W165" s="295">
        <v>6</v>
      </c>
      <c r="X165" s="296">
        <v>9164</v>
      </c>
      <c r="Y165" s="296">
        <f t="shared" si="12"/>
        <v>54984</v>
      </c>
      <c r="Z165" s="23"/>
      <c r="AA165" s="24">
        <v>9164</v>
      </c>
      <c r="AB165" s="24">
        <f t="shared" si="13"/>
        <v>0</v>
      </c>
      <c r="AC165" s="92"/>
      <c r="AD165" s="93">
        <v>9164</v>
      </c>
      <c r="AE165" s="93">
        <f t="shared" si="14"/>
        <v>0</v>
      </c>
      <c r="AF165" s="196"/>
      <c r="AG165" s="197">
        <v>9164</v>
      </c>
      <c r="AH165" s="197">
        <f t="shared" si="15"/>
        <v>0</v>
      </c>
    </row>
    <row r="166" spans="1:34" ht="18" thickBot="1" x14ac:dyDescent="0.25">
      <c r="A166" s="9" t="s">
        <v>243</v>
      </c>
      <c r="B166" s="75" t="s">
        <v>884</v>
      </c>
      <c r="C166" s="9" t="s">
        <v>36</v>
      </c>
      <c r="D166" s="9" t="s">
        <v>125</v>
      </c>
      <c r="E166" s="9">
        <v>120</v>
      </c>
      <c r="F166" s="10">
        <v>4814</v>
      </c>
      <c r="G166" s="10">
        <f t="shared" si="6"/>
        <v>577680</v>
      </c>
      <c r="H166" s="18"/>
      <c r="I166" s="19">
        <v>4814</v>
      </c>
      <c r="J166" s="19">
        <f t="shared" si="7"/>
        <v>0</v>
      </c>
      <c r="K166" s="27"/>
      <c r="L166" s="28">
        <v>4814</v>
      </c>
      <c r="M166" s="28">
        <f t="shared" si="8"/>
        <v>0</v>
      </c>
      <c r="N166" s="291"/>
      <c r="O166" s="292">
        <v>4814</v>
      </c>
      <c r="P166" s="292">
        <f t="shared" si="9"/>
        <v>0</v>
      </c>
      <c r="Q166" s="23"/>
      <c r="R166" s="24">
        <v>4814</v>
      </c>
      <c r="S166" s="24">
        <f t="shared" si="10"/>
        <v>0</v>
      </c>
      <c r="T166" s="291">
        <v>5</v>
      </c>
      <c r="U166" s="292">
        <v>4814</v>
      </c>
      <c r="V166" s="292">
        <f t="shared" si="11"/>
        <v>24070</v>
      </c>
      <c r="W166" s="295">
        <v>5</v>
      </c>
      <c r="X166" s="296">
        <v>4814</v>
      </c>
      <c r="Y166" s="296">
        <f t="shared" si="12"/>
        <v>24070</v>
      </c>
      <c r="Z166" s="23"/>
      <c r="AA166" s="24">
        <v>4814</v>
      </c>
      <c r="AB166" s="24">
        <f t="shared" si="13"/>
        <v>0</v>
      </c>
      <c r="AC166" s="92">
        <v>5</v>
      </c>
      <c r="AD166" s="93">
        <v>4814</v>
      </c>
      <c r="AE166" s="93">
        <f t="shared" si="14"/>
        <v>24070</v>
      </c>
      <c r="AF166" s="196"/>
      <c r="AG166" s="197">
        <v>4814</v>
      </c>
      <c r="AH166" s="197">
        <f t="shared" si="15"/>
        <v>0</v>
      </c>
    </row>
    <row r="167" spans="1:34" ht="18" thickBot="1" x14ac:dyDescent="0.25">
      <c r="A167" s="9" t="s">
        <v>243</v>
      </c>
      <c r="B167" s="75" t="s">
        <v>843</v>
      </c>
      <c r="C167" s="9" t="s">
        <v>36</v>
      </c>
      <c r="D167" s="9" t="s">
        <v>1142</v>
      </c>
      <c r="E167" s="9">
        <v>60</v>
      </c>
      <c r="F167" s="10">
        <v>6728</v>
      </c>
      <c r="G167" s="10">
        <f t="shared" si="6"/>
        <v>403680</v>
      </c>
      <c r="H167" s="18">
        <v>6</v>
      </c>
      <c r="I167" s="19">
        <v>6728</v>
      </c>
      <c r="J167" s="19">
        <f t="shared" si="7"/>
        <v>40368</v>
      </c>
      <c r="K167" s="27"/>
      <c r="L167" s="28">
        <v>6728</v>
      </c>
      <c r="M167" s="28">
        <f t="shared" si="8"/>
        <v>0</v>
      </c>
      <c r="N167" s="291"/>
      <c r="O167" s="292">
        <v>6728</v>
      </c>
      <c r="P167" s="292">
        <f t="shared" si="9"/>
        <v>0</v>
      </c>
      <c r="Q167" s="23">
        <v>3</v>
      </c>
      <c r="R167" s="24">
        <v>6728</v>
      </c>
      <c r="S167" s="24">
        <f t="shared" si="10"/>
        <v>20184</v>
      </c>
      <c r="T167" s="291">
        <v>5</v>
      </c>
      <c r="U167" s="292">
        <v>6728</v>
      </c>
      <c r="V167" s="292">
        <f t="shared" si="11"/>
        <v>33640</v>
      </c>
      <c r="W167" s="295">
        <v>10</v>
      </c>
      <c r="X167" s="296">
        <v>6728</v>
      </c>
      <c r="Y167" s="296">
        <f t="shared" si="12"/>
        <v>67280</v>
      </c>
      <c r="Z167" s="23"/>
      <c r="AA167" s="24">
        <v>6728</v>
      </c>
      <c r="AB167" s="24">
        <f t="shared" si="13"/>
        <v>0</v>
      </c>
      <c r="AC167" s="92"/>
      <c r="AD167" s="93">
        <v>6728</v>
      </c>
      <c r="AE167" s="93">
        <f t="shared" si="14"/>
        <v>0</v>
      </c>
      <c r="AF167" s="196"/>
      <c r="AG167" s="197">
        <v>6728</v>
      </c>
      <c r="AH167" s="197">
        <f t="shared" si="15"/>
        <v>0</v>
      </c>
    </row>
    <row r="168" spans="1:34" ht="18" thickBot="1" x14ac:dyDescent="0.25">
      <c r="A168" s="9" t="s">
        <v>57</v>
      </c>
      <c r="B168" s="75" t="s">
        <v>1773</v>
      </c>
      <c r="C168" s="9" t="s">
        <v>36</v>
      </c>
      <c r="D168" s="9" t="s">
        <v>798</v>
      </c>
      <c r="E168" s="9">
        <v>36</v>
      </c>
      <c r="F168" s="10">
        <v>3654</v>
      </c>
      <c r="G168" s="10">
        <f t="shared" si="6"/>
        <v>131544</v>
      </c>
      <c r="H168" s="18">
        <v>8</v>
      </c>
      <c r="I168" s="19">
        <v>3654</v>
      </c>
      <c r="J168" s="19">
        <f t="shared" si="7"/>
        <v>29232</v>
      </c>
      <c r="K168" s="27">
        <v>12</v>
      </c>
      <c r="L168" s="28">
        <v>3654</v>
      </c>
      <c r="M168" s="28">
        <f t="shared" si="8"/>
        <v>43848</v>
      </c>
      <c r="N168" s="291">
        <v>12</v>
      </c>
      <c r="O168" s="292">
        <v>3654</v>
      </c>
      <c r="P168" s="292">
        <f t="shared" si="9"/>
        <v>43848</v>
      </c>
      <c r="Q168" s="23"/>
      <c r="R168" s="24">
        <v>3654</v>
      </c>
      <c r="S168" s="24">
        <f t="shared" si="10"/>
        <v>0</v>
      </c>
      <c r="T168" s="291"/>
      <c r="U168" s="292">
        <v>3654</v>
      </c>
      <c r="V168" s="292">
        <f t="shared" si="11"/>
        <v>0</v>
      </c>
      <c r="W168" s="295"/>
      <c r="X168" s="296">
        <v>3654</v>
      </c>
      <c r="Y168" s="296">
        <f t="shared" si="12"/>
        <v>0</v>
      </c>
      <c r="Z168" s="23"/>
      <c r="AA168" s="24">
        <v>3654</v>
      </c>
      <c r="AB168" s="24">
        <f t="shared" si="13"/>
        <v>0</v>
      </c>
      <c r="AC168" s="92"/>
      <c r="AD168" s="93">
        <v>3654</v>
      </c>
      <c r="AE168" s="93">
        <f t="shared" si="14"/>
        <v>0</v>
      </c>
      <c r="AF168" s="196"/>
      <c r="AG168" s="197">
        <v>3654</v>
      </c>
      <c r="AH168" s="197">
        <f t="shared" si="15"/>
        <v>0</v>
      </c>
    </row>
    <row r="169" spans="1:34" ht="18" thickBot="1" x14ac:dyDescent="0.25">
      <c r="A169" s="9" t="s">
        <v>45</v>
      </c>
      <c r="B169" s="75" t="s">
        <v>905</v>
      </c>
      <c r="C169" s="9" t="s">
        <v>36</v>
      </c>
      <c r="D169" s="9" t="s">
        <v>111</v>
      </c>
      <c r="E169" s="9">
        <v>60</v>
      </c>
      <c r="F169" s="10">
        <v>4756</v>
      </c>
      <c r="G169" s="10">
        <f t="shared" si="6"/>
        <v>285360</v>
      </c>
      <c r="H169" s="18"/>
      <c r="I169" s="19">
        <v>4756</v>
      </c>
      <c r="J169" s="19">
        <f t="shared" si="7"/>
        <v>0</v>
      </c>
      <c r="K169" s="27"/>
      <c r="L169" s="28">
        <v>4756</v>
      </c>
      <c r="M169" s="28">
        <f t="shared" si="8"/>
        <v>0</v>
      </c>
      <c r="N169" s="291">
        <v>16</v>
      </c>
      <c r="O169" s="292">
        <v>4756</v>
      </c>
      <c r="P169" s="292">
        <f t="shared" si="9"/>
        <v>76096</v>
      </c>
      <c r="Q169" s="23">
        <v>1</v>
      </c>
      <c r="R169" s="24">
        <v>4756</v>
      </c>
      <c r="S169" s="24">
        <f t="shared" si="10"/>
        <v>4756</v>
      </c>
      <c r="T169" s="291"/>
      <c r="U169" s="292">
        <v>4756</v>
      </c>
      <c r="V169" s="292">
        <f t="shared" si="11"/>
        <v>0</v>
      </c>
      <c r="W169" s="295">
        <v>4</v>
      </c>
      <c r="X169" s="296">
        <v>4756</v>
      </c>
      <c r="Y169" s="296">
        <f t="shared" si="12"/>
        <v>19024</v>
      </c>
      <c r="Z169" s="23"/>
      <c r="AA169" s="24">
        <v>4756</v>
      </c>
      <c r="AB169" s="24">
        <f t="shared" si="13"/>
        <v>0</v>
      </c>
      <c r="AC169" s="92">
        <v>3</v>
      </c>
      <c r="AD169" s="93">
        <v>4756</v>
      </c>
      <c r="AE169" s="93">
        <f t="shared" si="14"/>
        <v>14268</v>
      </c>
      <c r="AF169" s="196">
        <v>12</v>
      </c>
      <c r="AG169" s="197">
        <v>4756</v>
      </c>
      <c r="AH169" s="197">
        <f t="shared" si="15"/>
        <v>57072</v>
      </c>
    </row>
    <row r="170" spans="1:34" ht="18" thickBot="1" x14ac:dyDescent="0.25">
      <c r="A170" s="9" t="s">
        <v>243</v>
      </c>
      <c r="B170" s="75" t="s">
        <v>1945</v>
      </c>
      <c r="C170" s="9" t="s">
        <v>36</v>
      </c>
      <c r="D170" s="9" t="s">
        <v>1611</v>
      </c>
      <c r="E170" s="9">
        <v>36</v>
      </c>
      <c r="F170" s="10">
        <v>5220</v>
      </c>
      <c r="G170" s="10">
        <f t="shared" si="6"/>
        <v>187920</v>
      </c>
      <c r="H170" s="18"/>
      <c r="I170" s="19">
        <v>5220</v>
      </c>
      <c r="J170" s="19">
        <f t="shared" si="7"/>
        <v>0</v>
      </c>
      <c r="K170" s="27"/>
      <c r="L170" s="28">
        <v>5220</v>
      </c>
      <c r="M170" s="28">
        <f t="shared" si="8"/>
        <v>0</v>
      </c>
      <c r="N170" s="291"/>
      <c r="O170" s="292">
        <v>5220</v>
      </c>
      <c r="P170" s="292">
        <f t="shared" si="9"/>
        <v>0</v>
      </c>
      <c r="Q170" s="23">
        <v>3</v>
      </c>
      <c r="R170" s="24">
        <v>5220</v>
      </c>
      <c r="S170" s="24">
        <f t="shared" si="10"/>
        <v>15660</v>
      </c>
      <c r="T170" s="291"/>
      <c r="U170" s="292">
        <v>5220</v>
      </c>
      <c r="V170" s="292">
        <f t="shared" si="11"/>
        <v>0</v>
      </c>
      <c r="W170" s="295">
        <v>6</v>
      </c>
      <c r="X170" s="296">
        <v>5220</v>
      </c>
      <c r="Y170" s="296">
        <f t="shared" si="12"/>
        <v>31320</v>
      </c>
      <c r="Z170" s="23"/>
      <c r="AA170" s="24">
        <v>5220</v>
      </c>
      <c r="AB170" s="24">
        <f t="shared" si="13"/>
        <v>0</v>
      </c>
      <c r="AC170" s="92">
        <v>6</v>
      </c>
      <c r="AD170" s="93">
        <v>5220</v>
      </c>
      <c r="AE170" s="93">
        <f t="shared" si="14"/>
        <v>31320</v>
      </c>
      <c r="AF170" s="196"/>
      <c r="AG170" s="197">
        <v>5220</v>
      </c>
      <c r="AH170" s="197">
        <f t="shared" si="15"/>
        <v>0</v>
      </c>
    </row>
    <row r="171" spans="1:34" ht="18" thickBot="1" x14ac:dyDescent="0.25">
      <c r="A171" s="9" t="s">
        <v>242</v>
      </c>
      <c r="B171" s="75" t="s">
        <v>926</v>
      </c>
      <c r="C171" s="9" t="s">
        <v>36</v>
      </c>
      <c r="D171" s="9" t="s">
        <v>1107</v>
      </c>
      <c r="E171" s="9">
        <v>390</v>
      </c>
      <c r="F171" s="10">
        <v>11716</v>
      </c>
      <c r="G171" s="10">
        <f t="shared" si="6"/>
        <v>4569240</v>
      </c>
      <c r="H171" s="18">
        <v>5</v>
      </c>
      <c r="I171" s="19">
        <v>11716</v>
      </c>
      <c r="J171" s="19">
        <f t="shared" si="7"/>
        <v>58580</v>
      </c>
      <c r="K171" s="27">
        <v>5</v>
      </c>
      <c r="L171" s="28">
        <v>11716</v>
      </c>
      <c r="M171" s="28">
        <f t="shared" si="8"/>
        <v>58580</v>
      </c>
      <c r="N171" s="291"/>
      <c r="O171" s="292">
        <v>11716</v>
      </c>
      <c r="P171" s="292">
        <f t="shared" si="9"/>
        <v>0</v>
      </c>
      <c r="Q171" s="23">
        <v>20</v>
      </c>
      <c r="R171" s="24">
        <v>11716</v>
      </c>
      <c r="S171" s="24">
        <f t="shared" si="10"/>
        <v>234320</v>
      </c>
      <c r="T171" s="291">
        <v>24</v>
      </c>
      <c r="U171" s="292">
        <v>11716</v>
      </c>
      <c r="V171" s="292">
        <f t="shared" si="11"/>
        <v>281184</v>
      </c>
      <c r="W171" s="295">
        <v>24</v>
      </c>
      <c r="X171" s="296">
        <v>11716</v>
      </c>
      <c r="Y171" s="296">
        <f t="shared" si="12"/>
        <v>281184</v>
      </c>
      <c r="Z171" s="23"/>
      <c r="AA171" s="24">
        <v>11716</v>
      </c>
      <c r="AB171" s="24">
        <f t="shared" si="13"/>
        <v>0</v>
      </c>
      <c r="AC171" s="92">
        <v>12</v>
      </c>
      <c r="AD171" s="93">
        <v>11716</v>
      </c>
      <c r="AE171" s="93">
        <f t="shared" si="14"/>
        <v>140592</v>
      </c>
      <c r="AF171" s="196">
        <v>12</v>
      </c>
      <c r="AG171" s="197">
        <v>11716</v>
      </c>
      <c r="AH171" s="197">
        <f t="shared" si="15"/>
        <v>140592</v>
      </c>
    </row>
    <row r="172" spans="1:34" ht="18" thickBot="1" x14ac:dyDescent="0.25">
      <c r="A172" s="9" t="s">
        <v>283</v>
      </c>
      <c r="B172" s="75" t="s">
        <v>1946</v>
      </c>
      <c r="C172" s="9" t="s">
        <v>36</v>
      </c>
      <c r="D172" s="9" t="s">
        <v>1612</v>
      </c>
      <c r="E172" s="9">
        <v>78</v>
      </c>
      <c r="F172" s="10">
        <v>5220</v>
      </c>
      <c r="G172" s="10">
        <f t="shared" si="6"/>
        <v>407160</v>
      </c>
      <c r="H172" s="18">
        <v>19</v>
      </c>
      <c r="I172" s="19">
        <v>5220</v>
      </c>
      <c r="J172" s="19">
        <f t="shared" si="7"/>
        <v>99180</v>
      </c>
      <c r="K172" s="27">
        <v>19</v>
      </c>
      <c r="L172" s="28">
        <v>5220</v>
      </c>
      <c r="M172" s="28">
        <f t="shared" si="8"/>
        <v>99180</v>
      </c>
      <c r="N172" s="291">
        <v>6</v>
      </c>
      <c r="O172" s="292">
        <v>5220</v>
      </c>
      <c r="P172" s="292">
        <f t="shared" si="9"/>
        <v>31320</v>
      </c>
      <c r="Q172" s="23"/>
      <c r="R172" s="24">
        <v>5220</v>
      </c>
      <c r="S172" s="24">
        <f t="shared" si="10"/>
        <v>0</v>
      </c>
      <c r="T172" s="291">
        <v>10</v>
      </c>
      <c r="U172" s="292">
        <v>5220</v>
      </c>
      <c r="V172" s="292">
        <f t="shared" si="11"/>
        <v>52200</v>
      </c>
      <c r="W172" s="295"/>
      <c r="X172" s="296">
        <v>5220</v>
      </c>
      <c r="Y172" s="296">
        <f t="shared" si="12"/>
        <v>0</v>
      </c>
      <c r="Z172" s="23"/>
      <c r="AA172" s="24">
        <v>5220</v>
      </c>
      <c r="AB172" s="24">
        <f t="shared" si="13"/>
        <v>0</v>
      </c>
      <c r="AC172" s="92"/>
      <c r="AD172" s="93">
        <v>5220</v>
      </c>
      <c r="AE172" s="93">
        <f t="shared" si="14"/>
        <v>0</v>
      </c>
      <c r="AF172" s="196"/>
      <c r="AG172" s="197">
        <v>5220</v>
      </c>
      <c r="AH172" s="197">
        <f t="shared" si="15"/>
        <v>0</v>
      </c>
    </row>
    <row r="173" spans="1:34" ht="18" thickBot="1" x14ac:dyDescent="0.25">
      <c r="A173" s="9" t="s">
        <v>45</v>
      </c>
      <c r="B173" s="75" t="s">
        <v>914</v>
      </c>
      <c r="C173" s="9" t="s">
        <v>36</v>
      </c>
      <c r="D173" s="9" t="s">
        <v>780</v>
      </c>
      <c r="E173" s="9">
        <v>100</v>
      </c>
      <c r="F173" s="10">
        <v>6786</v>
      </c>
      <c r="G173" s="10">
        <f t="shared" si="6"/>
        <v>678600</v>
      </c>
      <c r="H173" s="18"/>
      <c r="I173" s="19">
        <v>6786</v>
      </c>
      <c r="J173" s="19">
        <f t="shared" si="7"/>
        <v>0</v>
      </c>
      <c r="K173" s="27"/>
      <c r="L173" s="28">
        <v>6786</v>
      </c>
      <c r="M173" s="28">
        <f t="shared" si="8"/>
        <v>0</v>
      </c>
      <c r="N173" s="291"/>
      <c r="O173" s="292">
        <v>6786</v>
      </c>
      <c r="P173" s="292">
        <f t="shared" si="9"/>
        <v>0</v>
      </c>
      <c r="Q173" s="23"/>
      <c r="R173" s="24">
        <v>6786</v>
      </c>
      <c r="S173" s="24">
        <f t="shared" si="10"/>
        <v>0</v>
      </c>
      <c r="T173" s="291"/>
      <c r="U173" s="292">
        <v>6786</v>
      </c>
      <c r="V173" s="292">
        <f t="shared" si="11"/>
        <v>0</v>
      </c>
      <c r="W173" s="295"/>
      <c r="X173" s="296">
        <v>6786</v>
      </c>
      <c r="Y173" s="296">
        <f t="shared" si="12"/>
        <v>0</v>
      </c>
      <c r="Z173" s="23"/>
      <c r="AA173" s="24">
        <v>6786</v>
      </c>
      <c r="AB173" s="24">
        <f t="shared" si="13"/>
        <v>0</v>
      </c>
      <c r="AC173" s="92"/>
      <c r="AD173" s="93">
        <v>6786</v>
      </c>
      <c r="AE173" s="93">
        <f t="shared" si="14"/>
        <v>0</v>
      </c>
      <c r="AF173" s="196"/>
      <c r="AG173" s="197">
        <v>6786</v>
      </c>
      <c r="AH173" s="197">
        <f t="shared" si="15"/>
        <v>0</v>
      </c>
    </row>
    <row r="174" spans="1:34" ht="18" thickBot="1" x14ac:dyDescent="0.25">
      <c r="A174" s="9" t="s">
        <v>243</v>
      </c>
      <c r="B174" s="75" t="s">
        <v>843</v>
      </c>
      <c r="C174" s="9" t="s">
        <v>36</v>
      </c>
      <c r="D174" s="9" t="s">
        <v>1613</v>
      </c>
      <c r="E174" s="9">
        <v>109</v>
      </c>
      <c r="F174" s="10">
        <v>5220</v>
      </c>
      <c r="G174" s="10">
        <f t="shared" si="6"/>
        <v>568980</v>
      </c>
      <c r="H174" s="18"/>
      <c r="I174" s="19">
        <v>5220</v>
      </c>
      <c r="J174" s="19">
        <f t="shared" si="7"/>
        <v>0</v>
      </c>
      <c r="K174" s="27"/>
      <c r="L174" s="28">
        <v>5220</v>
      </c>
      <c r="M174" s="28">
        <f t="shared" si="8"/>
        <v>0</v>
      </c>
      <c r="N174" s="291"/>
      <c r="O174" s="292">
        <v>5220</v>
      </c>
      <c r="P174" s="292">
        <f t="shared" si="9"/>
        <v>0</v>
      </c>
      <c r="Q174" s="23"/>
      <c r="R174" s="24">
        <v>5220</v>
      </c>
      <c r="S174" s="24">
        <f t="shared" si="10"/>
        <v>0</v>
      </c>
      <c r="T174" s="291"/>
      <c r="U174" s="292">
        <v>5220</v>
      </c>
      <c r="V174" s="292">
        <f t="shared" si="11"/>
        <v>0</v>
      </c>
      <c r="W174" s="295"/>
      <c r="X174" s="296">
        <v>5220</v>
      </c>
      <c r="Y174" s="296">
        <f t="shared" si="12"/>
        <v>0</v>
      </c>
      <c r="Z174" s="23"/>
      <c r="AA174" s="24">
        <v>5220</v>
      </c>
      <c r="AB174" s="24">
        <f t="shared" si="13"/>
        <v>0</v>
      </c>
      <c r="AC174" s="92"/>
      <c r="AD174" s="93">
        <v>5220</v>
      </c>
      <c r="AE174" s="93">
        <f t="shared" si="14"/>
        <v>0</v>
      </c>
      <c r="AF174" s="196"/>
      <c r="AG174" s="197">
        <v>5220</v>
      </c>
      <c r="AH174" s="197">
        <f t="shared" si="15"/>
        <v>0</v>
      </c>
    </row>
    <row r="175" spans="1:34" ht="18" thickBot="1" x14ac:dyDescent="0.25">
      <c r="A175" s="9" t="s">
        <v>58</v>
      </c>
      <c r="B175" s="75" t="s">
        <v>879</v>
      </c>
      <c r="C175" s="9" t="s">
        <v>36</v>
      </c>
      <c r="D175" s="9" t="s">
        <v>264</v>
      </c>
      <c r="E175" s="9">
        <v>40</v>
      </c>
      <c r="F175" s="10">
        <v>136764</v>
      </c>
      <c r="G175" s="10">
        <f t="shared" si="6"/>
        <v>5470560</v>
      </c>
      <c r="H175" s="18"/>
      <c r="I175" s="19">
        <v>136764</v>
      </c>
      <c r="J175" s="19">
        <f t="shared" si="7"/>
        <v>0</v>
      </c>
      <c r="K175" s="27"/>
      <c r="L175" s="28">
        <v>136764</v>
      </c>
      <c r="M175" s="28">
        <f t="shared" si="8"/>
        <v>0</v>
      </c>
      <c r="N175" s="291"/>
      <c r="O175" s="292">
        <v>136764</v>
      </c>
      <c r="P175" s="292">
        <f t="shared" si="9"/>
        <v>0</v>
      </c>
      <c r="Q175" s="23"/>
      <c r="R175" s="24">
        <v>136764</v>
      </c>
      <c r="S175" s="24">
        <f t="shared" si="10"/>
        <v>0</v>
      </c>
      <c r="T175" s="291"/>
      <c r="U175" s="292">
        <v>136764</v>
      </c>
      <c r="V175" s="292">
        <f t="shared" si="11"/>
        <v>0</v>
      </c>
      <c r="W175" s="295"/>
      <c r="X175" s="296">
        <v>136764</v>
      </c>
      <c r="Y175" s="296">
        <f t="shared" si="12"/>
        <v>0</v>
      </c>
      <c r="Z175" s="23"/>
      <c r="AA175" s="24">
        <v>136764</v>
      </c>
      <c r="AB175" s="24">
        <f t="shared" si="13"/>
        <v>0</v>
      </c>
      <c r="AC175" s="92">
        <v>36</v>
      </c>
      <c r="AD175" s="93">
        <v>136764</v>
      </c>
      <c r="AE175" s="93">
        <f t="shared" si="14"/>
        <v>4923504</v>
      </c>
      <c r="AF175" s="196"/>
      <c r="AG175" s="197">
        <v>136764</v>
      </c>
      <c r="AH175" s="197">
        <f t="shared" si="15"/>
        <v>0</v>
      </c>
    </row>
    <row r="176" spans="1:34" ht="18" thickBot="1" x14ac:dyDescent="0.25">
      <c r="A176" s="9" t="s">
        <v>58</v>
      </c>
      <c r="B176" s="75" t="s">
        <v>1552</v>
      </c>
      <c r="C176" s="9" t="s">
        <v>36</v>
      </c>
      <c r="D176" s="9" t="s">
        <v>1175</v>
      </c>
      <c r="E176" s="9">
        <v>186</v>
      </c>
      <c r="F176" s="10">
        <v>66120</v>
      </c>
      <c r="G176" s="10">
        <f t="shared" si="6"/>
        <v>12298320</v>
      </c>
      <c r="H176" s="18">
        <v>48</v>
      </c>
      <c r="I176" s="19">
        <v>66120</v>
      </c>
      <c r="J176" s="19">
        <f t="shared" si="7"/>
        <v>3173760</v>
      </c>
      <c r="K176" s="27"/>
      <c r="L176" s="28">
        <v>66120</v>
      </c>
      <c r="M176" s="28">
        <f t="shared" si="8"/>
        <v>0</v>
      </c>
      <c r="N176" s="291">
        <v>48</v>
      </c>
      <c r="O176" s="292">
        <v>66120</v>
      </c>
      <c r="P176" s="292">
        <f t="shared" si="9"/>
        <v>3173760</v>
      </c>
      <c r="Q176" s="23">
        <v>47</v>
      </c>
      <c r="R176" s="24">
        <v>66120</v>
      </c>
      <c r="S176" s="24">
        <f t="shared" si="10"/>
        <v>3107640</v>
      </c>
      <c r="T176" s="291">
        <v>43</v>
      </c>
      <c r="U176" s="292">
        <v>66120</v>
      </c>
      <c r="V176" s="292">
        <f t="shared" si="11"/>
        <v>2843160</v>
      </c>
      <c r="W176" s="295"/>
      <c r="X176" s="296">
        <v>66120</v>
      </c>
      <c r="Y176" s="296">
        <f t="shared" si="12"/>
        <v>0</v>
      </c>
      <c r="Z176" s="23"/>
      <c r="AA176" s="24">
        <v>66120</v>
      </c>
      <c r="AB176" s="24">
        <f t="shared" si="13"/>
        <v>0</v>
      </c>
      <c r="AC176" s="92"/>
      <c r="AD176" s="93">
        <v>66120</v>
      </c>
      <c r="AE176" s="93">
        <f t="shared" si="14"/>
        <v>0</v>
      </c>
      <c r="AF176" s="196"/>
      <c r="AG176" s="197">
        <v>66120</v>
      </c>
      <c r="AH176" s="197">
        <f t="shared" si="15"/>
        <v>0</v>
      </c>
    </row>
    <row r="177" spans="1:34" ht="18" thickBot="1" x14ac:dyDescent="0.25">
      <c r="A177" s="9" t="s">
        <v>1155</v>
      </c>
      <c r="B177" s="75" t="s">
        <v>893</v>
      </c>
      <c r="C177" s="9" t="s">
        <v>36</v>
      </c>
      <c r="D177" s="9" t="s">
        <v>333</v>
      </c>
      <c r="E177" s="9">
        <v>107</v>
      </c>
      <c r="F177" s="10">
        <v>136764</v>
      </c>
      <c r="G177" s="10">
        <f t="shared" si="6"/>
        <v>14633748</v>
      </c>
      <c r="H177" s="18"/>
      <c r="I177" s="19">
        <v>136764</v>
      </c>
      <c r="J177" s="19">
        <f t="shared" si="7"/>
        <v>0</v>
      </c>
      <c r="K177" s="27"/>
      <c r="L177" s="28">
        <v>136764</v>
      </c>
      <c r="M177" s="28">
        <f t="shared" si="8"/>
        <v>0</v>
      </c>
      <c r="N177" s="291"/>
      <c r="O177" s="292">
        <v>136764</v>
      </c>
      <c r="P177" s="292">
        <f t="shared" si="9"/>
        <v>0</v>
      </c>
      <c r="Q177" s="23"/>
      <c r="R177" s="24">
        <v>136764</v>
      </c>
      <c r="S177" s="24">
        <f t="shared" si="10"/>
        <v>0</v>
      </c>
      <c r="T177" s="291">
        <v>59</v>
      </c>
      <c r="U177" s="292">
        <v>136764</v>
      </c>
      <c r="V177" s="292">
        <f t="shared" si="11"/>
        <v>8069076</v>
      </c>
      <c r="W177" s="295"/>
      <c r="X177" s="296">
        <v>136764</v>
      </c>
      <c r="Y177" s="296">
        <f t="shared" si="12"/>
        <v>0</v>
      </c>
      <c r="Z177" s="23"/>
      <c r="AA177" s="24">
        <v>136764</v>
      </c>
      <c r="AB177" s="24">
        <f t="shared" si="13"/>
        <v>0</v>
      </c>
      <c r="AC177" s="92"/>
      <c r="AD177" s="93">
        <v>136764</v>
      </c>
      <c r="AE177" s="93">
        <f t="shared" si="14"/>
        <v>0</v>
      </c>
      <c r="AF177" s="196"/>
      <c r="AG177" s="197">
        <v>136764</v>
      </c>
      <c r="AH177" s="197">
        <f t="shared" si="15"/>
        <v>0</v>
      </c>
    </row>
    <row r="178" spans="1:34" ht="18" thickBot="1" x14ac:dyDescent="0.25">
      <c r="A178" s="9" t="s">
        <v>1245</v>
      </c>
      <c r="B178" s="75" t="s">
        <v>881</v>
      </c>
      <c r="C178" s="9" t="s">
        <v>36</v>
      </c>
      <c r="D178" s="9" t="s">
        <v>169</v>
      </c>
      <c r="E178" s="9">
        <v>340</v>
      </c>
      <c r="F178" s="10">
        <v>11600</v>
      </c>
      <c r="G178" s="10">
        <f t="shared" si="6"/>
        <v>3944000</v>
      </c>
      <c r="H178" s="18"/>
      <c r="I178" s="19">
        <v>11600</v>
      </c>
      <c r="J178" s="19">
        <f t="shared" si="7"/>
        <v>0</v>
      </c>
      <c r="K178" s="27"/>
      <c r="L178" s="28">
        <v>11600</v>
      </c>
      <c r="M178" s="28">
        <f t="shared" si="8"/>
        <v>0</v>
      </c>
      <c r="N178" s="291">
        <v>18</v>
      </c>
      <c r="O178" s="292">
        <v>11600</v>
      </c>
      <c r="P178" s="292">
        <f t="shared" si="9"/>
        <v>208800</v>
      </c>
      <c r="Q178" s="23">
        <v>12</v>
      </c>
      <c r="R178" s="24">
        <v>11600</v>
      </c>
      <c r="S178" s="24">
        <f t="shared" si="10"/>
        <v>139200</v>
      </c>
      <c r="T178" s="291">
        <v>8</v>
      </c>
      <c r="U178" s="292">
        <v>11600</v>
      </c>
      <c r="V178" s="292">
        <f t="shared" si="11"/>
        <v>92800</v>
      </c>
      <c r="W178" s="295">
        <v>12</v>
      </c>
      <c r="X178" s="296">
        <v>11600</v>
      </c>
      <c r="Y178" s="296">
        <f t="shared" si="12"/>
        <v>139200</v>
      </c>
      <c r="Z178" s="23"/>
      <c r="AA178" s="24">
        <v>11600</v>
      </c>
      <c r="AB178" s="24">
        <f t="shared" si="13"/>
        <v>0</v>
      </c>
      <c r="AC178" s="92">
        <v>12</v>
      </c>
      <c r="AD178" s="93">
        <v>11600</v>
      </c>
      <c r="AE178" s="93">
        <f t="shared" si="14"/>
        <v>139200</v>
      </c>
      <c r="AF178" s="196">
        <v>12</v>
      </c>
      <c r="AG178" s="197">
        <v>11600</v>
      </c>
      <c r="AH178" s="197">
        <f t="shared" si="15"/>
        <v>139200</v>
      </c>
    </row>
    <row r="179" spans="1:34" ht="18" thickBot="1" x14ac:dyDescent="0.25">
      <c r="A179" s="9" t="s">
        <v>140</v>
      </c>
      <c r="B179" s="75" t="s">
        <v>1942</v>
      </c>
      <c r="C179" s="9" t="s">
        <v>36</v>
      </c>
      <c r="D179" s="9" t="s">
        <v>1160</v>
      </c>
      <c r="E179" s="9">
        <v>96</v>
      </c>
      <c r="F179" s="10">
        <v>8850.7999999999993</v>
      </c>
      <c r="G179" s="10">
        <f t="shared" si="6"/>
        <v>849676.79999999993</v>
      </c>
      <c r="H179" s="18"/>
      <c r="I179" s="19">
        <v>8850.7999999999993</v>
      </c>
      <c r="J179" s="19">
        <f t="shared" si="7"/>
        <v>0</v>
      </c>
      <c r="K179" s="27"/>
      <c r="L179" s="28">
        <v>8850.7999999999993</v>
      </c>
      <c r="M179" s="28">
        <f t="shared" si="8"/>
        <v>0</v>
      </c>
      <c r="N179" s="291"/>
      <c r="O179" s="292">
        <v>8850.7999999999993</v>
      </c>
      <c r="P179" s="292">
        <f t="shared" si="9"/>
        <v>0</v>
      </c>
      <c r="Q179" s="23">
        <v>8</v>
      </c>
      <c r="R179" s="24">
        <v>8850.7999999999993</v>
      </c>
      <c r="S179" s="24">
        <f t="shared" si="10"/>
        <v>70806.399999999994</v>
      </c>
      <c r="T179" s="291">
        <v>8</v>
      </c>
      <c r="U179" s="292">
        <v>8850.7999999999993</v>
      </c>
      <c r="V179" s="292">
        <f t="shared" si="11"/>
        <v>70806.399999999994</v>
      </c>
      <c r="W179" s="295">
        <v>16</v>
      </c>
      <c r="X179" s="296">
        <v>8850.7999999999993</v>
      </c>
      <c r="Y179" s="296">
        <f t="shared" si="12"/>
        <v>141612.79999999999</v>
      </c>
      <c r="Z179" s="23"/>
      <c r="AA179" s="24">
        <v>8850.7999999999993</v>
      </c>
      <c r="AB179" s="24">
        <f t="shared" si="13"/>
        <v>0</v>
      </c>
      <c r="AC179" s="92">
        <v>10</v>
      </c>
      <c r="AD179" s="93">
        <v>8850.7999999999993</v>
      </c>
      <c r="AE179" s="93">
        <f t="shared" si="14"/>
        <v>88508</v>
      </c>
      <c r="AF179" s="196">
        <v>10</v>
      </c>
      <c r="AG179" s="197">
        <v>8850.7999999999993</v>
      </c>
      <c r="AH179" s="197">
        <f t="shared" si="15"/>
        <v>88508</v>
      </c>
    </row>
    <row r="180" spans="1:34" ht="18" thickBot="1" x14ac:dyDescent="0.25">
      <c r="A180" s="9" t="s">
        <v>1614</v>
      </c>
      <c r="B180" s="75" t="s">
        <v>1340</v>
      </c>
      <c r="C180" s="9" t="s">
        <v>36</v>
      </c>
      <c r="D180" s="9" t="s">
        <v>123</v>
      </c>
      <c r="E180" s="9">
        <v>220</v>
      </c>
      <c r="F180" s="10">
        <v>8758</v>
      </c>
      <c r="G180" s="10">
        <f t="shared" si="6"/>
        <v>1926760</v>
      </c>
      <c r="H180" s="18">
        <v>20</v>
      </c>
      <c r="I180" s="19">
        <v>8758</v>
      </c>
      <c r="J180" s="19">
        <f t="shared" si="7"/>
        <v>175160</v>
      </c>
      <c r="K180" s="27"/>
      <c r="L180" s="28">
        <v>8758</v>
      </c>
      <c r="M180" s="28">
        <f t="shared" si="8"/>
        <v>0</v>
      </c>
      <c r="N180" s="291"/>
      <c r="O180" s="292">
        <v>8758</v>
      </c>
      <c r="P180" s="292">
        <f t="shared" si="9"/>
        <v>0</v>
      </c>
      <c r="Q180" s="23">
        <v>10</v>
      </c>
      <c r="R180" s="24">
        <v>8758</v>
      </c>
      <c r="S180" s="24">
        <f t="shared" si="10"/>
        <v>87580</v>
      </c>
      <c r="T180" s="291">
        <v>15</v>
      </c>
      <c r="U180" s="292">
        <v>8758</v>
      </c>
      <c r="V180" s="292">
        <f t="shared" si="11"/>
        <v>131370</v>
      </c>
      <c r="W180" s="295">
        <v>15</v>
      </c>
      <c r="X180" s="296">
        <v>8758</v>
      </c>
      <c r="Y180" s="296">
        <f t="shared" si="12"/>
        <v>131370</v>
      </c>
      <c r="Z180" s="23"/>
      <c r="AA180" s="24">
        <v>8758</v>
      </c>
      <c r="AB180" s="24">
        <f t="shared" si="13"/>
        <v>0</v>
      </c>
      <c r="AC180" s="92">
        <v>12</v>
      </c>
      <c r="AD180" s="93">
        <v>8758</v>
      </c>
      <c r="AE180" s="93">
        <f t="shared" si="14"/>
        <v>105096</v>
      </c>
      <c r="AF180" s="196">
        <v>12</v>
      </c>
      <c r="AG180" s="197">
        <v>8758</v>
      </c>
      <c r="AH180" s="197">
        <f t="shared" si="15"/>
        <v>105096</v>
      </c>
    </row>
    <row r="181" spans="1:34" ht="18" thickBot="1" x14ac:dyDescent="0.25">
      <c r="A181" s="9" t="s">
        <v>285</v>
      </c>
      <c r="B181" s="75" t="s">
        <v>887</v>
      </c>
      <c r="C181" s="9" t="s">
        <v>36</v>
      </c>
      <c r="D181" s="9" t="s">
        <v>802</v>
      </c>
      <c r="E181" s="9">
        <v>60</v>
      </c>
      <c r="F181" s="10">
        <v>13630</v>
      </c>
      <c r="G181" s="10">
        <f t="shared" si="6"/>
        <v>817800</v>
      </c>
      <c r="H181" s="18"/>
      <c r="I181" s="19">
        <v>13630</v>
      </c>
      <c r="J181" s="19">
        <f t="shared" si="7"/>
        <v>0</v>
      </c>
      <c r="K181" s="27"/>
      <c r="L181" s="28">
        <v>13630</v>
      </c>
      <c r="M181" s="28">
        <f t="shared" si="8"/>
        <v>0</v>
      </c>
      <c r="N181" s="291"/>
      <c r="O181" s="292">
        <v>13630</v>
      </c>
      <c r="P181" s="292">
        <f t="shared" si="9"/>
        <v>0</v>
      </c>
      <c r="Q181" s="23"/>
      <c r="R181" s="24">
        <v>13630</v>
      </c>
      <c r="S181" s="24">
        <f t="shared" si="10"/>
        <v>0</v>
      </c>
      <c r="T181" s="291"/>
      <c r="U181" s="292">
        <v>13630</v>
      </c>
      <c r="V181" s="292">
        <f t="shared" si="11"/>
        <v>0</v>
      </c>
      <c r="W181" s="295"/>
      <c r="X181" s="296">
        <v>13630</v>
      </c>
      <c r="Y181" s="296">
        <f t="shared" si="12"/>
        <v>0</v>
      </c>
      <c r="Z181" s="23"/>
      <c r="AA181" s="24">
        <v>13630</v>
      </c>
      <c r="AB181" s="24">
        <f t="shared" si="13"/>
        <v>0</v>
      </c>
      <c r="AC181" s="92"/>
      <c r="AD181" s="93">
        <v>13630</v>
      </c>
      <c r="AE181" s="93">
        <f t="shared" si="14"/>
        <v>0</v>
      </c>
      <c r="AF181" s="196"/>
      <c r="AG181" s="197">
        <v>13630</v>
      </c>
      <c r="AH181" s="197">
        <f t="shared" si="15"/>
        <v>0</v>
      </c>
    </row>
    <row r="182" spans="1:34" ht="18" thickBot="1" x14ac:dyDescent="0.25">
      <c r="A182" s="9" t="s">
        <v>283</v>
      </c>
      <c r="B182" s="75" t="s">
        <v>842</v>
      </c>
      <c r="C182" s="9" t="s">
        <v>36</v>
      </c>
      <c r="D182" s="9" t="s">
        <v>1615</v>
      </c>
      <c r="E182" s="9">
        <v>72</v>
      </c>
      <c r="F182" s="10">
        <v>7876.4</v>
      </c>
      <c r="G182" s="10">
        <f t="shared" si="6"/>
        <v>567100.79999999993</v>
      </c>
      <c r="H182" s="18"/>
      <c r="I182" s="19">
        <v>7876.4</v>
      </c>
      <c r="J182" s="19">
        <f t="shared" si="7"/>
        <v>0</v>
      </c>
      <c r="K182" s="27"/>
      <c r="L182" s="28">
        <v>7876.4</v>
      </c>
      <c r="M182" s="28">
        <f t="shared" si="8"/>
        <v>0</v>
      </c>
      <c r="N182" s="291"/>
      <c r="O182" s="292">
        <v>7876.4</v>
      </c>
      <c r="P182" s="292">
        <f t="shared" si="9"/>
        <v>0</v>
      </c>
      <c r="Q182" s="23"/>
      <c r="R182" s="24">
        <v>7876.4</v>
      </c>
      <c r="S182" s="24">
        <f t="shared" si="10"/>
        <v>0</v>
      </c>
      <c r="T182" s="291">
        <v>6</v>
      </c>
      <c r="U182" s="292">
        <v>7876.4</v>
      </c>
      <c r="V182" s="292">
        <f t="shared" si="11"/>
        <v>47258.399999999994</v>
      </c>
      <c r="W182" s="295"/>
      <c r="X182" s="296">
        <v>7876.4</v>
      </c>
      <c r="Y182" s="296">
        <f t="shared" si="12"/>
        <v>0</v>
      </c>
      <c r="Z182" s="23"/>
      <c r="AA182" s="24">
        <v>7876.4</v>
      </c>
      <c r="AB182" s="24">
        <f t="shared" si="13"/>
        <v>0</v>
      </c>
      <c r="AC182" s="92"/>
      <c r="AD182" s="93">
        <v>7876.4</v>
      </c>
      <c r="AE182" s="93">
        <f t="shared" si="14"/>
        <v>0</v>
      </c>
      <c r="AF182" s="196"/>
      <c r="AG182" s="197">
        <v>7876.4</v>
      </c>
      <c r="AH182" s="197">
        <f t="shared" si="15"/>
        <v>0</v>
      </c>
    </row>
    <row r="183" spans="1:34" ht="18" thickBot="1" x14ac:dyDescent="0.25">
      <c r="A183" s="9" t="s">
        <v>663</v>
      </c>
      <c r="B183" s="75" t="s">
        <v>1271</v>
      </c>
      <c r="C183" s="9" t="s">
        <v>36</v>
      </c>
      <c r="D183" s="9" t="s">
        <v>1616</v>
      </c>
      <c r="E183" s="9">
        <v>48</v>
      </c>
      <c r="F183" s="10">
        <v>3480</v>
      </c>
      <c r="G183" s="10">
        <f t="shared" si="6"/>
        <v>167040</v>
      </c>
      <c r="H183" s="18">
        <v>12</v>
      </c>
      <c r="I183" s="19">
        <v>3480</v>
      </c>
      <c r="J183" s="19">
        <f t="shared" si="7"/>
        <v>41760</v>
      </c>
      <c r="K183" s="27">
        <v>12</v>
      </c>
      <c r="L183" s="28">
        <v>3480</v>
      </c>
      <c r="M183" s="28">
        <f t="shared" si="8"/>
        <v>41760</v>
      </c>
      <c r="N183" s="291">
        <v>12</v>
      </c>
      <c r="O183" s="292">
        <v>3480</v>
      </c>
      <c r="P183" s="292">
        <f t="shared" si="9"/>
        <v>41760</v>
      </c>
      <c r="Q183" s="23"/>
      <c r="R183" s="24">
        <v>3480</v>
      </c>
      <c r="S183" s="24">
        <f t="shared" si="10"/>
        <v>0</v>
      </c>
      <c r="T183" s="291"/>
      <c r="U183" s="292">
        <v>3480</v>
      </c>
      <c r="V183" s="292">
        <f t="shared" si="11"/>
        <v>0</v>
      </c>
      <c r="W183" s="295"/>
      <c r="X183" s="296">
        <v>3480</v>
      </c>
      <c r="Y183" s="296">
        <f t="shared" si="12"/>
        <v>0</v>
      </c>
      <c r="Z183" s="23"/>
      <c r="AA183" s="24">
        <v>3480</v>
      </c>
      <c r="AB183" s="24">
        <f t="shared" si="13"/>
        <v>0</v>
      </c>
      <c r="AC183" s="92"/>
      <c r="AD183" s="93">
        <v>3480</v>
      </c>
      <c r="AE183" s="93">
        <f t="shared" si="14"/>
        <v>0</v>
      </c>
      <c r="AF183" s="196"/>
      <c r="AG183" s="197">
        <v>3480</v>
      </c>
      <c r="AH183" s="197">
        <f t="shared" si="15"/>
        <v>0</v>
      </c>
    </row>
    <row r="184" spans="1:34" ht="18" thickBot="1" x14ac:dyDescent="0.25">
      <c r="A184" s="9" t="s">
        <v>683</v>
      </c>
      <c r="B184" s="75" t="s">
        <v>1563</v>
      </c>
      <c r="C184" s="9" t="s">
        <v>36</v>
      </c>
      <c r="D184" s="9" t="s">
        <v>732</v>
      </c>
      <c r="E184" s="9">
        <v>55</v>
      </c>
      <c r="F184" s="10">
        <v>4860.3999999999996</v>
      </c>
      <c r="G184" s="10">
        <f t="shared" si="6"/>
        <v>267322</v>
      </c>
      <c r="H184" s="18">
        <v>14</v>
      </c>
      <c r="I184" s="19">
        <v>4860.3999999999996</v>
      </c>
      <c r="J184" s="19">
        <f t="shared" si="7"/>
        <v>68045.599999999991</v>
      </c>
      <c r="K184" s="27">
        <v>14</v>
      </c>
      <c r="L184" s="28">
        <v>4860.3999999999996</v>
      </c>
      <c r="M184" s="28">
        <f t="shared" si="8"/>
        <v>68045.599999999991</v>
      </c>
      <c r="N184" s="291">
        <v>12</v>
      </c>
      <c r="O184" s="292">
        <v>4860.3999999999996</v>
      </c>
      <c r="P184" s="292">
        <f t="shared" si="9"/>
        <v>58324.799999999996</v>
      </c>
      <c r="Q184" s="23"/>
      <c r="R184" s="24">
        <v>4860.3999999999996</v>
      </c>
      <c r="S184" s="24">
        <f t="shared" si="10"/>
        <v>0</v>
      </c>
      <c r="T184" s="291"/>
      <c r="U184" s="292">
        <v>4860.3999999999996</v>
      </c>
      <c r="V184" s="292">
        <f t="shared" si="11"/>
        <v>0</v>
      </c>
      <c r="W184" s="295">
        <v>15</v>
      </c>
      <c r="X184" s="296">
        <v>4860.3999999999996</v>
      </c>
      <c r="Y184" s="296">
        <f t="shared" si="12"/>
        <v>72906</v>
      </c>
      <c r="Z184" s="23"/>
      <c r="AA184" s="24">
        <v>4860.3999999999996</v>
      </c>
      <c r="AB184" s="24">
        <f t="shared" si="13"/>
        <v>0</v>
      </c>
      <c r="AC184" s="92"/>
      <c r="AD184" s="93">
        <v>4860.3999999999996</v>
      </c>
      <c r="AE184" s="93">
        <f t="shared" si="14"/>
        <v>0</v>
      </c>
      <c r="AF184" s="196"/>
      <c r="AG184" s="197">
        <v>4860.3999999999996</v>
      </c>
      <c r="AH184" s="197">
        <f t="shared" si="15"/>
        <v>0</v>
      </c>
    </row>
    <row r="185" spans="1:34" ht="18" thickBot="1" x14ac:dyDescent="0.25">
      <c r="A185" s="9" t="s">
        <v>1168</v>
      </c>
      <c r="B185" s="75" t="s">
        <v>846</v>
      </c>
      <c r="C185" s="9" t="s">
        <v>36</v>
      </c>
      <c r="D185" s="9" t="s">
        <v>41</v>
      </c>
      <c r="E185" s="9">
        <v>100</v>
      </c>
      <c r="F185" s="10">
        <v>10440</v>
      </c>
      <c r="G185" s="10">
        <f t="shared" si="6"/>
        <v>1044000</v>
      </c>
      <c r="H185" s="18"/>
      <c r="I185" s="19">
        <v>10440</v>
      </c>
      <c r="J185" s="19">
        <f t="shared" si="7"/>
        <v>0</v>
      </c>
      <c r="K185" s="27"/>
      <c r="L185" s="28">
        <v>10440</v>
      </c>
      <c r="M185" s="28">
        <f t="shared" si="8"/>
        <v>0</v>
      </c>
      <c r="N185" s="291"/>
      <c r="O185" s="292">
        <v>10440</v>
      </c>
      <c r="P185" s="292">
        <f t="shared" si="9"/>
        <v>0</v>
      </c>
      <c r="Q185" s="23"/>
      <c r="R185" s="24">
        <v>10440</v>
      </c>
      <c r="S185" s="24">
        <f t="shared" si="10"/>
        <v>0</v>
      </c>
      <c r="T185" s="291"/>
      <c r="U185" s="292">
        <v>10440</v>
      </c>
      <c r="V185" s="292">
        <f t="shared" si="11"/>
        <v>0</v>
      </c>
      <c r="W185" s="295">
        <v>6</v>
      </c>
      <c r="X185" s="296">
        <v>10440</v>
      </c>
      <c r="Y185" s="296">
        <f t="shared" si="12"/>
        <v>62640</v>
      </c>
      <c r="Z185" s="23"/>
      <c r="AA185" s="24">
        <v>10440</v>
      </c>
      <c r="AB185" s="24">
        <f t="shared" si="13"/>
        <v>0</v>
      </c>
      <c r="AC185" s="92"/>
      <c r="AD185" s="93">
        <v>10440</v>
      </c>
      <c r="AE185" s="93">
        <f t="shared" si="14"/>
        <v>0</v>
      </c>
      <c r="AF185" s="196"/>
      <c r="AG185" s="197">
        <v>10440</v>
      </c>
      <c r="AH185" s="197">
        <f t="shared" si="15"/>
        <v>0</v>
      </c>
    </row>
    <row r="186" spans="1:34" ht="17" thickBot="1" x14ac:dyDescent="0.25">
      <c r="A186"/>
      <c r="C186"/>
      <c r="D186"/>
      <c r="E186"/>
      <c r="F186" s="1"/>
      <c r="G186" s="12">
        <f>SUM(G131:G185)</f>
        <v>98611704.399999991</v>
      </c>
      <c r="H186"/>
      <c r="I186" s="1"/>
      <c r="J186" s="34">
        <f>SUM(J131:J185)</f>
        <v>12766646.799999999</v>
      </c>
      <c r="L186" s="1"/>
      <c r="M186" s="148">
        <f>SUM(M131:M185)</f>
        <v>9194415.2000000011</v>
      </c>
      <c r="O186" s="1"/>
      <c r="P186" s="293">
        <f>SUM(P131:P185)</f>
        <v>4939778.8</v>
      </c>
      <c r="R186" s="1"/>
      <c r="S186" s="26">
        <f>SUM(S131:S185)</f>
        <v>4972228.6400000006</v>
      </c>
      <c r="U186" s="1"/>
      <c r="V186" s="293">
        <f>SUM(V131:V185)</f>
        <v>12549910.08</v>
      </c>
      <c r="X186" s="1"/>
      <c r="Y186" s="294">
        <f>SUM(Y131:Y185)</f>
        <v>2902483.5599999996</v>
      </c>
      <c r="Z186" s="297"/>
      <c r="AA186" s="56"/>
      <c r="AB186" s="26">
        <f>SUM(AB131:AB185)</f>
        <v>2872044</v>
      </c>
      <c r="AD186" s="1"/>
      <c r="AE186" s="94">
        <f>SUM(AE131:AE185)</f>
        <v>6443646.8799999999</v>
      </c>
      <c r="AH186" s="305">
        <f>SUM(AH131:AH185)</f>
        <v>1687690.9600000002</v>
      </c>
    </row>
    <row r="187" spans="1:34" ht="17" thickBot="1" x14ac:dyDescent="0.25">
      <c r="A187" s="30" t="s">
        <v>1761</v>
      </c>
      <c r="B187" s="77" t="s">
        <v>1597</v>
      </c>
      <c r="C187" s="2" t="s">
        <v>1598</v>
      </c>
      <c r="F187" s="2"/>
      <c r="G187" s="33"/>
      <c r="H187" s="38" t="s">
        <v>2174</v>
      </c>
      <c r="J187" s="290">
        <v>46147</v>
      </c>
      <c r="K187" t="s">
        <v>2176</v>
      </c>
      <c r="M187" s="36">
        <v>46154</v>
      </c>
      <c r="N187" t="s">
        <v>2178</v>
      </c>
      <c r="P187" s="36">
        <v>46199</v>
      </c>
      <c r="Q187" t="s">
        <v>2177</v>
      </c>
      <c r="S187" s="36">
        <v>46197</v>
      </c>
      <c r="T187" t="s">
        <v>2175</v>
      </c>
      <c r="V187" s="36">
        <v>46199</v>
      </c>
      <c r="W187" t="s">
        <v>2174</v>
      </c>
      <c r="Y187" s="36">
        <v>46204</v>
      </c>
      <c r="Z187" t="s">
        <v>2304</v>
      </c>
      <c r="AB187" s="36">
        <v>46204</v>
      </c>
    </row>
    <row r="188" spans="1:34" ht="18" thickBot="1" x14ac:dyDescent="0.25">
      <c r="A188" s="9" t="s">
        <v>37</v>
      </c>
      <c r="B188" s="75" t="s">
        <v>880</v>
      </c>
      <c r="C188" s="9" t="s">
        <v>36</v>
      </c>
      <c r="D188" s="9" t="s">
        <v>198</v>
      </c>
      <c r="E188" s="9">
        <v>54</v>
      </c>
      <c r="F188" s="10">
        <v>8352</v>
      </c>
      <c r="G188" s="10">
        <f t="shared" ref="G188:G219" si="16">F188*E188</f>
        <v>451008</v>
      </c>
      <c r="H188" s="27"/>
      <c r="I188" s="28">
        <v>8352</v>
      </c>
      <c r="J188" s="28">
        <f t="shared" ref="J188:J245" si="17">I188*H188</f>
        <v>0</v>
      </c>
      <c r="K188" s="291"/>
      <c r="L188" s="292">
        <v>8352</v>
      </c>
      <c r="M188" s="292">
        <f t="shared" ref="M188:M245" si="18">L188*K188</f>
        <v>0</v>
      </c>
      <c r="N188" s="295"/>
      <c r="O188" s="296">
        <v>8352</v>
      </c>
      <c r="P188" s="296">
        <f t="shared" ref="P188:P245" si="19">O188*N188</f>
        <v>0</v>
      </c>
      <c r="Q188" s="23">
        <v>5</v>
      </c>
      <c r="R188" s="24">
        <v>8352</v>
      </c>
      <c r="S188" s="24">
        <f t="shared" ref="S188:S245" si="20">R188*Q188</f>
        <v>41760</v>
      </c>
      <c r="T188" s="291"/>
      <c r="U188" s="292">
        <v>8352</v>
      </c>
      <c r="V188" s="292">
        <f t="shared" ref="V188:V245" si="21">U188*T188</f>
        <v>0</v>
      </c>
      <c r="W188" s="27"/>
      <c r="X188" s="28">
        <v>8352</v>
      </c>
      <c r="Y188" s="28">
        <f t="shared" ref="Y188:Y245" si="22">X188*W188</f>
        <v>0</v>
      </c>
      <c r="Z188" s="196">
        <v>5</v>
      </c>
      <c r="AA188" s="197">
        <v>8352</v>
      </c>
      <c r="AB188" s="197">
        <f t="shared" ref="AB188:AB245" si="23">AA188*Z188</f>
        <v>41760</v>
      </c>
    </row>
    <row r="189" spans="1:34" ht="18" thickBot="1" x14ac:dyDescent="0.25">
      <c r="A189" s="9" t="s">
        <v>243</v>
      </c>
      <c r="B189" s="75" t="s">
        <v>884</v>
      </c>
      <c r="C189" s="9" t="s">
        <v>36</v>
      </c>
      <c r="D189" s="9" t="s">
        <v>125</v>
      </c>
      <c r="E189" s="9">
        <v>160</v>
      </c>
      <c r="F189" s="10">
        <v>6032</v>
      </c>
      <c r="G189" s="10">
        <f t="shared" si="16"/>
        <v>965120</v>
      </c>
      <c r="H189" s="27"/>
      <c r="I189" s="28">
        <v>6032</v>
      </c>
      <c r="J189" s="28">
        <f t="shared" si="17"/>
        <v>0</v>
      </c>
      <c r="K189" s="291"/>
      <c r="L189" s="292">
        <v>6032</v>
      </c>
      <c r="M189" s="292">
        <f t="shared" si="18"/>
        <v>0</v>
      </c>
      <c r="N189" s="295"/>
      <c r="O189" s="296">
        <v>6032</v>
      </c>
      <c r="P189" s="296">
        <f t="shared" si="19"/>
        <v>0</v>
      </c>
      <c r="Q189" s="23">
        <v>54</v>
      </c>
      <c r="R189" s="24">
        <v>6032</v>
      </c>
      <c r="S189" s="24">
        <f t="shared" si="20"/>
        <v>325728</v>
      </c>
      <c r="T189" s="291">
        <v>6</v>
      </c>
      <c r="U189" s="292">
        <v>6032</v>
      </c>
      <c r="V189" s="292">
        <f t="shared" si="21"/>
        <v>36192</v>
      </c>
      <c r="W189" s="27"/>
      <c r="X189" s="28">
        <v>6032</v>
      </c>
      <c r="Y189" s="28">
        <f t="shared" si="22"/>
        <v>0</v>
      </c>
      <c r="Z189" s="196"/>
      <c r="AA189" s="197">
        <v>6032</v>
      </c>
      <c r="AB189" s="197">
        <f t="shared" si="23"/>
        <v>0</v>
      </c>
    </row>
    <row r="190" spans="1:34" ht="18" thickBot="1" x14ac:dyDescent="0.25">
      <c r="A190" s="9" t="s">
        <v>1600</v>
      </c>
      <c r="B190" s="75" t="s">
        <v>892</v>
      </c>
      <c r="C190" s="9" t="s">
        <v>36</v>
      </c>
      <c r="D190" s="9" t="s">
        <v>393</v>
      </c>
      <c r="E190" s="9">
        <v>220</v>
      </c>
      <c r="F190" s="10">
        <v>4176</v>
      </c>
      <c r="G190" s="10">
        <f t="shared" si="16"/>
        <v>918720</v>
      </c>
      <c r="H190" s="27"/>
      <c r="I190" s="28">
        <v>4176</v>
      </c>
      <c r="J190" s="28">
        <f t="shared" si="17"/>
        <v>0</v>
      </c>
      <c r="K190" s="291"/>
      <c r="L190" s="292">
        <v>4176</v>
      </c>
      <c r="M190" s="292">
        <f t="shared" si="18"/>
        <v>0</v>
      </c>
      <c r="N190" s="295"/>
      <c r="O190" s="296">
        <v>4176</v>
      </c>
      <c r="P190" s="296">
        <f t="shared" si="19"/>
        <v>0</v>
      </c>
      <c r="Q190" s="23">
        <v>42</v>
      </c>
      <c r="R190" s="24">
        <v>4176</v>
      </c>
      <c r="S190" s="24">
        <f t="shared" si="20"/>
        <v>175392</v>
      </c>
      <c r="T190" s="291">
        <v>24</v>
      </c>
      <c r="U190" s="292">
        <v>4176</v>
      </c>
      <c r="V190" s="292">
        <f t="shared" si="21"/>
        <v>100224</v>
      </c>
      <c r="W190" s="27"/>
      <c r="X190" s="28">
        <v>4176</v>
      </c>
      <c r="Y190" s="28">
        <f t="shared" si="22"/>
        <v>0</v>
      </c>
      <c r="Z190" s="196">
        <v>12</v>
      </c>
      <c r="AA190" s="197">
        <v>4176</v>
      </c>
      <c r="AB190" s="197">
        <f t="shared" si="23"/>
        <v>50112</v>
      </c>
    </row>
    <row r="191" spans="1:34" ht="18" thickBot="1" x14ac:dyDescent="0.25">
      <c r="A191" s="9" t="s">
        <v>240</v>
      </c>
      <c r="B191" s="75" t="s">
        <v>889</v>
      </c>
      <c r="C191" s="9" t="s">
        <v>36</v>
      </c>
      <c r="D191" s="9" t="s">
        <v>1372</v>
      </c>
      <c r="E191" s="9">
        <v>170</v>
      </c>
      <c r="F191" s="10">
        <v>10324</v>
      </c>
      <c r="G191" s="10">
        <f t="shared" si="16"/>
        <v>1755080</v>
      </c>
      <c r="H191" s="27"/>
      <c r="I191" s="28">
        <v>10324</v>
      </c>
      <c r="J191" s="28">
        <f t="shared" si="17"/>
        <v>0</v>
      </c>
      <c r="K191" s="291">
        <v>12</v>
      </c>
      <c r="L191" s="292">
        <v>10324</v>
      </c>
      <c r="M191" s="292">
        <f t="shared" si="18"/>
        <v>123888</v>
      </c>
      <c r="N191" s="295">
        <v>18</v>
      </c>
      <c r="O191" s="296">
        <v>10324</v>
      </c>
      <c r="P191" s="296">
        <f t="shared" si="19"/>
        <v>185832</v>
      </c>
      <c r="Q191" s="23">
        <v>12</v>
      </c>
      <c r="R191" s="24">
        <v>10324</v>
      </c>
      <c r="S191" s="24">
        <f t="shared" si="20"/>
        <v>123888</v>
      </c>
      <c r="T191" s="291">
        <v>6</v>
      </c>
      <c r="U191" s="292">
        <v>10324</v>
      </c>
      <c r="V191" s="292">
        <f t="shared" si="21"/>
        <v>61944</v>
      </c>
      <c r="W191" s="27">
        <v>12</v>
      </c>
      <c r="X191" s="28">
        <v>10324</v>
      </c>
      <c r="Y191" s="28">
        <f t="shared" si="22"/>
        <v>123888</v>
      </c>
      <c r="Z191" s="196">
        <v>12</v>
      </c>
      <c r="AA191" s="197">
        <v>10324</v>
      </c>
      <c r="AB191" s="197">
        <f t="shared" si="23"/>
        <v>123888</v>
      </c>
    </row>
    <row r="192" spans="1:34" ht="18" thickBot="1" x14ac:dyDescent="0.25">
      <c r="A192" s="9" t="s">
        <v>46</v>
      </c>
      <c r="B192" s="75" t="s">
        <v>903</v>
      </c>
      <c r="C192" s="9" t="s">
        <v>36</v>
      </c>
      <c r="D192" s="9" t="s">
        <v>54</v>
      </c>
      <c r="E192" s="9">
        <v>120</v>
      </c>
      <c r="F192" s="10">
        <v>12412</v>
      </c>
      <c r="G192" s="10">
        <f t="shared" si="16"/>
        <v>1489440</v>
      </c>
      <c r="H192" s="27"/>
      <c r="I192" s="28">
        <v>12412</v>
      </c>
      <c r="J192" s="28">
        <f t="shared" si="17"/>
        <v>0</v>
      </c>
      <c r="K192" s="291"/>
      <c r="L192" s="292">
        <v>12412</v>
      </c>
      <c r="M192" s="292">
        <f t="shared" si="18"/>
        <v>0</v>
      </c>
      <c r="N192" s="295">
        <v>12</v>
      </c>
      <c r="O192" s="296">
        <v>12412</v>
      </c>
      <c r="P192" s="296">
        <f t="shared" si="19"/>
        <v>148944</v>
      </c>
      <c r="Q192" s="23">
        <v>6</v>
      </c>
      <c r="R192" s="24">
        <v>12412</v>
      </c>
      <c r="S192" s="24">
        <f t="shared" si="20"/>
        <v>74472</v>
      </c>
      <c r="T192" s="291">
        <v>6</v>
      </c>
      <c r="U192" s="292">
        <v>12412</v>
      </c>
      <c r="V192" s="292">
        <f t="shared" si="21"/>
        <v>74472</v>
      </c>
      <c r="W192" s="27">
        <v>6</v>
      </c>
      <c r="X192" s="28">
        <v>12412</v>
      </c>
      <c r="Y192" s="28">
        <f t="shared" si="22"/>
        <v>74472</v>
      </c>
      <c r="Z192" s="196">
        <v>12</v>
      </c>
      <c r="AA192" s="197">
        <v>12412</v>
      </c>
      <c r="AB192" s="197">
        <f t="shared" si="23"/>
        <v>148944</v>
      </c>
    </row>
    <row r="193" spans="1:28" ht="18" thickBot="1" x14ac:dyDescent="0.25">
      <c r="A193" s="9" t="s">
        <v>46</v>
      </c>
      <c r="B193" s="75" t="s">
        <v>956</v>
      </c>
      <c r="C193" s="9" t="s">
        <v>36</v>
      </c>
      <c r="D193" s="9" t="s">
        <v>991</v>
      </c>
      <c r="E193" s="9">
        <v>36</v>
      </c>
      <c r="F193" s="10">
        <v>3016</v>
      </c>
      <c r="G193" s="10">
        <f t="shared" si="16"/>
        <v>108576</v>
      </c>
      <c r="H193" s="27"/>
      <c r="I193" s="28">
        <v>3016</v>
      </c>
      <c r="J193" s="28">
        <f t="shared" si="17"/>
        <v>0</v>
      </c>
      <c r="K193" s="291">
        <v>16</v>
      </c>
      <c r="L193" s="292">
        <v>3016</v>
      </c>
      <c r="M193" s="292">
        <f t="shared" si="18"/>
        <v>48256</v>
      </c>
      <c r="N193" s="295"/>
      <c r="O193" s="296">
        <v>3016</v>
      </c>
      <c r="P193" s="296">
        <f t="shared" si="19"/>
        <v>0</v>
      </c>
      <c r="Q193" s="23"/>
      <c r="R193" s="24">
        <v>3016</v>
      </c>
      <c r="S193" s="24">
        <f t="shared" si="20"/>
        <v>0</v>
      </c>
      <c r="T193" s="291"/>
      <c r="U193" s="292">
        <v>3016</v>
      </c>
      <c r="V193" s="292">
        <f t="shared" si="21"/>
        <v>0</v>
      </c>
      <c r="W193" s="27"/>
      <c r="X193" s="28">
        <v>3016</v>
      </c>
      <c r="Y193" s="28">
        <f t="shared" si="22"/>
        <v>0</v>
      </c>
      <c r="Z193" s="196"/>
      <c r="AA193" s="197">
        <v>3016</v>
      </c>
      <c r="AB193" s="197">
        <f t="shared" si="23"/>
        <v>0</v>
      </c>
    </row>
    <row r="194" spans="1:28" ht="18" thickBot="1" x14ac:dyDescent="0.25">
      <c r="A194" s="9" t="s">
        <v>243</v>
      </c>
      <c r="B194" s="75" t="s">
        <v>884</v>
      </c>
      <c r="C194" s="9" t="s">
        <v>36</v>
      </c>
      <c r="D194" s="9" t="s">
        <v>671</v>
      </c>
      <c r="E194" s="9">
        <v>36</v>
      </c>
      <c r="F194" s="10">
        <v>14964</v>
      </c>
      <c r="G194" s="10">
        <f t="shared" si="16"/>
        <v>538704</v>
      </c>
      <c r="H194" s="27"/>
      <c r="I194" s="28">
        <v>14964</v>
      </c>
      <c r="J194" s="28">
        <f t="shared" si="17"/>
        <v>0</v>
      </c>
      <c r="K194" s="291"/>
      <c r="L194" s="292">
        <v>14964</v>
      </c>
      <c r="M194" s="292">
        <f t="shared" si="18"/>
        <v>0</v>
      </c>
      <c r="N194" s="295">
        <v>6</v>
      </c>
      <c r="O194" s="296">
        <v>14964</v>
      </c>
      <c r="P194" s="296">
        <f t="shared" si="19"/>
        <v>89784</v>
      </c>
      <c r="Q194" s="23">
        <v>3</v>
      </c>
      <c r="R194" s="24">
        <v>14964</v>
      </c>
      <c r="S194" s="24">
        <f t="shared" si="20"/>
        <v>44892</v>
      </c>
      <c r="T194" s="291">
        <v>3</v>
      </c>
      <c r="U194" s="292">
        <v>14964</v>
      </c>
      <c r="V194" s="292">
        <f t="shared" si="21"/>
        <v>44892</v>
      </c>
      <c r="W194" s="27">
        <v>6</v>
      </c>
      <c r="X194" s="28">
        <v>14964</v>
      </c>
      <c r="Y194" s="28">
        <f t="shared" si="22"/>
        <v>89784</v>
      </c>
      <c r="Z194" s="196">
        <v>6</v>
      </c>
      <c r="AA194" s="197">
        <v>14964</v>
      </c>
      <c r="AB194" s="197">
        <f t="shared" si="23"/>
        <v>89784</v>
      </c>
    </row>
    <row r="195" spans="1:28" ht="18" thickBot="1" x14ac:dyDescent="0.25">
      <c r="A195" s="9" t="s">
        <v>243</v>
      </c>
      <c r="B195" s="75" t="s">
        <v>884</v>
      </c>
      <c r="C195" s="9" t="s">
        <v>36</v>
      </c>
      <c r="D195" s="9" t="s">
        <v>1599</v>
      </c>
      <c r="E195" s="9">
        <v>60</v>
      </c>
      <c r="F195" s="10">
        <v>13920</v>
      </c>
      <c r="G195" s="10">
        <f t="shared" si="16"/>
        <v>835200</v>
      </c>
      <c r="H195" s="27"/>
      <c r="I195" s="28">
        <v>13920</v>
      </c>
      <c r="J195" s="28">
        <f t="shared" si="17"/>
        <v>0</v>
      </c>
      <c r="K195" s="291"/>
      <c r="L195" s="292">
        <v>13920</v>
      </c>
      <c r="M195" s="292">
        <f t="shared" si="18"/>
        <v>0</v>
      </c>
      <c r="N195" s="295">
        <v>10</v>
      </c>
      <c r="O195" s="296">
        <v>13920</v>
      </c>
      <c r="P195" s="296">
        <f t="shared" si="19"/>
        <v>139200</v>
      </c>
      <c r="Q195" s="23">
        <v>6</v>
      </c>
      <c r="R195" s="24">
        <v>13920</v>
      </c>
      <c r="S195" s="24">
        <f t="shared" si="20"/>
        <v>83520</v>
      </c>
      <c r="T195" s="291">
        <v>5</v>
      </c>
      <c r="U195" s="292">
        <v>13920</v>
      </c>
      <c r="V195" s="292">
        <f t="shared" si="21"/>
        <v>69600</v>
      </c>
      <c r="W195" s="27">
        <v>6</v>
      </c>
      <c r="X195" s="28">
        <v>13920</v>
      </c>
      <c r="Y195" s="28">
        <f t="shared" si="22"/>
        <v>83520</v>
      </c>
      <c r="Z195" s="196">
        <v>6</v>
      </c>
      <c r="AA195" s="197">
        <v>13920</v>
      </c>
      <c r="AB195" s="197">
        <f t="shared" si="23"/>
        <v>83520</v>
      </c>
    </row>
    <row r="196" spans="1:28" ht="18" thickBot="1" x14ac:dyDescent="0.25">
      <c r="A196" s="9" t="s">
        <v>602</v>
      </c>
      <c r="B196" s="75" t="s">
        <v>913</v>
      </c>
      <c r="C196" s="9" t="s">
        <v>36</v>
      </c>
      <c r="D196" s="9" t="s">
        <v>167</v>
      </c>
      <c r="E196" s="9">
        <v>140</v>
      </c>
      <c r="F196" s="10">
        <v>9512</v>
      </c>
      <c r="G196" s="10">
        <f t="shared" si="16"/>
        <v>1331680</v>
      </c>
      <c r="H196" s="27"/>
      <c r="I196" s="28">
        <v>9512</v>
      </c>
      <c r="J196" s="28">
        <f t="shared" si="17"/>
        <v>0</v>
      </c>
      <c r="K196" s="291"/>
      <c r="L196" s="292">
        <v>9512</v>
      </c>
      <c r="M196" s="292">
        <f t="shared" si="18"/>
        <v>0</v>
      </c>
      <c r="N196" s="295"/>
      <c r="O196" s="296">
        <v>9512</v>
      </c>
      <c r="P196" s="296">
        <f t="shared" si="19"/>
        <v>0</v>
      </c>
      <c r="Q196" s="23"/>
      <c r="R196" s="24">
        <v>9512</v>
      </c>
      <c r="S196" s="24">
        <f t="shared" si="20"/>
        <v>0</v>
      </c>
      <c r="T196" s="291"/>
      <c r="U196" s="292">
        <v>9512</v>
      </c>
      <c r="V196" s="292">
        <f t="shared" si="21"/>
        <v>0</v>
      </c>
      <c r="W196" s="27"/>
      <c r="X196" s="28">
        <v>9512</v>
      </c>
      <c r="Y196" s="28">
        <f t="shared" si="22"/>
        <v>0</v>
      </c>
      <c r="Z196" s="196">
        <v>18</v>
      </c>
      <c r="AA196" s="197">
        <v>9512</v>
      </c>
      <c r="AB196" s="197">
        <f t="shared" si="23"/>
        <v>171216</v>
      </c>
    </row>
    <row r="197" spans="1:28" ht="18" thickBot="1" x14ac:dyDescent="0.25">
      <c r="A197" s="9" t="s">
        <v>282</v>
      </c>
      <c r="B197" s="75" t="s">
        <v>1563</v>
      </c>
      <c r="C197" s="9" t="s">
        <v>36</v>
      </c>
      <c r="D197" s="9" t="s">
        <v>732</v>
      </c>
      <c r="E197" s="9">
        <v>60</v>
      </c>
      <c r="F197" s="10">
        <v>6264</v>
      </c>
      <c r="G197" s="10">
        <f t="shared" si="16"/>
        <v>375840</v>
      </c>
      <c r="H197" s="27"/>
      <c r="I197" s="28">
        <v>6264</v>
      </c>
      <c r="J197" s="28">
        <f t="shared" si="17"/>
        <v>0</v>
      </c>
      <c r="K197" s="291"/>
      <c r="L197" s="292">
        <v>6264</v>
      </c>
      <c r="M197" s="292">
        <f t="shared" si="18"/>
        <v>0</v>
      </c>
      <c r="N197" s="295">
        <v>10</v>
      </c>
      <c r="O197" s="296">
        <v>6264</v>
      </c>
      <c r="P197" s="296">
        <f t="shared" si="19"/>
        <v>62640</v>
      </c>
      <c r="Q197" s="23">
        <v>5</v>
      </c>
      <c r="R197" s="24">
        <v>6264</v>
      </c>
      <c r="S197" s="24">
        <f t="shared" si="20"/>
        <v>31320</v>
      </c>
      <c r="T197" s="291">
        <v>5</v>
      </c>
      <c r="U197" s="292">
        <v>6264</v>
      </c>
      <c r="V197" s="292">
        <f t="shared" si="21"/>
        <v>31320</v>
      </c>
      <c r="W197" s="27">
        <v>10</v>
      </c>
      <c r="X197" s="28">
        <v>6264</v>
      </c>
      <c r="Y197" s="28">
        <f t="shared" si="22"/>
        <v>62640</v>
      </c>
      <c r="Z197" s="196">
        <v>10</v>
      </c>
      <c r="AA197" s="197">
        <v>6264</v>
      </c>
      <c r="AB197" s="197">
        <f t="shared" si="23"/>
        <v>62640</v>
      </c>
    </row>
    <row r="198" spans="1:28" ht="18" thickBot="1" x14ac:dyDescent="0.25">
      <c r="A198" s="9" t="s">
        <v>674</v>
      </c>
      <c r="B198" s="75" t="s">
        <v>1579</v>
      </c>
      <c r="C198" s="9" t="s">
        <v>36</v>
      </c>
      <c r="D198" s="9" t="s">
        <v>294</v>
      </c>
      <c r="E198" s="9">
        <v>123</v>
      </c>
      <c r="F198" s="10">
        <v>13920</v>
      </c>
      <c r="G198" s="10">
        <f t="shared" si="16"/>
        <v>1712160</v>
      </c>
      <c r="H198" s="27">
        <v>10</v>
      </c>
      <c r="I198" s="28">
        <v>13920</v>
      </c>
      <c r="J198" s="28">
        <f t="shared" si="17"/>
        <v>139200</v>
      </c>
      <c r="K198" s="291">
        <v>10</v>
      </c>
      <c r="L198" s="292">
        <v>13920</v>
      </c>
      <c r="M198" s="292">
        <f t="shared" si="18"/>
        <v>139200</v>
      </c>
      <c r="N198" s="295"/>
      <c r="O198" s="296">
        <v>13920</v>
      </c>
      <c r="P198" s="296">
        <f t="shared" si="19"/>
        <v>0</v>
      </c>
      <c r="Q198" s="23"/>
      <c r="R198" s="24">
        <v>13920</v>
      </c>
      <c r="S198" s="24">
        <f t="shared" si="20"/>
        <v>0</v>
      </c>
      <c r="T198" s="291"/>
      <c r="U198" s="292">
        <v>13920</v>
      </c>
      <c r="V198" s="292">
        <f t="shared" si="21"/>
        <v>0</v>
      </c>
      <c r="W198" s="27"/>
      <c r="X198" s="28">
        <v>13920</v>
      </c>
      <c r="Y198" s="28">
        <f t="shared" si="22"/>
        <v>0</v>
      </c>
      <c r="Z198" s="196"/>
      <c r="AA198" s="197">
        <v>13920</v>
      </c>
      <c r="AB198" s="197">
        <f t="shared" si="23"/>
        <v>0</v>
      </c>
    </row>
    <row r="199" spans="1:28" ht="18" thickBot="1" x14ac:dyDescent="0.25">
      <c r="A199" s="9" t="s">
        <v>239</v>
      </c>
      <c r="B199" s="75" t="s">
        <v>851</v>
      </c>
      <c r="C199" s="9" t="s">
        <v>36</v>
      </c>
      <c r="D199" s="9" t="s">
        <v>163</v>
      </c>
      <c r="E199" s="9">
        <v>120</v>
      </c>
      <c r="F199" s="10">
        <v>5220</v>
      </c>
      <c r="G199" s="10">
        <f t="shared" si="16"/>
        <v>626400</v>
      </c>
      <c r="H199" s="27">
        <v>10</v>
      </c>
      <c r="I199" s="28">
        <v>5220</v>
      </c>
      <c r="J199" s="28">
        <f t="shared" si="17"/>
        <v>52200</v>
      </c>
      <c r="K199" s="291">
        <v>10</v>
      </c>
      <c r="L199" s="292">
        <v>5220</v>
      </c>
      <c r="M199" s="292">
        <f t="shared" si="18"/>
        <v>52200</v>
      </c>
      <c r="N199" s="295">
        <v>6</v>
      </c>
      <c r="O199" s="296">
        <v>5220</v>
      </c>
      <c r="P199" s="296">
        <f t="shared" si="19"/>
        <v>31320</v>
      </c>
      <c r="Q199" s="23">
        <v>24</v>
      </c>
      <c r="R199" s="24">
        <v>5220</v>
      </c>
      <c r="S199" s="24">
        <f t="shared" si="20"/>
        <v>125280</v>
      </c>
      <c r="T199" s="291"/>
      <c r="U199" s="292">
        <v>5220</v>
      </c>
      <c r="V199" s="292">
        <f t="shared" si="21"/>
        <v>0</v>
      </c>
      <c r="W199" s="27"/>
      <c r="X199" s="28">
        <v>5220</v>
      </c>
      <c r="Y199" s="28">
        <f t="shared" si="22"/>
        <v>0</v>
      </c>
      <c r="Z199" s="196">
        <v>18</v>
      </c>
      <c r="AA199" s="197">
        <v>5220</v>
      </c>
      <c r="AB199" s="197">
        <f t="shared" si="23"/>
        <v>93960</v>
      </c>
    </row>
    <row r="200" spans="1:28" ht="18" thickBot="1" x14ac:dyDescent="0.25">
      <c r="A200" s="9" t="s">
        <v>242</v>
      </c>
      <c r="B200" s="75" t="s">
        <v>884</v>
      </c>
      <c r="C200" s="9" t="s">
        <v>36</v>
      </c>
      <c r="D200" s="9" t="s">
        <v>1123</v>
      </c>
      <c r="E200" s="9">
        <v>160</v>
      </c>
      <c r="F200" s="10">
        <v>1902.4</v>
      </c>
      <c r="G200" s="10">
        <f t="shared" si="16"/>
        <v>304384</v>
      </c>
      <c r="H200" s="27"/>
      <c r="I200" s="28">
        <v>1902.4</v>
      </c>
      <c r="J200" s="28">
        <f t="shared" si="17"/>
        <v>0</v>
      </c>
      <c r="K200" s="291">
        <v>12</v>
      </c>
      <c r="L200" s="292">
        <v>1902.4</v>
      </c>
      <c r="M200" s="292">
        <f t="shared" si="18"/>
        <v>22828.800000000003</v>
      </c>
      <c r="N200" s="295">
        <v>20</v>
      </c>
      <c r="O200" s="296">
        <v>1902.4</v>
      </c>
      <c r="P200" s="296">
        <f t="shared" si="19"/>
        <v>38048</v>
      </c>
      <c r="Q200" s="23">
        <v>12</v>
      </c>
      <c r="R200" s="24">
        <v>1902.4</v>
      </c>
      <c r="S200" s="24">
        <f t="shared" si="20"/>
        <v>22828.800000000003</v>
      </c>
      <c r="T200" s="291">
        <v>8</v>
      </c>
      <c r="U200" s="292">
        <v>1902.4</v>
      </c>
      <c r="V200" s="292">
        <f t="shared" si="21"/>
        <v>15219.2</v>
      </c>
      <c r="W200" s="27"/>
      <c r="X200" s="28">
        <v>1902.4</v>
      </c>
      <c r="Y200" s="28">
        <f t="shared" si="22"/>
        <v>0</v>
      </c>
      <c r="Z200" s="196"/>
      <c r="AA200" s="197">
        <v>1902.4</v>
      </c>
      <c r="AB200" s="197">
        <f t="shared" si="23"/>
        <v>0</v>
      </c>
    </row>
    <row r="201" spans="1:28" ht="18" thickBot="1" x14ac:dyDescent="0.25">
      <c r="A201" s="9" t="s">
        <v>57</v>
      </c>
      <c r="B201" s="75" t="s">
        <v>957</v>
      </c>
      <c r="C201" s="9" t="s">
        <v>36</v>
      </c>
      <c r="D201" s="9" t="s">
        <v>1262</v>
      </c>
      <c r="E201" s="9">
        <v>60</v>
      </c>
      <c r="F201" s="10">
        <v>4640</v>
      </c>
      <c r="G201" s="10">
        <f t="shared" si="16"/>
        <v>278400</v>
      </c>
      <c r="H201" s="27"/>
      <c r="I201" s="28">
        <v>4640</v>
      </c>
      <c r="J201" s="28">
        <f t="shared" si="17"/>
        <v>0</v>
      </c>
      <c r="K201" s="291"/>
      <c r="L201" s="292">
        <v>4640</v>
      </c>
      <c r="M201" s="292">
        <f t="shared" si="18"/>
        <v>0</v>
      </c>
      <c r="N201" s="295"/>
      <c r="O201" s="296">
        <v>4640</v>
      </c>
      <c r="P201" s="296">
        <f t="shared" si="19"/>
        <v>0</v>
      </c>
      <c r="Q201" s="23">
        <v>5</v>
      </c>
      <c r="R201" s="24">
        <v>4640</v>
      </c>
      <c r="S201" s="24">
        <f t="shared" si="20"/>
        <v>23200</v>
      </c>
      <c r="T201" s="291">
        <v>5</v>
      </c>
      <c r="U201" s="292">
        <v>4640</v>
      </c>
      <c r="V201" s="292">
        <f t="shared" si="21"/>
        <v>23200</v>
      </c>
      <c r="W201" s="27">
        <v>6</v>
      </c>
      <c r="X201" s="28">
        <v>4640</v>
      </c>
      <c r="Y201" s="28">
        <f t="shared" si="22"/>
        <v>27840</v>
      </c>
      <c r="Z201" s="196"/>
      <c r="AA201" s="197">
        <v>4640</v>
      </c>
      <c r="AB201" s="197">
        <f t="shared" si="23"/>
        <v>0</v>
      </c>
    </row>
    <row r="202" spans="1:28" ht="18" thickBot="1" x14ac:dyDescent="0.25">
      <c r="A202" s="9" t="s">
        <v>1245</v>
      </c>
      <c r="B202" s="75" t="s">
        <v>1947</v>
      </c>
      <c r="C202" s="9" t="s">
        <v>36</v>
      </c>
      <c r="D202" s="9" t="s">
        <v>1370</v>
      </c>
      <c r="E202" s="9">
        <v>60</v>
      </c>
      <c r="F202" s="10">
        <v>3944</v>
      </c>
      <c r="G202" s="10">
        <f t="shared" si="16"/>
        <v>236640</v>
      </c>
      <c r="H202" s="27">
        <v>1</v>
      </c>
      <c r="I202" s="28">
        <v>3944</v>
      </c>
      <c r="J202" s="28">
        <f t="shared" si="17"/>
        <v>3944</v>
      </c>
      <c r="K202" s="291"/>
      <c r="L202" s="292">
        <v>3944</v>
      </c>
      <c r="M202" s="292">
        <f t="shared" si="18"/>
        <v>0</v>
      </c>
      <c r="N202" s="295">
        <v>6</v>
      </c>
      <c r="O202" s="296">
        <v>3944</v>
      </c>
      <c r="P202" s="296">
        <f t="shared" si="19"/>
        <v>23664</v>
      </c>
      <c r="Q202" s="23"/>
      <c r="R202" s="24">
        <v>3944</v>
      </c>
      <c r="S202" s="24">
        <f t="shared" si="20"/>
        <v>0</v>
      </c>
      <c r="T202" s="291"/>
      <c r="U202" s="292">
        <v>3944</v>
      </c>
      <c r="V202" s="292">
        <f t="shared" si="21"/>
        <v>0</v>
      </c>
      <c r="W202" s="27"/>
      <c r="X202" s="28">
        <v>3944</v>
      </c>
      <c r="Y202" s="28">
        <f t="shared" si="22"/>
        <v>0</v>
      </c>
      <c r="Z202" s="196"/>
      <c r="AA202" s="197">
        <v>3944</v>
      </c>
      <c r="AB202" s="197">
        <f t="shared" si="23"/>
        <v>0</v>
      </c>
    </row>
    <row r="203" spans="1:28" ht="18" thickBot="1" x14ac:dyDescent="0.25">
      <c r="A203" s="9" t="s">
        <v>35</v>
      </c>
      <c r="B203" s="75" t="s">
        <v>891</v>
      </c>
      <c r="C203" s="9" t="s">
        <v>36</v>
      </c>
      <c r="D203" s="9" t="s">
        <v>330</v>
      </c>
      <c r="E203" s="9">
        <v>47</v>
      </c>
      <c r="F203" s="10">
        <v>1276</v>
      </c>
      <c r="G203" s="10">
        <f t="shared" si="16"/>
        <v>59972</v>
      </c>
      <c r="H203" s="27"/>
      <c r="I203" s="28">
        <v>1276</v>
      </c>
      <c r="J203" s="28">
        <f t="shared" si="17"/>
        <v>0</v>
      </c>
      <c r="K203" s="291"/>
      <c r="L203" s="292">
        <v>1276</v>
      </c>
      <c r="M203" s="292">
        <f t="shared" si="18"/>
        <v>0</v>
      </c>
      <c r="N203" s="295">
        <v>8</v>
      </c>
      <c r="O203" s="296">
        <v>1276</v>
      </c>
      <c r="P203" s="296">
        <f t="shared" si="19"/>
        <v>10208</v>
      </c>
      <c r="Q203" s="23">
        <v>4</v>
      </c>
      <c r="R203" s="24">
        <v>1276</v>
      </c>
      <c r="S203" s="24">
        <f t="shared" si="20"/>
        <v>5104</v>
      </c>
      <c r="T203" s="291">
        <v>4</v>
      </c>
      <c r="U203" s="292">
        <v>1276</v>
      </c>
      <c r="V203" s="292">
        <f t="shared" si="21"/>
        <v>5104</v>
      </c>
      <c r="W203" s="27">
        <v>30</v>
      </c>
      <c r="X203" s="28">
        <v>1276</v>
      </c>
      <c r="Y203" s="28">
        <f t="shared" si="22"/>
        <v>38280</v>
      </c>
      <c r="Z203" s="196">
        <v>8</v>
      </c>
      <c r="AA203" s="197">
        <v>1276</v>
      </c>
      <c r="AB203" s="197">
        <f t="shared" si="23"/>
        <v>10208</v>
      </c>
    </row>
    <row r="204" spans="1:28" ht="18" thickBot="1" x14ac:dyDescent="0.25">
      <c r="A204" s="9" t="s">
        <v>1102</v>
      </c>
      <c r="B204" s="75" t="s">
        <v>914</v>
      </c>
      <c r="C204" s="9" t="s">
        <v>36</v>
      </c>
      <c r="D204" s="9" t="s">
        <v>780</v>
      </c>
      <c r="E204" s="9">
        <v>15</v>
      </c>
      <c r="F204" s="10">
        <v>7540</v>
      </c>
      <c r="G204" s="10">
        <f t="shared" si="16"/>
        <v>113100</v>
      </c>
      <c r="H204" s="27"/>
      <c r="I204" s="28">
        <v>7540</v>
      </c>
      <c r="J204" s="28">
        <f t="shared" si="17"/>
        <v>0</v>
      </c>
      <c r="K204" s="291"/>
      <c r="L204" s="292">
        <v>7540</v>
      </c>
      <c r="M204" s="292">
        <f t="shared" si="18"/>
        <v>0</v>
      </c>
      <c r="N204" s="295"/>
      <c r="O204" s="296">
        <v>7540</v>
      </c>
      <c r="P204" s="296">
        <f t="shared" si="19"/>
        <v>0</v>
      </c>
      <c r="Q204" s="23"/>
      <c r="R204" s="24">
        <v>7540</v>
      </c>
      <c r="S204" s="24">
        <f t="shared" si="20"/>
        <v>0</v>
      </c>
      <c r="T204" s="291"/>
      <c r="U204" s="292">
        <v>7540</v>
      </c>
      <c r="V204" s="292">
        <f t="shared" si="21"/>
        <v>0</v>
      </c>
      <c r="W204" s="27"/>
      <c r="X204" s="28">
        <v>7540</v>
      </c>
      <c r="Y204" s="28">
        <f t="shared" si="22"/>
        <v>0</v>
      </c>
      <c r="Z204" s="196"/>
      <c r="AA204" s="197">
        <v>7540</v>
      </c>
      <c r="AB204" s="197">
        <f t="shared" si="23"/>
        <v>0</v>
      </c>
    </row>
    <row r="205" spans="1:28" ht="18" thickBot="1" x14ac:dyDescent="0.25">
      <c r="A205" s="9" t="s">
        <v>285</v>
      </c>
      <c r="B205" s="75" t="s">
        <v>1362</v>
      </c>
      <c r="C205" s="9" t="s">
        <v>36</v>
      </c>
      <c r="D205" s="9" t="s">
        <v>298</v>
      </c>
      <c r="E205" s="9">
        <v>70</v>
      </c>
      <c r="F205" s="10">
        <v>9860</v>
      </c>
      <c r="G205" s="10">
        <f t="shared" si="16"/>
        <v>690200</v>
      </c>
      <c r="H205" s="27">
        <v>4</v>
      </c>
      <c r="I205" s="28">
        <v>9860</v>
      </c>
      <c r="J205" s="28">
        <f t="shared" si="17"/>
        <v>39440</v>
      </c>
      <c r="K205" s="291">
        <v>5</v>
      </c>
      <c r="L205" s="292">
        <v>9860</v>
      </c>
      <c r="M205" s="292">
        <f t="shared" si="18"/>
        <v>49300</v>
      </c>
      <c r="N205" s="295">
        <v>5</v>
      </c>
      <c r="O205" s="296">
        <v>9860</v>
      </c>
      <c r="P205" s="296">
        <f t="shared" si="19"/>
        <v>49300</v>
      </c>
      <c r="Q205" s="23">
        <v>10</v>
      </c>
      <c r="R205" s="24">
        <v>9860</v>
      </c>
      <c r="S205" s="24">
        <f t="shared" si="20"/>
        <v>98600</v>
      </c>
      <c r="T205" s="291"/>
      <c r="U205" s="292">
        <v>9860</v>
      </c>
      <c r="V205" s="292">
        <f t="shared" si="21"/>
        <v>0</v>
      </c>
      <c r="W205" s="27">
        <v>1</v>
      </c>
      <c r="X205" s="28">
        <v>9860</v>
      </c>
      <c r="Y205" s="28">
        <f t="shared" si="22"/>
        <v>9860</v>
      </c>
      <c r="Z205" s="196">
        <v>5</v>
      </c>
      <c r="AA205" s="197">
        <v>9860</v>
      </c>
      <c r="AB205" s="197">
        <f t="shared" si="23"/>
        <v>49300</v>
      </c>
    </row>
    <row r="206" spans="1:28" ht="18" thickBot="1" x14ac:dyDescent="0.25">
      <c r="A206" s="9" t="s">
        <v>1102</v>
      </c>
      <c r="B206" s="75" t="s">
        <v>905</v>
      </c>
      <c r="C206" s="9" t="s">
        <v>36</v>
      </c>
      <c r="D206" s="9" t="s">
        <v>164</v>
      </c>
      <c r="E206" s="9">
        <v>60</v>
      </c>
      <c r="F206" s="10">
        <v>11368</v>
      </c>
      <c r="G206" s="10">
        <f t="shared" si="16"/>
        <v>682080</v>
      </c>
      <c r="H206" s="27"/>
      <c r="I206" s="28">
        <v>11368</v>
      </c>
      <c r="J206" s="28">
        <f t="shared" si="17"/>
        <v>0</v>
      </c>
      <c r="K206" s="291">
        <v>12</v>
      </c>
      <c r="L206" s="292">
        <v>11368</v>
      </c>
      <c r="M206" s="292">
        <f t="shared" si="18"/>
        <v>136416</v>
      </c>
      <c r="N206" s="295">
        <v>10</v>
      </c>
      <c r="O206" s="296">
        <v>11368</v>
      </c>
      <c r="P206" s="296">
        <f t="shared" si="19"/>
        <v>113680</v>
      </c>
      <c r="Q206" s="23">
        <v>5</v>
      </c>
      <c r="R206" s="24">
        <v>11368</v>
      </c>
      <c r="S206" s="24">
        <f t="shared" si="20"/>
        <v>56840</v>
      </c>
      <c r="T206" s="291"/>
      <c r="U206" s="292">
        <v>11368</v>
      </c>
      <c r="V206" s="292">
        <f t="shared" si="21"/>
        <v>0</v>
      </c>
      <c r="W206" s="27">
        <v>5</v>
      </c>
      <c r="X206" s="28">
        <v>11368</v>
      </c>
      <c r="Y206" s="28">
        <f t="shared" si="22"/>
        <v>56840</v>
      </c>
      <c r="Z206" s="196">
        <v>5</v>
      </c>
      <c r="AA206" s="197">
        <v>11368</v>
      </c>
      <c r="AB206" s="197">
        <f t="shared" si="23"/>
        <v>56840</v>
      </c>
    </row>
    <row r="207" spans="1:28" ht="18" thickBot="1" x14ac:dyDescent="0.25">
      <c r="A207" s="9" t="s">
        <v>45</v>
      </c>
      <c r="B207" s="75" t="s">
        <v>1948</v>
      </c>
      <c r="C207" s="9" t="s">
        <v>36</v>
      </c>
      <c r="D207" s="9" t="s">
        <v>40</v>
      </c>
      <c r="E207" s="9">
        <v>418</v>
      </c>
      <c r="F207" s="10">
        <v>754</v>
      </c>
      <c r="G207" s="10">
        <f t="shared" si="16"/>
        <v>315172</v>
      </c>
      <c r="H207" s="27">
        <v>112</v>
      </c>
      <c r="I207" s="28">
        <v>754</v>
      </c>
      <c r="J207" s="28">
        <f t="shared" si="17"/>
        <v>84448</v>
      </c>
      <c r="K207" s="291">
        <v>64</v>
      </c>
      <c r="L207" s="292">
        <v>754</v>
      </c>
      <c r="M207" s="292">
        <f t="shared" si="18"/>
        <v>48256</v>
      </c>
      <c r="N207" s="295">
        <v>48</v>
      </c>
      <c r="O207" s="296">
        <v>754</v>
      </c>
      <c r="P207" s="296">
        <f t="shared" si="19"/>
        <v>36192</v>
      </c>
      <c r="Q207" s="23">
        <v>16</v>
      </c>
      <c r="R207" s="24">
        <v>754</v>
      </c>
      <c r="S207" s="24">
        <f t="shared" si="20"/>
        <v>12064</v>
      </c>
      <c r="T207" s="291"/>
      <c r="U207" s="292">
        <v>754</v>
      </c>
      <c r="V207" s="292">
        <f t="shared" si="21"/>
        <v>0</v>
      </c>
      <c r="W207" s="27"/>
      <c r="X207" s="28">
        <v>754</v>
      </c>
      <c r="Y207" s="28">
        <f t="shared" si="22"/>
        <v>0</v>
      </c>
      <c r="Z207" s="196">
        <v>16</v>
      </c>
      <c r="AA207" s="197">
        <v>754</v>
      </c>
      <c r="AB207" s="197">
        <f t="shared" si="23"/>
        <v>12064</v>
      </c>
    </row>
    <row r="208" spans="1:28" ht="18" thickBot="1" x14ac:dyDescent="0.25">
      <c r="A208" s="9" t="s">
        <v>239</v>
      </c>
      <c r="B208" s="75" t="s">
        <v>854</v>
      </c>
      <c r="C208" s="9" t="s">
        <v>36</v>
      </c>
      <c r="D208" s="9" t="s">
        <v>110</v>
      </c>
      <c r="E208" s="9">
        <v>90</v>
      </c>
      <c r="F208" s="10">
        <v>11368</v>
      </c>
      <c r="G208" s="10">
        <f t="shared" si="16"/>
        <v>1023120</v>
      </c>
      <c r="H208" s="27"/>
      <c r="I208" s="28">
        <v>11368</v>
      </c>
      <c r="J208" s="28">
        <f t="shared" si="17"/>
        <v>0</v>
      </c>
      <c r="K208" s="291"/>
      <c r="L208" s="292">
        <v>11368</v>
      </c>
      <c r="M208" s="292">
        <f t="shared" si="18"/>
        <v>0</v>
      </c>
      <c r="N208" s="295">
        <v>6</v>
      </c>
      <c r="O208" s="296">
        <v>11368</v>
      </c>
      <c r="P208" s="296">
        <f t="shared" si="19"/>
        <v>68208</v>
      </c>
      <c r="Q208" s="23">
        <v>3</v>
      </c>
      <c r="R208" s="24">
        <v>11368</v>
      </c>
      <c r="S208" s="24">
        <f t="shared" si="20"/>
        <v>34104</v>
      </c>
      <c r="T208" s="291">
        <v>3</v>
      </c>
      <c r="U208" s="292">
        <v>11368</v>
      </c>
      <c r="V208" s="292">
        <f t="shared" si="21"/>
        <v>34104</v>
      </c>
      <c r="W208" s="27">
        <v>6</v>
      </c>
      <c r="X208" s="28">
        <v>11368</v>
      </c>
      <c r="Y208" s="28">
        <f t="shared" si="22"/>
        <v>68208</v>
      </c>
      <c r="Z208" s="196"/>
      <c r="AA208" s="197">
        <v>11368</v>
      </c>
      <c r="AB208" s="197">
        <f t="shared" si="23"/>
        <v>0</v>
      </c>
    </row>
    <row r="209" spans="1:28" ht="18" thickBot="1" x14ac:dyDescent="0.25">
      <c r="A209" s="9" t="s">
        <v>140</v>
      </c>
      <c r="B209" s="75" t="s">
        <v>862</v>
      </c>
      <c r="C209" s="9" t="s">
        <v>36</v>
      </c>
      <c r="D209" s="9" t="s">
        <v>296</v>
      </c>
      <c r="E209" s="9">
        <v>120</v>
      </c>
      <c r="F209" s="10">
        <v>7424</v>
      </c>
      <c r="G209" s="10">
        <f t="shared" si="16"/>
        <v>890880</v>
      </c>
      <c r="H209" s="27"/>
      <c r="I209" s="28">
        <v>7424</v>
      </c>
      <c r="J209" s="28">
        <f t="shared" si="17"/>
        <v>0</v>
      </c>
      <c r="K209" s="291"/>
      <c r="L209" s="292">
        <v>7424</v>
      </c>
      <c r="M209" s="292">
        <f t="shared" si="18"/>
        <v>0</v>
      </c>
      <c r="N209" s="295"/>
      <c r="O209" s="296">
        <v>7424</v>
      </c>
      <c r="P209" s="296">
        <f t="shared" si="19"/>
        <v>0</v>
      </c>
      <c r="Q209" s="23"/>
      <c r="R209" s="24">
        <v>7424</v>
      </c>
      <c r="S209" s="24">
        <f t="shared" si="20"/>
        <v>0</v>
      </c>
      <c r="T209" s="291"/>
      <c r="U209" s="292">
        <v>7424</v>
      </c>
      <c r="V209" s="292">
        <f t="shared" si="21"/>
        <v>0</v>
      </c>
      <c r="W209" s="27"/>
      <c r="X209" s="28">
        <v>7424</v>
      </c>
      <c r="Y209" s="28">
        <f t="shared" si="22"/>
        <v>0</v>
      </c>
      <c r="Z209" s="196"/>
      <c r="AA209" s="197">
        <v>7424</v>
      </c>
      <c r="AB209" s="197">
        <f t="shared" si="23"/>
        <v>0</v>
      </c>
    </row>
    <row r="210" spans="1:28" ht="18" thickBot="1" x14ac:dyDescent="0.25">
      <c r="A210" s="9" t="s">
        <v>243</v>
      </c>
      <c r="B210" s="75" t="s">
        <v>843</v>
      </c>
      <c r="C210" s="9" t="s">
        <v>36</v>
      </c>
      <c r="D210" s="9" t="s">
        <v>246</v>
      </c>
      <c r="E210" s="9">
        <v>108</v>
      </c>
      <c r="F210" s="10">
        <v>8236</v>
      </c>
      <c r="G210" s="10">
        <f t="shared" si="16"/>
        <v>889488</v>
      </c>
      <c r="H210" s="27"/>
      <c r="I210" s="28">
        <v>8236</v>
      </c>
      <c r="J210" s="28">
        <f t="shared" si="17"/>
        <v>0</v>
      </c>
      <c r="K210" s="291"/>
      <c r="L210" s="292">
        <v>8236</v>
      </c>
      <c r="M210" s="292">
        <f t="shared" si="18"/>
        <v>0</v>
      </c>
      <c r="N210" s="295"/>
      <c r="O210" s="296">
        <v>8236</v>
      </c>
      <c r="P210" s="296">
        <f t="shared" si="19"/>
        <v>0</v>
      </c>
      <c r="Q210" s="23"/>
      <c r="R210" s="24">
        <v>8236</v>
      </c>
      <c r="S210" s="24">
        <f t="shared" si="20"/>
        <v>0</v>
      </c>
      <c r="T210" s="291"/>
      <c r="U210" s="292">
        <v>8236</v>
      </c>
      <c r="V210" s="292">
        <f t="shared" si="21"/>
        <v>0</v>
      </c>
      <c r="W210" s="27"/>
      <c r="X210" s="28">
        <v>8236</v>
      </c>
      <c r="Y210" s="28">
        <f t="shared" si="22"/>
        <v>0</v>
      </c>
      <c r="Z210" s="196"/>
      <c r="AA210" s="197">
        <v>8236</v>
      </c>
      <c r="AB210" s="197">
        <f t="shared" si="23"/>
        <v>0</v>
      </c>
    </row>
    <row r="211" spans="1:28" ht="18" thickBot="1" x14ac:dyDescent="0.25">
      <c r="A211" s="9" t="s">
        <v>1245</v>
      </c>
      <c r="B211" s="75" t="s">
        <v>840</v>
      </c>
      <c r="C211" s="9" t="s">
        <v>36</v>
      </c>
      <c r="D211" s="9" t="s">
        <v>305</v>
      </c>
      <c r="E211" s="9">
        <v>40</v>
      </c>
      <c r="F211" s="10">
        <v>3422</v>
      </c>
      <c r="G211" s="10">
        <f t="shared" si="16"/>
        <v>136880</v>
      </c>
      <c r="H211" s="27"/>
      <c r="I211" s="28">
        <v>3422</v>
      </c>
      <c r="J211" s="28">
        <f t="shared" si="17"/>
        <v>0</v>
      </c>
      <c r="K211" s="291">
        <v>10</v>
      </c>
      <c r="L211" s="292">
        <v>3422</v>
      </c>
      <c r="M211" s="292">
        <f t="shared" si="18"/>
        <v>34220</v>
      </c>
      <c r="N211" s="295"/>
      <c r="O211" s="296">
        <v>3422</v>
      </c>
      <c r="P211" s="296">
        <f t="shared" si="19"/>
        <v>0</v>
      </c>
      <c r="Q211" s="23">
        <v>6</v>
      </c>
      <c r="R211" s="24">
        <v>3422</v>
      </c>
      <c r="S211" s="24">
        <f t="shared" si="20"/>
        <v>20532</v>
      </c>
      <c r="T211" s="291"/>
      <c r="U211" s="292">
        <v>3422</v>
      </c>
      <c r="V211" s="292">
        <f t="shared" si="21"/>
        <v>0</v>
      </c>
      <c r="W211" s="27"/>
      <c r="X211" s="28">
        <v>3422</v>
      </c>
      <c r="Y211" s="28">
        <f t="shared" si="22"/>
        <v>0</v>
      </c>
      <c r="Z211" s="196"/>
      <c r="AA211" s="197">
        <v>3422</v>
      </c>
      <c r="AB211" s="197">
        <f t="shared" si="23"/>
        <v>0</v>
      </c>
    </row>
    <row r="212" spans="1:28" ht="18" thickBot="1" x14ac:dyDescent="0.25">
      <c r="A212" s="9" t="s">
        <v>35</v>
      </c>
      <c r="B212" s="75" t="s">
        <v>841</v>
      </c>
      <c r="C212" s="9" t="s">
        <v>36</v>
      </c>
      <c r="D212" s="9" t="s">
        <v>295</v>
      </c>
      <c r="E212" s="9">
        <v>170</v>
      </c>
      <c r="F212" s="10">
        <v>11484</v>
      </c>
      <c r="G212" s="10">
        <f t="shared" si="16"/>
        <v>1952280</v>
      </c>
      <c r="H212" s="27">
        <v>6</v>
      </c>
      <c r="I212" s="28">
        <v>11484</v>
      </c>
      <c r="J212" s="28">
        <f t="shared" si="17"/>
        <v>68904</v>
      </c>
      <c r="K212" s="291">
        <v>10</v>
      </c>
      <c r="L212" s="292">
        <v>11484</v>
      </c>
      <c r="M212" s="292">
        <f t="shared" si="18"/>
        <v>114840</v>
      </c>
      <c r="N212" s="295">
        <v>22</v>
      </c>
      <c r="O212" s="296">
        <v>11484</v>
      </c>
      <c r="P212" s="296">
        <f t="shared" si="19"/>
        <v>252648</v>
      </c>
      <c r="Q212" s="23">
        <v>18</v>
      </c>
      <c r="R212" s="24">
        <v>11484</v>
      </c>
      <c r="S212" s="24">
        <f t="shared" si="20"/>
        <v>206712</v>
      </c>
      <c r="T212" s="291">
        <v>13</v>
      </c>
      <c r="U212" s="292">
        <v>11484</v>
      </c>
      <c r="V212" s="292">
        <f t="shared" si="21"/>
        <v>149292</v>
      </c>
      <c r="W212" s="27">
        <v>9</v>
      </c>
      <c r="X212" s="28">
        <v>11484</v>
      </c>
      <c r="Y212" s="28">
        <f t="shared" si="22"/>
        <v>103356</v>
      </c>
      <c r="Z212" s="196">
        <v>18</v>
      </c>
      <c r="AA212" s="197">
        <v>11484</v>
      </c>
      <c r="AB212" s="197">
        <f t="shared" si="23"/>
        <v>206712</v>
      </c>
    </row>
    <row r="213" spans="1:28" ht="18" thickBot="1" x14ac:dyDescent="0.25">
      <c r="A213" s="9" t="s">
        <v>240</v>
      </c>
      <c r="B213" s="75" t="s">
        <v>906</v>
      </c>
      <c r="C213" s="9" t="s">
        <v>36</v>
      </c>
      <c r="D213" s="9" t="s">
        <v>791</v>
      </c>
      <c r="E213" s="9">
        <v>50</v>
      </c>
      <c r="F213" s="10">
        <v>5220</v>
      </c>
      <c r="G213" s="10">
        <f t="shared" si="16"/>
        <v>261000</v>
      </c>
      <c r="H213" s="27"/>
      <c r="I213" s="28">
        <v>5220</v>
      </c>
      <c r="J213" s="28">
        <f t="shared" si="17"/>
        <v>0</v>
      </c>
      <c r="K213" s="291"/>
      <c r="L213" s="292">
        <v>5220</v>
      </c>
      <c r="M213" s="292">
        <f t="shared" si="18"/>
        <v>0</v>
      </c>
      <c r="N213" s="295"/>
      <c r="O213" s="296">
        <v>5220</v>
      </c>
      <c r="P213" s="296">
        <f t="shared" si="19"/>
        <v>0</v>
      </c>
      <c r="Q213" s="23"/>
      <c r="R213" s="24">
        <v>5220</v>
      </c>
      <c r="S213" s="24">
        <f t="shared" si="20"/>
        <v>0</v>
      </c>
      <c r="T213" s="291">
        <v>5</v>
      </c>
      <c r="U213" s="292">
        <v>5220</v>
      </c>
      <c r="V213" s="292">
        <f t="shared" si="21"/>
        <v>26100</v>
      </c>
      <c r="W213" s="27"/>
      <c r="X213" s="28">
        <v>5220</v>
      </c>
      <c r="Y213" s="28">
        <f t="shared" si="22"/>
        <v>0</v>
      </c>
      <c r="Z213" s="196"/>
      <c r="AA213" s="197">
        <v>5220</v>
      </c>
      <c r="AB213" s="197">
        <f t="shared" si="23"/>
        <v>0</v>
      </c>
    </row>
    <row r="214" spans="1:28" ht="18" thickBot="1" x14ac:dyDescent="0.25">
      <c r="A214" s="9" t="s">
        <v>35</v>
      </c>
      <c r="B214" s="75" t="s">
        <v>910</v>
      </c>
      <c r="C214" s="9" t="s">
        <v>36</v>
      </c>
      <c r="D214" s="9" t="s">
        <v>116</v>
      </c>
      <c r="E214" s="9">
        <v>60</v>
      </c>
      <c r="F214" s="10">
        <v>11948</v>
      </c>
      <c r="G214" s="10">
        <f t="shared" si="16"/>
        <v>716880</v>
      </c>
      <c r="H214" s="27">
        <v>10</v>
      </c>
      <c r="I214" s="28">
        <v>11948</v>
      </c>
      <c r="J214" s="28">
        <f t="shared" si="17"/>
        <v>119480</v>
      </c>
      <c r="K214" s="291">
        <v>8</v>
      </c>
      <c r="L214" s="292">
        <v>11948</v>
      </c>
      <c r="M214" s="292">
        <f t="shared" si="18"/>
        <v>95584</v>
      </c>
      <c r="N214" s="295"/>
      <c r="O214" s="296">
        <v>11948</v>
      </c>
      <c r="P214" s="296">
        <f t="shared" si="19"/>
        <v>0</v>
      </c>
      <c r="Q214" s="23"/>
      <c r="R214" s="24">
        <v>11948</v>
      </c>
      <c r="S214" s="24">
        <f t="shared" si="20"/>
        <v>0</v>
      </c>
      <c r="T214" s="291"/>
      <c r="U214" s="292">
        <v>11948</v>
      </c>
      <c r="V214" s="292">
        <f t="shared" si="21"/>
        <v>0</v>
      </c>
      <c r="W214" s="27"/>
      <c r="X214" s="28">
        <v>11948</v>
      </c>
      <c r="Y214" s="28">
        <f t="shared" si="22"/>
        <v>0</v>
      </c>
      <c r="Z214" s="196"/>
      <c r="AA214" s="197">
        <v>11948</v>
      </c>
      <c r="AB214" s="197">
        <f t="shared" si="23"/>
        <v>0</v>
      </c>
    </row>
    <row r="215" spans="1:28" ht="18" thickBot="1" x14ac:dyDescent="0.25">
      <c r="A215" s="9" t="s">
        <v>282</v>
      </c>
      <c r="B215" s="75" t="s">
        <v>923</v>
      </c>
      <c r="C215" s="9" t="s">
        <v>36</v>
      </c>
      <c r="D215" s="9" t="s">
        <v>798</v>
      </c>
      <c r="E215" s="9">
        <v>60</v>
      </c>
      <c r="F215" s="10">
        <v>6032</v>
      </c>
      <c r="G215" s="10">
        <f t="shared" si="16"/>
        <v>361920</v>
      </c>
      <c r="H215" s="27"/>
      <c r="I215" s="28">
        <v>6032</v>
      </c>
      <c r="J215" s="28">
        <f t="shared" si="17"/>
        <v>0</v>
      </c>
      <c r="K215" s="291"/>
      <c r="L215" s="292">
        <v>6032</v>
      </c>
      <c r="M215" s="292">
        <f t="shared" si="18"/>
        <v>0</v>
      </c>
      <c r="N215" s="295"/>
      <c r="O215" s="296">
        <v>6032</v>
      </c>
      <c r="P215" s="296">
        <f t="shared" si="19"/>
        <v>0</v>
      </c>
      <c r="Q215" s="23">
        <v>10</v>
      </c>
      <c r="R215" s="24">
        <v>6032</v>
      </c>
      <c r="S215" s="24">
        <f t="shared" si="20"/>
        <v>60320</v>
      </c>
      <c r="T215" s="291">
        <v>20</v>
      </c>
      <c r="U215" s="292">
        <v>6032</v>
      </c>
      <c r="V215" s="292">
        <f t="shared" si="21"/>
        <v>120640</v>
      </c>
      <c r="W215" s="27"/>
      <c r="X215" s="28">
        <v>6032</v>
      </c>
      <c r="Y215" s="28">
        <f t="shared" si="22"/>
        <v>0</v>
      </c>
      <c r="Z215" s="196"/>
      <c r="AA215" s="197">
        <v>6032</v>
      </c>
      <c r="AB215" s="197">
        <f t="shared" si="23"/>
        <v>0</v>
      </c>
    </row>
    <row r="216" spans="1:28" ht="18" thickBot="1" x14ac:dyDescent="0.25">
      <c r="A216" s="9" t="s">
        <v>45</v>
      </c>
      <c r="B216" s="75" t="s">
        <v>913</v>
      </c>
      <c r="C216" s="9" t="s">
        <v>36</v>
      </c>
      <c r="D216" s="9" t="s">
        <v>729</v>
      </c>
      <c r="E216" s="9">
        <v>90</v>
      </c>
      <c r="F216" s="10">
        <v>17400</v>
      </c>
      <c r="G216" s="10">
        <f t="shared" si="16"/>
        <v>1566000</v>
      </c>
      <c r="H216" s="27">
        <v>6</v>
      </c>
      <c r="I216" s="28">
        <v>17400</v>
      </c>
      <c r="J216" s="28">
        <f t="shared" si="17"/>
        <v>104400</v>
      </c>
      <c r="K216" s="291">
        <v>4</v>
      </c>
      <c r="L216" s="292">
        <v>17400</v>
      </c>
      <c r="M216" s="292">
        <f t="shared" si="18"/>
        <v>69600</v>
      </c>
      <c r="N216" s="295"/>
      <c r="O216" s="296">
        <v>17400</v>
      </c>
      <c r="P216" s="296">
        <f t="shared" si="19"/>
        <v>0</v>
      </c>
      <c r="Q216" s="23">
        <v>8</v>
      </c>
      <c r="R216" s="24">
        <v>17400</v>
      </c>
      <c r="S216" s="24">
        <f t="shared" si="20"/>
        <v>139200</v>
      </c>
      <c r="T216" s="291"/>
      <c r="U216" s="292">
        <v>17400</v>
      </c>
      <c r="V216" s="292">
        <f t="shared" si="21"/>
        <v>0</v>
      </c>
      <c r="W216" s="27">
        <v>4</v>
      </c>
      <c r="X216" s="28">
        <v>17400</v>
      </c>
      <c r="Y216" s="28">
        <f t="shared" si="22"/>
        <v>69600</v>
      </c>
      <c r="Z216" s="196">
        <v>8</v>
      </c>
      <c r="AA216" s="197">
        <v>17400</v>
      </c>
      <c r="AB216" s="197">
        <f t="shared" si="23"/>
        <v>139200</v>
      </c>
    </row>
    <row r="217" spans="1:28" ht="18" thickBot="1" x14ac:dyDescent="0.25">
      <c r="A217" s="9" t="s">
        <v>282</v>
      </c>
      <c r="B217" s="75" t="s">
        <v>892</v>
      </c>
      <c r="C217" s="9" t="s">
        <v>36</v>
      </c>
      <c r="D217" s="9" t="s">
        <v>331</v>
      </c>
      <c r="E217" s="9">
        <v>40</v>
      </c>
      <c r="F217" s="10">
        <v>10208</v>
      </c>
      <c r="G217" s="10">
        <f t="shared" si="16"/>
        <v>408320</v>
      </c>
      <c r="H217" s="27"/>
      <c r="I217" s="28">
        <v>10208</v>
      </c>
      <c r="J217" s="28">
        <f t="shared" si="17"/>
        <v>0</v>
      </c>
      <c r="K217" s="291"/>
      <c r="L217" s="292">
        <v>10208</v>
      </c>
      <c r="M217" s="292">
        <f t="shared" si="18"/>
        <v>0</v>
      </c>
      <c r="N217" s="295"/>
      <c r="O217" s="296">
        <v>10208</v>
      </c>
      <c r="P217" s="296">
        <f t="shared" si="19"/>
        <v>0</v>
      </c>
      <c r="Q217" s="23"/>
      <c r="R217" s="24">
        <v>10208</v>
      </c>
      <c r="S217" s="24">
        <f t="shared" si="20"/>
        <v>0</v>
      </c>
      <c r="T217" s="291"/>
      <c r="U217" s="292">
        <v>10208</v>
      </c>
      <c r="V217" s="292">
        <f t="shared" si="21"/>
        <v>0</v>
      </c>
      <c r="W217" s="27"/>
      <c r="X217" s="28">
        <v>10208</v>
      </c>
      <c r="Y217" s="28">
        <f t="shared" si="22"/>
        <v>0</v>
      </c>
      <c r="Z217" s="196">
        <v>12</v>
      </c>
      <c r="AA217" s="197">
        <v>10208</v>
      </c>
      <c r="AB217" s="197">
        <f t="shared" si="23"/>
        <v>122496</v>
      </c>
    </row>
    <row r="218" spans="1:28" ht="18" thickBot="1" x14ac:dyDescent="0.25">
      <c r="A218" s="9" t="s">
        <v>1746</v>
      </c>
      <c r="B218" s="75" t="s">
        <v>844</v>
      </c>
      <c r="C218" s="9" t="s">
        <v>36</v>
      </c>
      <c r="D218" s="9" t="s">
        <v>675</v>
      </c>
      <c r="E218" s="9">
        <v>60</v>
      </c>
      <c r="F218" s="10">
        <v>1276</v>
      </c>
      <c r="G218" s="10">
        <f t="shared" si="16"/>
        <v>76560</v>
      </c>
      <c r="H218" s="27">
        <v>12</v>
      </c>
      <c r="I218" s="28">
        <v>1276</v>
      </c>
      <c r="J218" s="28">
        <f t="shared" si="17"/>
        <v>15312</v>
      </c>
      <c r="K218" s="291"/>
      <c r="L218" s="292">
        <v>1276</v>
      </c>
      <c r="M218" s="292">
        <f t="shared" si="18"/>
        <v>0</v>
      </c>
      <c r="N218" s="295">
        <v>10</v>
      </c>
      <c r="O218" s="296">
        <v>1276</v>
      </c>
      <c r="P218" s="296">
        <f t="shared" si="19"/>
        <v>12760</v>
      </c>
      <c r="Q218" s="23">
        <v>5</v>
      </c>
      <c r="R218" s="24">
        <v>1276</v>
      </c>
      <c r="S218" s="24">
        <f t="shared" si="20"/>
        <v>6380</v>
      </c>
      <c r="T218" s="291">
        <v>5</v>
      </c>
      <c r="U218" s="292">
        <v>1276</v>
      </c>
      <c r="V218" s="292">
        <f t="shared" si="21"/>
        <v>6380</v>
      </c>
      <c r="W218" s="27"/>
      <c r="X218" s="28">
        <v>1276</v>
      </c>
      <c r="Y218" s="28">
        <f t="shared" si="22"/>
        <v>0</v>
      </c>
      <c r="Z218" s="196">
        <v>10</v>
      </c>
      <c r="AA218" s="197">
        <v>1276</v>
      </c>
      <c r="AB218" s="197">
        <f t="shared" si="23"/>
        <v>12760</v>
      </c>
    </row>
    <row r="219" spans="1:28" ht="18" thickBot="1" x14ac:dyDescent="0.25">
      <c r="A219" s="9" t="s">
        <v>57</v>
      </c>
      <c r="B219" s="75" t="s">
        <v>1949</v>
      </c>
      <c r="C219" s="9" t="s">
        <v>36</v>
      </c>
      <c r="D219" s="9" t="s">
        <v>1265</v>
      </c>
      <c r="E219" s="9">
        <v>100</v>
      </c>
      <c r="F219" s="10">
        <v>4872</v>
      </c>
      <c r="G219" s="10">
        <f t="shared" si="16"/>
        <v>487200</v>
      </c>
      <c r="H219" s="27">
        <v>10</v>
      </c>
      <c r="I219" s="28">
        <v>4872</v>
      </c>
      <c r="J219" s="28">
        <f t="shared" si="17"/>
        <v>48720</v>
      </c>
      <c r="K219" s="291"/>
      <c r="L219" s="292">
        <v>4872</v>
      </c>
      <c r="M219" s="292">
        <f t="shared" si="18"/>
        <v>0</v>
      </c>
      <c r="N219" s="295"/>
      <c r="O219" s="296">
        <v>4872</v>
      </c>
      <c r="P219" s="296">
        <f t="shared" si="19"/>
        <v>0</v>
      </c>
      <c r="Q219" s="23"/>
      <c r="R219" s="24">
        <v>4872</v>
      </c>
      <c r="S219" s="24">
        <f t="shared" si="20"/>
        <v>0</v>
      </c>
      <c r="T219" s="291"/>
      <c r="U219" s="292">
        <v>4872</v>
      </c>
      <c r="V219" s="292">
        <f t="shared" si="21"/>
        <v>0</v>
      </c>
      <c r="W219" s="27"/>
      <c r="X219" s="28">
        <v>4872</v>
      </c>
      <c r="Y219" s="28">
        <f t="shared" si="22"/>
        <v>0</v>
      </c>
      <c r="Z219" s="196"/>
      <c r="AA219" s="197">
        <v>4872</v>
      </c>
      <c r="AB219" s="197">
        <f t="shared" si="23"/>
        <v>0</v>
      </c>
    </row>
    <row r="220" spans="1:28" ht="18" thickBot="1" x14ac:dyDescent="0.25">
      <c r="A220" s="9" t="s">
        <v>197</v>
      </c>
      <c r="B220" s="75" t="s">
        <v>1339</v>
      </c>
      <c r="C220" s="9" t="s">
        <v>36</v>
      </c>
      <c r="D220" s="9" t="s">
        <v>310</v>
      </c>
      <c r="E220" s="9">
        <v>60</v>
      </c>
      <c r="F220" s="10">
        <v>15080</v>
      </c>
      <c r="G220" s="10">
        <f t="shared" ref="G220:G245" si="24">F220*E220</f>
        <v>904800</v>
      </c>
      <c r="H220" s="27"/>
      <c r="I220" s="28">
        <v>15080</v>
      </c>
      <c r="J220" s="28">
        <f t="shared" si="17"/>
        <v>0</v>
      </c>
      <c r="K220" s="291"/>
      <c r="L220" s="292">
        <v>15080</v>
      </c>
      <c r="M220" s="292">
        <f t="shared" si="18"/>
        <v>0</v>
      </c>
      <c r="N220" s="295"/>
      <c r="O220" s="296">
        <v>15080</v>
      </c>
      <c r="P220" s="296">
        <f t="shared" si="19"/>
        <v>0</v>
      </c>
      <c r="Q220" s="23"/>
      <c r="R220" s="24">
        <v>15080</v>
      </c>
      <c r="S220" s="24">
        <f t="shared" si="20"/>
        <v>0</v>
      </c>
      <c r="T220" s="291">
        <v>12</v>
      </c>
      <c r="U220" s="292">
        <v>15080</v>
      </c>
      <c r="V220" s="292">
        <f t="shared" si="21"/>
        <v>180960</v>
      </c>
      <c r="W220" s="27"/>
      <c r="X220" s="28">
        <v>15080</v>
      </c>
      <c r="Y220" s="28">
        <f t="shared" si="22"/>
        <v>0</v>
      </c>
      <c r="Z220" s="196"/>
      <c r="AA220" s="197">
        <v>15080</v>
      </c>
      <c r="AB220" s="197">
        <f t="shared" si="23"/>
        <v>0</v>
      </c>
    </row>
    <row r="221" spans="1:28" ht="18" thickBot="1" x14ac:dyDescent="0.25">
      <c r="A221" s="9" t="s">
        <v>239</v>
      </c>
      <c r="B221" s="75" t="s">
        <v>894</v>
      </c>
      <c r="C221" s="9" t="s">
        <v>36</v>
      </c>
      <c r="D221" s="9" t="s">
        <v>56</v>
      </c>
      <c r="E221" s="9">
        <v>140</v>
      </c>
      <c r="F221" s="10">
        <v>6496</v>
      </c>
      <c r="G221" s="10">
        <f t="shared" si="24"/>
        <v>909440</v>
      </c>
      <c r="H221" s="27">
        <v>5</v>
      </c>
      <c r="I221" s="28">
        <v>6496</v>
      </c>
      <c r="J221" s="28">
        <f t="shared" si="17"/>
        <v>32480</v>
      </c>
      <c r="K221" s="291">
        <v>5</v>
      </c>
      <c r="L221" s="292">
        <v>6496</v>
      </c>
      <c r="M221" s="292">
        <f t="shared" si="18"/>
        <v>32480</v>
      </c>
      <c r="N221" s="295">
        <v>23</v>
      </c>
      <c r="O221" s="296">
        <v>6496</v>
      </c>
      <c r="P221" s="296">
        <f t="shared" si="19"/>
        <v>149408</v>
      </c>
      <c r="Q221" s="23">
        <v>10</v>
      </c>
      <c r="R221" s="24">
        <v>6496</v>
      </c>
      <c r="S221" s="24">
        <f t="shared" si="20"/>
        <v>64960</v>
      </c>
      <c r="T221" s="291">
        <v>10</v>
      </c>
      <c r="U221" s="292">
        <v>6496</v>
      </c>
      <c r="V221" s="292">
        <f t="shared" si="21"/>
        <v>64960</v>
      </c>
      <c r="W221" s="27">
        <v>10</v>
      </c>
      <c r="X221" s="28">
        <v>6496</v>
      </c>
      <c r="Y221" s="28">
        <f t="shared" si="22"/>
        <v>64960</v>
      </c>
      <c r="Z221" s="196">
        <v>10</v>
      </c>
      <c r="AA221" s="197">
        <v>6496</v>
      </c>
      <c r="AB221" s="197">
        <f t="shared" si="23"/>
        <v>64960</v>
      </c>
    </row>
    <row r="222" spans="1:28" ht="18" thickBot="1" x14ac:dyDescent="0.25">
      <c r="A222" s="9" t="s">
        <v>1168</v>
      </c>
      <c r="B222" s="75" t="s">
        <v>1565</v>
      </c>
      <c r="C222" s="9" t="s">
        <v>36</v>
      </c>
      <c r="D222" s="9" t="s">
        <v>1930</v>
      </c>
      <c r="E222" s="9">
        <v>50</v>
      </c>
      <c r="F222" s="10">
        <v>11948</v>
      </c>
      <c r="G222" s="10">
        <f t="shared" si="24"/>
        <v>597400</v>
      </c>
      <c r="H222" s="27"/>
      <c r="I222" s="28">
        <v>11948</v>
      </c>
      <c r="J222" s="28">
        <f t="shared" si="17"/>
        <v>0</v>
      </c>
      <c r="K222" s="291">
        <v>5</v>
      </c>
      <c r="L222" s="292">
        <v>11948</v>
      </c>
      <c r="M222" s="292">
        <f t="shared" si="18"/>
        <v>59740</v>
      </c>
      <c r="N222" s="295">
        <v>9</v>
      </c>
      <c r="O222" s="296">
        <v>11948</v>
      </c>
      <c r="P222" s="296">
        <f t="shared" si="19"/>
        <v>107532</v>
      </c>
      <c r="Q222" s="23">
        <v>4</v>
      </c>
      <c r="R222" s="24">
        <v>11948</v>
      </c>
      <c r="S222" s="24">
        <f t="shared" si="20"/>
        <v>47792</v>
      </c>
      <c r="T222" s="291">
        <v>3</v>
      </c>
      <c r="U222" s="292">
        <v>11948</v>
      </c>
      <c r="V222" s="292">
        <f t="shared" si="21"/>
        <v>35844</v>
      </c>
      <c r="W222" s="27">
        <v>8</v>
      </c>
      <c r="X222" s="28">
        <v>11948</v>
      </c>
      <c r="Y222" s="28">
        <f t="shared" si="22"/>
        <v>95584</v>
      </c>
      <c r="Z222" s="196">
        <v>9</v>
      </c>
      <c r="AA222" s="197">
        <v>11948</v>
      </c>
      <c r="AB222" s="197">
        <f t="shared" si="23"/>
        <v>107532</v>
      </c>
    </row>
    <row r="223" spans="1:28" ht="18" thickBot="1" x14ac:dyDescent="0.25">
      <c r="A223" s="9" t="s">
        <v>283</v>
      </c>
      <c r="B223" s="75" t="s">
        <v>921</v>
      </c>
      <c r="C223" s="9" t="s">
        <v>36</v>
      </c>
      <c r="D223" s="9" t="s">
        <v>1601</v>
      </c>
      <c r="E223" s="9">
        <v>60</v>
      </c>
      <c r="F223" s="10">
        <v>7772</v>
      </c>
      <c r="G223" s="10">
        <f t="shared" si="24"/>
        <v>466320</v>
      </c>
      <c r="H223" s="27"/>
      <c r="I223" s="28">
        <v>7772</v>
      </c>
      <c r="J223" s="28">
        <f t="shared" si="17"/>
        <v>0</v>
      </c>
      <c r="K223" s="291"/>
      <c r="L223" s="292">
        <v>7772</v>
      </c>
      <c r="M223" s="292">
        <f t="shared" si="18"/>
        <v>0</v>
      </c>
      <c r="N223" s="295"/>
      <c r="O223" s="296">
        <v>7772</v>
      </c>
      <c r="P223" s="296">
        <f t="shared" si="19"/>
        <v>0</v>
      </c>
      <c r="Q223" s="23"/>
      <c r="R223" s="24">
        <v>7772</v>
      </c>
      <c r="S223" s="24">
        <f t="shared" si="20"/>
        <v>0</v>
      </c>
      <c r="T223" s="291"/>
      <c r="U223" s="292">
        <v>7772</v>
      </c>
      <c r="V223" s="292">
        <f t="shared" si="21"/>
        <v>0</v>
      </c>
      <c r="W223" s="27"/>
      <c r="X223" s="28">
        <v>7772</v>
      </c>
      <c r="Y223" s="28">
        <f t="shared" si="22"/>
        <v>0</v>
      </c>
      <c r="Z223" s="196"/>
      <c r="AA223" s="197">
        <v>7772</v>
      </c>
      <c r="AB223" s="197">
        <f t="shared" si="23"/>
        <v>0</v>
      </c>
    </row>
    <row r="224" spans="1:28" ht="18" thickBot="1" x14ac:dyDescent="0.25">
      <c r="A224" s="9" t="s">
        <v>243</v>
      </c>
      <c r="B224" s="75" t="s">
        <v>884</v>
      </c>
      <c r="C224" s="9" t="s">
        <v>36</v>
      </c>
      <c r="D224" s="9" t="s">
        <v>1142</v>
      </c>
      <c r="E224" s="9">
        <v>120</v>
      </c>
      <c r="F224" s="10">
        <v>8468</v>
      </c>
      <c r="G224" s="10">
        <f t="shared" si="24"/>
        <v>1016160</v>
      </c>
      <c r="H224" s="27"/>
      <c r="I224" s="28">
        <v>8468</v>
      </c>
      <c r="J224" s="28">
        <f t="shared" si="17"/>
        <v>0</v>
      </c>
      <c r="K224" s="291"/>
      <c r="L224" s="292">
        <v>8468</v>
      </c>
      <c r="M224" s="292">
        <f t="shared" si="18"/>
        <v>0</v>
      </c>
      <c r="N224" s="295">
        <v>6</v>
      </c>
      <c r="O224" s="296">
        <v>8468</v>
      </c>
      <c r="P224" s="296">
        <f t="shared" si="19"/>
        <v>50808</v>
      </c>
      <c r="Q224" s="23">
        <v>12</v>
      </c>
      <c r="R224" s="24">
        <v>8468</v>
      </c>
      <c r="S224" s="24">
        <f t="shared" si="20"/>
        <v>101616</v>
      </c>
      <c r="T224" s="291"/>
      <c r="U224" s="292">
        <v>8468</v>
      </c>
      <c r="V224" s="292">
        <f t="shared" si="21"/>
        <v>0</v>
      </c>
      <c r="W224" s="27"/>
      <c r="X224" s="28">
        <v>8468</v>
      </c>
      <c r="Y224" s="28">
        <f t="shared" si="22"/>
        <v>0</v>
      </c>
      <c r="Z224" s="196"/>
      <c r="AA224" s="197">
        <v>8468</v>
      </c>
      <c r="AB224" s="197">
        <f t="shared" si="23"/>
        <v>0</v>
      </c>
    </row>
    <row r="225" spans="1:28" ht="18" thickBot="1" x14ac:dyDescent="0.25">
      <c r="A225" s="9" t="s">
        <v>283</v>
      </c>
      <c r="B225" s="75" t="s">
        <v>1584</v>
      </c>
      <c r="C225" s="9" t="s">
        <v>36</v>
      </c>
      <c r="D225" s="9" t="s">
        <v>1138</v>
      </c>
      <c r="E225" s="9">
        <v>110</v>
      </c>
      <c r="F225" s="10">
        <v>6380</v>
      </c>
      <c r="G225" s="10">
        <f t="shared" si="24"/>
        <v>701800</v>
      </c>
      <c r="H225" s="27"/>
      <c r="I225" s="28">
        <v>6380</v>
      </c>
      <c r="J225" s="28">
        <f t="shared" si="17"/>
        <v>0</v>
      </c>
      <c r="K225" s="291"/>
      <c r="L225" s="292">
        <v>6380</v>
      </c>
      <c r="M225" s="292">
        <f t="shared" si="18"/>
        <v>0</v>
      </c>
      <c r="N225" s="295"/>
      <c r="O225" s="296">
        <v>6380</v>
      </c>
      <c r="P225" s="296">
        <f t="shared" si="19"/>
        <v>0</v>
      </c>
      <c r="Q225" s="23">
        <v>18</v>
      </c>
      <c r="R225" s="24">
        <v>6380</v>
      </c>
      <c r="S225" s="24">
        <f t="shared" si="20"/>
        <v>114840</v>
      </c>
      <c r="T225" s="291">
        <v>18</v>
      </c>
      <c r="U225" s="292">
        <v>6380</v>
      </c>
      <c r="V225" s="292">
        <f t="shared" si="21"/>
        <v>114840</v>
      </c>
      <c r="W225" s="27"/>
      <c r="X225" s="28">
        <v>6380</v>
      </c>
      <c r="Y225" s="28">
        <f t="shared" si="22"/>
        <v>0</v>
      </c>
      <c r="Z225" s="196"/>
      <c r="AA225" s="197">
        <v>6380</v>
      </c>
      <c r="AB225" s="197">
        <f t="shared" si="23"/>
        <v>0</v>
      </c>
    </row>
    <row r="226" spans="1:28" ht="18" thickBot="1" x14ac:dyDescent="0.25">
      <c r="A226" s="9" t="s">
        <v>240</v>
      </c>
      <c r="B226" s="75" t="s">
        <v>1952</v>
      </c>
      <c r="C226" s="9" t="s">
        <v>36</v>
      </c>
      <c r="D226" s="9" t="s">
        <v>303</v>
      </c>
      <c r="E226" s="9">
        <v>240</v>
      </c>
      <c r="F226" s="10">
        <v>6948.4</v>
      </c>
      <c r="G226" s="10">
        <f t="shared" si="24"/>
        <v>1667616</v>
      </c>
      <c r="H226" s="27"/>
      <c r="I226" s="28">
        <v>6948.4</v>
      </c>
      <c r="J226" s="28">
        <f t="shared" si="17"/>
        <v>0</v>
      </c>
      <c r="K226" s="291"/>
      <c r="L226" s="292">
        <v>6948.4</v>
      </c>
      <c r="M226" s="292">
        <f t="shared" si="18"/>
        <v>0</v>
      </c>
      <c r="N226" s="295"/>
      <c r="O226" s="296">
        <v>6948.4</v>
      </c>
      <c r="P226" s="296">
        <f t="shared" si="19"/>
        <v>0</v>
      </c>
      <c r="Q226" s="23"/>
      <c r="R226" s="24">
        <v>6948.4</v>
      </c>
      <c r="S226" s="24">
        <f t="shared" si="20"/>
        <v>0</v>
      </c>
      <c r="T226" s="291"/>
      <c r="U226" s="292">
        <v>6948.4</v>
      </c>
      <c r="V226" s="292">
        <f t="shared" si="21"/>
        <v>0</v>
      </c>
      <c r="W226" s="27"/>
      <c r="X226" s="28">
        <v>6948.4</v>
      </c>
      <c r="Y226" s="28">
        <f t="shared" si="22"/>
        <v>0</v>
      </c>
      <c r="Z226" s="196"/>
      <c r="AA226" s="197">
        <v>6948.4</v>
      </c>
      <c r="AB226" s="197">
        <f t="shared" si="23"/>
        <v>0</v>
      </c>
    </row>
    <row r="227" spans="1:28" ht="18" thickBot="1" x14ac:dyDescent="0.25">
      <c r="A227" s="9" t="s">
        <v>1603</v>
      </c>
      <c r="B227" s="75" t="s">
        <v>887</v>
      </c>
      <c r="C227" s="9" t="s">
        <v>36</v>
      </c>
      <c r="D227" s="9" t="s">
        <v>302</v>
      </c>
      <c r="E227" s="9">
        <v>120</v>
      </c>
      <c r="F227" s="10">
        <v>12992</v>
      </c>
      <c r="G227" s="10">
        <f t="shared" si="24"/>
        <v>1559040</v>
      </c>
      <c r="H227" s="27"/>
      <c r="I227" s="28">
        <v>12992</v>
      </c>
      <c r="J227" s="28">
        <f t="shared" si="17"/>
        <v>0</v>
      </c>
      <c r="K227" s="291"/>
      <c r="L227" s="292">
        <v>12992</v>
      </c>
      <c r="M227" s="292">
        <f t="shared" si="18"/>
        <v>0</v>
      </c>
      <c r="N227" s="295"/>
      <c r="O227" s="296">
        <v>12992</v>
      </c>
      <c r="P227" s="296">
        <f t="shared" si="19"/>
        <v>0</v>
      </c>
      <c r="Q227" s="23"/>
      <c r="R227" s="24">
        <v>12992</v>
      </c>
      <c r="S227" s="24">
        <f t="shared" si="20"/>
        <v>0</v>
      </c>
      <c r="T227" s="291"/>
      <c r="U227" s="292">
        <v>12992</v>
      </c>
      <c r="V227" s="292">
        <f t="shared" si="21"/>
        <v>0</v>
      </c>
      <c r="W227" s="27"/>
      <c r="X227" s="28">
        <v>12992</v>
      </c>
      <c r="Y227" s="28">
        <f t="shared" si="22"/>
        <v>0</v>
      </c>
      <c r="Z227" s="196"/>
      <c r="AA227" s="197">
        <v>12992</v>
      </c>
      <c r="AB227" s="197">
        <f t="shared" si="23"/>
        <v>0</v>
      </c>
    </row>
    <row r="228" spans="1:28" ht="18" thickBot="1" x14ac:dyDescent="0.25">
      <c r="A228" s="9" t="s">
        <v>1245</v>
      </c>
      <c r="B228" s="75" t="s">
        <v>845</v>
      </c>
      <c r="C228" s="9" t="s">
        <v>36</v>
      </c>
      <c r="D228" s="9" t="s">
        <v>205</v>
      </c>
      <c r="E228" s="9">
        <v>50</v>
      </c>
      <c r="F228" s="10">
        <v>8468</v>
      </c>
      <c r="G228" s="10">
        <f t="shared" si="24"/>
        <v>423400</v>
      </c>
      <c r="H228" s="27"/>
      <c r="I228" s="28">
        <v>8468</v>
      </c>
      <c r="J228" s="28">
        <f t="shared" si="17"/>
        <v>0</v>
      </c>
      <c r="K228" s="291">
        <v>12</v>
      </c>
      <c r="L228" s="292">
        <v>8468</v>
      </c>
      <c r="M228" s="292">
        <f t="shared" si="18"/>
        <v>101616</v>
      </c>
      <c r="N228" s="295"/>
      <c r="O228" s="296">
        <v>8468</v>
      </c>
      <c r="P228" s="296">
        <f t="shared" si="19"/>
        <v>0</v>
      </c>
      <c r="Q228" s="23"/>
      <c r="R228" s="24">
        <v>8468</v>
      </c>
      <c r="S228" s="24">
        <f t="shared" si="20"/>
        <v>0</v>
      </c>
      <c r="T228" s="291"/>
      <c r="U228" s="292">
        <v>8468</v>
      </c>
      <c r="V228" s="292">
        <f t="shared" si="21"/>
        <v>0</v>
      </c>
      <c r="W228" s="27"/>
      <c r="X228" s="28">
        <v>8468</v>
      </c>
      <c r="Y228" s="28">
        <f t="shared" si="22"/>
        <v>0</v>
      </c>
      <c r="Z228" s="196"/>
      <c r="AA228" s="197">
        <v>8468</v>
      </c>
      <c r="AB228" s="197">
        <f t="shared" si="23"/>
        <v>0</v>
      </c>
    </row>
    <row r="229" spans="1:28" ht="18" thickBot="1" x14ac:dyDescent="0.25">
      <c r="A229" s="9" t="s">
        <v>240</v>
      </c>
      <c r="B229" s="75" t="s">
        <v>906</v>
      </c>
      <c r="C229" s="9" t="s">
        <v>36</v>
      </c>
      <c r="D229" s="9" t="s">
        <v>299</v>
      </c>
      <c r="E229" s="9">
        <v>180</v>
      </c>
      <c r="F229" s="10">
        <v>6496</v>
      </c>
      <c r="G229" s="10">
        <f t="shared" si="24"/>
        <v>1169280</v>
      </c>
      <c r="H229" s="27"/>
      <c r="I229" s="28">
        <v>6496</v>
      </c>
      <c r="J229" s="28">
        <f t="shared" si="17"/>
        <v>0</v>
      </c>
      <c r="K229" s="291"/>
      <c r="L229" s="292">
        <v>6496</v>
      </c>
      <c r="M229" s="292">
        <f t="shared" si="18"/>
        <v>0</v>
      </c>
      <c r="N229" s="295"/>
      <c r="O229" s="296">
        <v>6496</v>
      </c>
      <c r="P229" s="296">
        <f t="shared" si="19"/>
        <v>0</v>
      </c>
      <c r="Q229" s="23"/>
      <c r="R229" s="24">
        <v>6496</v>
      </c>
      <c r="S229" s="24">
        <f t="shared" si="20"/>
        <v>0</v>
      </c>
      <c r="T229" s="291"/>
      <c r="U229" s="292">
        <v>6496</v>
      </c>
      <c r="V229" s="292">
        <f t="shared" si="21"/>
        <v>0</v>
      </c>
      <c r="W229" s="27"/>
      <c r="X229" s="28">
        <v>6496</v>
      </c>
      <c r="Y229" s="28">
        <f t="shared" si="22"/>
        <v>0</v>
      </c>
      <c r="Z229" s="196"/>
      <c r="AA229" s="197">
        <v>6496</v>
      </c>
      <c r="AB229" s="197">
        <f t="shared" si="23"/>
        <v>0</v>
      </c>
    </row>
    <row r="230" spans="1:28" ht="18" thickBot="1" x14ac:dyDescent="0.25">
      <c r="A230" s="9" t="s">
        <v>145</v>
      </c>
      <c r="B230" s="75" t="s">
        <v>944</v>
      </c>
      <c r="C230" s="9" t="s">
        <v>36</v>
      </c>
      <c r="D230" s="9" t="s">
        <v>168</v>
      </c>
      <c r="E230" s="9">
        <v>108</v>
      </c>
      <c r="F230" s="10">
        <v>11948</v>
      </c>
      <c r="G230" s="10">
        <f t="shared" si="24"/>
        <v>1290384</v>
      </c>
      <c r="H230" s="27"/>
      <c r="I230" s="28">
        <v>11948</v>
      </c>
      <c r="J230" s="28">
        <f t="shared" si="17"/>
        <v>0</v>
      </c>
      <c r="K230" s="291"/>
      <c r="L230" s="292">
        <v>11948</v>
      </c>
      <c r="M230" s="292">
        <f t="shared" si="18"/>
        <v>0</v>
      </c>
      <c r="N230" s="295">
        <v>35</v>
      </c>
      <c r="O230" s="296">
        <v>11948</v>
      </c>
      <c r="P230" s="296">
        <f t="shared" si="19"/>
        <v>418180</v>
      </c>
      <c r="Q230" s="23">
        <v>12</v>
      </c>
      <c r="R230" s="24">
        <v>11948</v>
      </c>
      <c r="S230" s="24">
        <f t="shared" si="20"/>
        <v>143376</v>
      </c>
      <c r="T230" s="291">
        <v>12</v>
      </c>
      <c r="U230" s="292">
        <v>11948</v>
      </c>
      <c r="V230" s="292">
        <f t="shared" si="21"/>
        <v>143376</v>
      </c>
      <c r="W230" s="27"/>
      <c r="X230" s="28">
        <v>11948</v>
      </c>
      <c r="Y230" s="28">
        <f t="shared" si="22"/>
        <v>0</v>
      </c>
      <c r="Z230" s="196"/>
      <c r="AA230" s="197">
        <v>11948</v>
      </c>
      <c r="AB230" s="197">
        <f t="shared" si="23"/>
        <v>0</v>
      </c>
    </row>
    <row r="231" spans="1:28" ht="18" thickBot="1" x14ac:dyDescent="0.25">
      <c r="A231" s="9" t="s">
        <v>243</v>
      </c>
      <c r="B231" s="75" t="s">
        <v>884</v>
      </c>
      <c r="C231" s="9" t="s">
        <v>36</v>
      </c>
      <c r="D231" s="9" t="s">
        <v>1613</v>
      </c>
      <c r="E231" s="9">
        <v>60</v>
      </c>
      <c r="F231" s="10">
        <v>13920</v>
      </c>
      <c r="G231" s="10">
        <f t="shared" si="24"/>
        <v>835200</v>
      </c>
      <c r="H231" s="27"/>
      <c r="I231" s="28">
        <v>13920</v>
      </c>
      <c r="J231" s="28">
        <f t="shared" si="17"/>
        <v>0</v>
      </c>
      <c r="K231" s="291"/>
      <c r="L231" s="292">
        <v>13920</v>
      </c>
      <c r="M231" s="292">
        <f t="shared" si="18"/>
        <v>0</v>
      </c>
      <c r="N231" s="295"/>
      <c r="O231" s="296">
        <v>13920</v>
      </c>
      <c r="P231" s="296">
        <f t="shared" si="19"/>
        <v>0</v>
      </c>
      <c r="Q231" s="23">
        <v>7</v>
      </c>
      <c r="R231" s="24">
        <v>13920</v>
      </c>
      <c r="S231" s="24">
        <f t="shared" si="20"/>
        <v>97440</v>
      </c>
      <c r="T231" s="291"/>
      <c r="U231" s="292">
        <v>13920</v>
      </c>
      <c r="V231" s="292">
        <f t="shared" si="21"/>
        <v>0</v>
      </c>
      <c r="W231" s="27"/>
      <c r="X231" s="28">
        <v>13920</v>
      </c>
      <c r="Y231" s="28">
        <f t="shared" si="22"/>
        <v>0</v>
      </c>
      <c r="Z231" s="196">
        <v>6</v>
      </c>
      <c r="AA231" s="197">
        <v>13920</v>
      </c>
      <c r="AB231" s="197">
        <f t="shared" si="23"/>
        <v>83520</v>
      </c>
    </row>
    <row r="232" spans="1:28" ht="18" thickBot="1" x14ac:dyDescent="0.25">
      <c r="A232" s="9" t="s">
        <v>239</v>
      </c>
      <c r="B232" s="75" t="s">
        <v>1951</v>
      </c>
      <c r="C232" s="9" t="s">
        <v>36</v>
      </c>
      <c r="D232" s="9" t="s">
        <v>1931</v>
      </c>
      <c r="E232" s="9">
        <v>120</v>
      </c>
      <c r="F232" s="10">
        <v>11948</v>
      </c>
      <c r="G232" s="10">
        <f t="shared" si="24"/>
        <v>1433760</v>
      </c>
      <c r="H232" s="27"/>
      <c r="I232" s="28">
        <v>11948</v>
      </c>
      <c r="J232" s="28">
        <f t="shared" si="17"/>
        <v>0</v>
      </c>
      <c r="K232" s="291"/>
      <c r="L232" s="292">
        <v>11948</v>
      </c>
      <c r="M232" s="292">
        <f t="shared" si="18"/>
        <v>0</v>
      </c>
      <c r="N232" s="295"/>
      <c r="O232" s="296">
        <v>11948</v>
      </c>
      <c r="P232" s="296">
        <f t="shared" si="19"/>
        <v>0</v>
      </c>
      <c r="Q232" s="23"/>
      <c r="R232" s="24">
        <v>11948</v>
      </c>
      <c r="S232" s="24">
        <f t="shared" si="20"/>
        <v>0</v>
      </c>
      <c r="T232" s="291"/>
      <c r="U232" s="292">
        <v>11948</v>
      </c>
      <c r="V232" s="292">
        <f t="shared" si="21"/>
        <v>0</v>
      </c>
      <c r="W232" s="27"/>
      <c r="X232" s="28">
        <v>11948</v>
      </c>
      <c r="Y232" s="28">
        <f t="shared" si="22"/>
        <v>0</v>
      </c>
      <c r="Z232" s="196"/>
      <c r="AA232" s="197">
        <v>11948</v>
      </c>
      <c r="AB232" s="197">
        <f t="shared" si="23"/>
        <v>0</v>
      </c>
    </row>
    <row r="233" spans="1:28" ht="18" thickBot="1" x14ac:dyDescent="0.25">
      <c r="A233" s="9" t="s">
        <v>1747</v>
      </c>
      <c r="B233" s="75" t="s">
        <v>844</v>
      </c>
      <c r="C233" s="9" t="s">
        <v>36</v>
      </c>
      <c r="D233" s="9" t="s">
        <v>1932</v>
      </c>
      <c r="E233" s="9">
        <v>60</v>
      </c>
      <c r="F233" s="10">
        <v>4292</v>
      </c>
      <c r="G233" s="10">
        <f t="shared" si="24"/>
        <v>257520</v>
      </c>
      <c r="H233" s="27">
        <v>10</v>
      </c>
      <c r="I233" s="28">
        <v>4292</v>
      </c>
      <c r="J233" s="28">
        <f t="shared" si="17"/>
        <v>42920</v>
      </c>
      <c r="K233" s="291"/>
      <c r="L233" s="292">
        <v>4292</v>
      </c>
      <c r="M233" s="292">
        <f t="shared" si="18"/>
        <v>0</v>
      </c>
      <c r="N233" s="295"/>
      <c r="O233" s="296">
        <v>4292</v>
      </c>
      <c r="P233" s="296">
        <f t="shared" si="19"/>
        <v>0</v>
      </c>
      <c r="Q233" s="23"/>
      <c r="R233" s="24">
        <v>4292</v>
      </c>
      <c r="S233" s="24">
        <f t="shared" si="20"/>
        <v>0</v>
      </c>
      <c r="T233" s="291">
        <v>15</v>
      </c>
      <c r="U233" s="292">
        <v>4292</v>
      </c>
      <c r="V233" s="292">
        <f t="shared" si="21"/>
        <v>64380</v>
      </c>
      <c r="W233" s="27"/>
      <c r="X233" s="28">
        <v>4292</v>
      </c>
      <c r="Y233" s="28">
        <f t="shared" si="22"/>
        <v>0</v>
      </c>
      <c r="Z233" s="196"/>
      <c r="AA233" s="197">
        <v>4292</v>
      </c>
      <c r="AB233" s="197">
        <f t="shared" si="23"/>
        <v>0</v>
      </c>
    </row>
    <row r="234" spans="1:28" ht="18" thickBot="1" x14ac:dyDescent="0.25">
      <c r="A234" s="9" t="s">
        <v>242</v>
      </c>
      <c r="B234" s="75" t="s">
        <v>904</v>
      </c>
      <c r="C234" s="9" t="s">
        <v>36</v>
      </c>
      <c r="D234" s="9" t="s">
        <v>794</v>
      </c>
      <c r="E234" s="9">
        <v>32</v>
      </c>
      <c r="F234" s="10">
        <v>13920</v>
      </c>
      <c r="G234" s="10">
        <f t="shared" si="24"/>
        <v>445440</v>
      </c>
      <c r="H234" s="27">
        <v>6</v>
      </c>
      <c r="I234" s="28">
        <v>13920</v>
      </c>
      <c r="J234" s="28">
        <f t="shared" si="17"/>
        <v>83520</v>
      </c>
      <c r="K234" s="291">
        <v>6</v>
      </c>
      <c r="L234" s="292">
        <v>13920</v>
      </c>
      <c r="M234" s="292">
        <f t="shared" si="18"/>
        <v>83520</v>
      </c>
      <c r="N234" s="295"/>
      <c r="O234" s="296">
        <v>13920</v>
      </c>
      <c r="P234" s="296">
        <f t="shared" si="19"/>
        <v>0</v>
      </c>
      <c r="Q234" s="23"/>
      <c r="R234" s="24">
        <v>13920</v>
      </c>
      <c r="S234" s="24">
        <f t="shared" si="20"/>
        <v>0</v>
      </c>
      <c r="T234" s="291"/>
      <c r="U234" s="292">
        <v>13920</v>
      </c>
      <c r="V234" s="292">
        <f t="shared" si="21"/>
        <v>0</v>
      </c>
      <c r="W234" s="27"/>
      <c r="X234" s="28">
        <v>13920</v>
      </c>
      <c r="Y234" s="28">
        <f t="shared" si="22"/>
        <v>0</v>
      </c>
      <c r="Z234" s="196"/>
      <c r="AA234" s="197">
        <v>13920</v>
      </c>
      <c r="AB234" s="197">
        <f t="shared" si="23"/>
        <v>0</v>
      </c>
    </row>
    <row r="235" spans="1:28" ht="18" thickBot="1" x14ac:dyDescent="0.25">
      <c r="A235" s="9" t="s">
        <v>283</v>
      </c>
      <c r="B235" s="75" t="s">
        <v>1764</v>
      </c>
      <c r="C235" s="9" t="s">
        <v>36</v>
      </c>
      <c r="D235" s="9" t="s">
        <v>1594</v>
      </c>
      <c r="E235" s="9">
        <v>98</v>
      </c>
      <c r="F235" s="10">
        <v>6612</v>
      </c>
      <c r="G235" s="10">
        <f t="shared" si="24"/>
        <v>647976</v>
      </c>
      <c r="H235" s="27">
        <v>25</v>
      </c>
      <c r="I235" s="28">
        <v>6612</v>
      </c>
      <c r="J235" s="28">
        <f t="shared" si="17"/>
        <v>165300</v>
      </c>
      <c r="K235" s="291"/>
      <c r="L235" s="292">
        <v>6612</v>
      </c>
      <c r="M235" s="292">
        <f t="shared" si="18"/>
        <v>0</v>
      </c>
      <c r="N235" s="295"/>
      <c r="O235" s="296">
        <v>6612</v>
      </c>
      <c r="P235" s="296">
        <f t="shared" si="19"/>
        <v>0</v>
      </c>
      <c r="Q235" s="23"/>
      <c r="R235" s="24">
        <v>6612</v>
      </c>
      <c r="S235" s="24">
        <f t="shared" si="20"/>
        <v>0</v>
      </c>
      <c r="T235" s="291"/>
      <c r="U235" s="292">
        <v>6612</v>
      </c>
      <c r="V235" s="292">
        <f t="shared" si="21"/>
        <v>0</v>
      </c>
      <c r="W235" s="27"/>
      <c r="X235" s="28">
        <v>6612</v>
      </c>
      <c r="Y235" s="28">
        <f t="shared" si="22"/>
        <v>0</v>
      </c>
      <c r="Z235" s="196"/>
      <c r="AA235" s="197">
        <v>6612</v>
      </c>
      <c r="AB235" s="197">
        <f t="shared" si="23"/>
        <v>0</v>
      </c>
    </row>
    <row r="236" spans="1:28" ht="18" thickBot="1" x14ac:dyDescent="0.25">
      <c r="A236" s="9" t="s">
        <v>197</v>
      </c>
      <c r="B236" s="75" t="s">
        <v>908</v>
      </c>
      <c r="C236" s="9" t="s">
        <v>36</v>
      </c>
      <c r="D236" s="9" t="s">
        <v>301</v>
      </c>
      <c r="E236" s="9">
        <v>30</v>
      </c>
      <c r="F236" s="10">
        <v>8816</v>
      </c>
      <c r="G236" s="10">
        <f t="shared" si="24"/>
        <v>264480</v>
      </c>
      <c r="H236" s="27"/>
      <c r="I236" s="28">
        <v>8816</v>
      </c>
      <c r="J236" s="28">
        <f t="shared" si="17"/>
        <v>0</v>
      </c>
      <c r="K236" s="291"/>
      <c r="L236" s="292">
        <v>8816</v>
      </c>
      <c r="M236" s="292">
        <f t="shared" si="18"/>
        <v>0</v>
      </c>
      <c r="N236" s="295"/>
      <c r="O236" s="296">
        <v>8816</v>
      </c>
      <c r="P236" s="296">
        <f t="shared" si="19"/>
        <v>0</v>
      </c>
      <c r="Q236" s="23"/>
      <c r="R236" s="24">
        <v>8816</v>
      </c>
      <c r="S236" s="24">
        <f t="shared" si="20"/>
        <v>0</v>
      </c>
      <c r="T236" s="291"/>
      <c r="U236" s="292">
        <v>8816</v>
      </c>
      <c r="V236" s="292">
        <f t="shared" si="21"/>
        <v>0</v>
      </c>
      <c r="W236" s="27"/>
      <c r="X236" s="28">
        <v>8816</v>
      </c>
      <c r="Y236" s="28">
        <f t="shared" si="22"/>
        <v>0</v>
      </c>
      <c r="Z236" s="196"/>
      <c r="AA236" s="197">
        <v>8816</v>
      </c>
      <c r="AB236" s="197">
        <f t="shared" si="23"/>
        <v>0</v>
      </c>
    </row>
    <row r="237" spans="1:28" ht="18" thickBot="1" x14ac:dyDescent="0.25">
      <c r="A237" s="9" t="s">
        <v>290</v>
      </c>
      <c r="B237" s="75" t="s">
        <v>831</v>
      </c>
      <c r="C237" s="9" t="s">
        <v>36</v>
      </c>
      <c r="D237" s="9" t="s">
        <v>1110</v>
      </c>
      <c r="E237" s="9">
        <v>80</v>
      </c>
      <c r="F237" s="10">
        <v>7308</v>
      </c>
      <c r="G237" s="10">
        <f t="shared" si="24"/>
        <v>584640</v>
      </c>
      <c r="H237" s="27"/>
      <c r="I237" s="28">
        <v>7308</v>
      </c>
      <c r="J237" s="28">
        <f t="shared" si="17"/>
        <v>0</v>
      </c>
      <c r="K237" s="291"/>
      <c r="L237" s="292">
        <v>7308</v>
      </c>
      <c r="M237" s="292">
        <f t="shared" si="18"/>
        <v>0</v>
      </c>
      <c r="N237" s="295"/>
      <c r="O237" s="296">
        <v>7308</v>
      </c>
      <c r="P237" s="296">
        <f t="shared" si="19"/>
        <v>0</v>
      </c>
      <c r="Q237" s="23"/>
      <c r="R237" s="24">
        <v>7308</v>
      </c>
      <c r="S237" s="24">
        <f t="shared" si="20"/>
        <v>0</v>
      </c>
      <c r="T237" s="291"/>
      <c r="U237" s="292">
        <v>7308</v>
      </c>
      <c r="V237" s="292">
        <f t="shared" si="21"/>
        <v>0</v>
      </c>
      <c r="W237" s="27"/>
      <c r="X237" s="28">
        <v>7308</v>
      </c>
      <c r="Y237" s="28">
        <f t="shared" si="22"/>
        <v>0</v>
      </c>
      <c r="Z237" s="196"/>
      <c r="AA237" s="197">
        <v>7308</v>
      </c>
      <c r="AB237" s="197">
        <f t="shared" si="23"/>
        <v>0</v>
      </c>
    </row>
    <row r="238" spans="1:28" ht="18" thickBot="1" x14ac:dyDescent="0.25">
      <c r="A238" s="9" t="s">
        <v>1168</v>
      </c>
      <c r="B238" s="75" t="s">
        <v>1565</v>
      </c>
      <c r="C238" s="9" t="s">
        <v>36</v>
      </c>
      <c r="D238" s="9" t="s">
        <v>1111</v>
      </c>
      <c r="E238" s="9">
        <v>120</v>
      </c>
      <c r="F238" s="10">
        <v>11948</v>
      </c>
      <c r="G238" s="10">
        <f t="shared" si="24"/>
        <v>1433760</v>
      </c>
      <c r="H238" s="27"/>
      <c r="I238" s="28">
        <v>11948</v>
      </c>
      <c r="J238" s="28">
        <f t="shared" si="17"/>
        <v>0</v>
      </c>
      <c r="K238" s="291"/>
      <c r="L238" s="292">
        <v>11948</v>
      </c>
      <c r="M238" s="292">
        <f t="shared" si="18"/>
        <v>0</v>
      </c>
      <c r="N238" s="295"/>
      <c r="O238" s="296">
        <v>11948</v>
      </c>
      <c r="P238" s="296">
        <f t="shared" si="19"/>
        <v>0</v>
      </c>
      <c r="Q238" s="23"/>
      <c r="R238" s="24">
        <v>11948</v>
      </c>
      <c r="S238" s="24">
        <f t="shared" si="20"/>
        <v>0</v>
      </c>
      <c r="T238" s="291">
        <v>24</v>
      </c>
      <c r="U238" s="292">
        <v>11948</v>
      </c>
      <c r="V238" s="292">
        <f t="shared" si="21"/>
        <v>286752</v>
      </c>
      <c r="W238" s="27"/>
      <c r="X238" s="28">
        <v>11948</v>
      </c>
      <c r="Y238" s="28">
        <f t="shared" si="22"/>
        <v>0</v>
      </c>
      <c r="Z238" s="196">
        <v>24</v>
      </c>
      <c r="AA238" s="197">
        <v>11948</v>
      </c>
      <c r="AB238" s="197">
        <f t="shared" si="23"/>
        <v>286752</v>
      </c>
    </row>
    <row r="239" spans="1:28" ht="18" thickBot="1" x14ac:dyDescent="0.25">
      <c r="A239" s="9" t="s">
        <v>57</v>
      </c>
      <c r="B239" s="75" t="s">
        <v>917</v>
      </c>
      <c r="C239" s="9" t="s">
        <v>36</v>
      </c>
      <c r="D239" s="9" t="s">
        <v>684</v>
      </c>
      <c r="E239" s="9">
        <v>48</v>
      </c>
      <c r="F239" s="10">
        <v>4060</v>
      </c>
      <c r="G239" s="10">
        <f t="shared" si="24"/>
        <v>194880</v>
      </c>
      <c r="H239" s="27">
        <v>12</v>
      </c>
      <c r="I239" s="28">
        <v>4060</v>
      </c>
      <c r="J239" s="28">
        <f t="shared" si="17"/>
        <v>48720</v>
      </c>
      <c r="K239" s="291">
        <v>12</v>
      </c>
      <c r="L239" s="292">
        <v>4060</v>
      </c>
      <c r="M239" s="292">
        <f t="shared" si="18"/>
        <v>48720</v>
      </c>
      <c r="N239" s="295"/>
      <c r="O239" s="296">
        <v>4060</v>
      </c>
      <c r="P239" s="296">
        <f t="shared" si="19"/>
        <v>0</v>
      </c>
      <c r="Q239" s="23"/>
      <c r="R239" s="24">
        <v>4060</v>
      </c>
      <c r="S239" s="24">
        <f t="shared" si="20"/>
        <v>0</v>
      </c>
      <c r="T239" s="291"/>
      <c r="U239" s="292">
        <v>4060</v>
      </c>
      <c r="V239" s="292">
        <f t="shared" si="21"/>
        <v>0</v>
      </c>
      <c r="W239" s="27">
        <v>18</v>
      </c>
      <c r="X239" s="28">
        <v>4060</v>
      </c>
      <c r="Y239" s="28">
        <f t="shared" si="22"/>
        <v>73080</v>
      </c>
      <c r="Z239" s="196"/>
      <c r="AA239" s="197">
        <v>4060</v>
      </c>
      <c r="AB239" s="197">
        <f t="shared" si="23"/>
        <v>0</v>
      </c>
    </row>
    <row r="240" spans="1:28" ht="18" thickBot="1" x14ac:dyDescent="0.25">
      <c r="A240" s="9" t="s">
        <v>1608</v>
      </c>
      <c r="B240" s="75" t="s">
        <v>1950</v>
      </c>
      <c r="C240" s="9" t="s">
        <v>36</v>
      </c>
      <c r="D240" s="9" t="s">
        <v>1890</v>
      </c>
      <c r="E240" s="9">
        <v>132</v>
      </c>
      <c r="F240" s="10">
        <v>6090</v>
      </c>
      <c r="G240" s="10">
        <f t="shared" si="24"/>
        <v>803880</v>
      </c>
      <c r="H240" s="27">
        <v>10</v>
      </c>
      <c r="I240" s="28">
        <v>6090</v>
      </c>
      <c r="J240" s="28">
        <f t="shared" si="17"/>
        <v>60900</v>
      </c>
      <c r="K240" s="291"/>
      <c r="L240" s="292">
        <v>6090</v>
      </c>
      <c r="M240" s="292">
        <f t="shared" si="18"/>
        <v>0</v>
      </c>
      <c r="N240" s="295"/>
      <c r="O240" s="296">
        <v>6090</v>
      </c>
      <c r="P240" s="296">
        <f t="shared" si="19"/>
        <v>0</v>
      </c>
      <c r="Q240" s="23"/>
      <c r="R240" s="24">
        <v>6090</v>
      </c>
      <c r="S240" s="24">
        <f t="shared" si="20"/>
        <v>0</v>
      </c>
      <c r="T240" s="291"/>
      <c r="U240" s="292">
        <v>6090</v>
      </c>
      <c r="V240" s="292">
        <f t="shared" si="21"/>
        <v>0</v>
      </c>
      <c r="W240" s="27"/>
      <c r="X240" s="28">
        <v>6090</v>
      </c>
      <c r="Y240" s="28">
        <f t="shared" si="22"/>
        <v>0</v>
      </c>
      <c r="Z240" s="196"/>
      <c r="AA240" s="197">
        <v>6090</v>
      </c>
      <c r="AB240" s="197">
        <f t="shared" si="23"/>
        <v>0</v>
      </c>
    </row>
    <row r="241" spans="1:28" ht="18" thickBot="1" x14ac:dyDescent="0.25">
      <c r="A241" s="9" t="s">
        <v>57</v>
      </c>
      <c r="B241" s="75" t="s">
        <v>859</v>
      </c>
      <c r="C241" s="9" t="s">
        <v>36</v>
      </c>
      <c r="D241" s="9" t="s">
        <v>657</v>
      </c>
      <c r="E241" s="9">
        <v>60</v>
      </c>
      <c r="F241" s="10">
        <v>2204</v>
      </c>
      <c r="G241" s="10">
        <f t="shared" si="24"/>
        <v>132240</v>
      </c>
      <c r="H241" s="27"/>
      <c r="I241" s="28">
        <v>2204</v>
      </c>
      <c r="J241" s="28">
        <f t="shared" si="17"/>
        <v>0</v>
      </c>
      <c r="K241" s="291">
        <v>24</v>
      </c>
      <c r="L241" s="292">
        <v>2204</v>
      </c>
      <c r="M241" s="292">
        <f t="shared" si="18"/>
        <v>52896</v>
      </c>
      <c r="N241" s="295"/>
      <c r="O241" s="296">
        <v>2204</v>
      </c>
      <c r="P241" s="296">
        <f t="shared" si="19"/>
        <v>0</v>
      </c>
      <c r="Q241" s="23"/>
      <c r="R241" s="24">
        <v>2204</v>
      </c>
      <c r="S241" s="24">
        <f t="shared" si="20"/>
        <v>0</v>
      </c>
      <c r="T241" s="291"/>
      <c r="U241" s="292">
        <v>2204</v>
      </c>
      <c r="V241" s="292">
        <f t="shared" si="21"/>
        <v>0</v>
      </c>
      <c r="W241" s="27"/>
      <c r="X241" s="28">
        <v>2204</v>
      </c>
      <c r="Y241" s="28">
        <f t="shared" si="22"/>
        <v>0</v>
      </c>
      <c r="Z241" s="196"/>
      <c r="AA241" s="197">
        <v>2204</v>
      </c>
      <c r="AB241" s="197">
        <f t="shared" si="23"/>
        <v>0</v>
      </c>
    </row>
    <row r="242" spans="1:28" ht="18" thickBot="1" x14ac:dyDescent="0.25">
      <c r="A242" s="9" t="s">
        <v>45</v>
      </c>
      <c r="B242" s="75" t="s">
        <v>832</v>
      </c>
      <c r="C242" s="9" t="s">
        <v>36</v>
      </c>
      <c r="D242" s="9" t="s">
        <v>327</v>
      </c>
      <c r="E242" s="9">
        <v>520</v>
      </c>
      <c r="F242" s="10">
        <v>771.4</v>
      </c>
      <c r="G242" s="10">
        <f t="shared" si="24"/>
        <v>401128</v>
      </c>
      <c r="H242" s="27"/>
      <c r="I242" s="28">
        <v>771.4</v>
      </c>
      <c r="J242" s="28">
        <f t="shared" si="17"/>
        <v>0</v>
      </c>
      <c r="K242" s="291">
        <v>20</v>
      </c>
      <c r="L242" s="292">
        <v>771.4</v>
      </c>
      <c r="M242" s="292">
        <f t="shared" si="18"/>
        <v>15428</v>
      </c>
      <c r="N242" s="295">
        <v>20</v>
      </c>
      <c r="O242" s="296">
        <v>771.4</v>
      </c>
      <c r="P242" s="296">
        <f t="shared" si="19"/>
        <v>15428</v>
      </c>
      <c r="Q242" s="23">
        <v>20</v>
      </c>
      <c r="R242" s="24">
        <v>771.4</v>
      </c>
      <c r="S242" s="24">
        <f t="shared" si="20"/>
        <v>15428</v>
      </c>
      <c r="T242" s="291">
        <v>30</v>
      </c>
      <c r="U242" s="292">
        <v>771.4</v>
      </c>
      <c r="V242" s="292">
        <f t="shared" si="21"/>
        <v>23142</v>
      </c>
      <c r="W242" s="27">
        <v>30</v>
      </c>
      <c r="X242" s="28">
        <v>771.4</v>
      </c>
      <c r="Y242" s="28">
        <f t="shared" si="22"/>
        <v>23142</v>
      </c>
      <c r="Z242" s="196">
        <v>20</v>
      </c>
      <c r="AA242" s="197">
        <v>771.4</v>
      </c>
      <c r="AB242" s="197">
        <f t="shared" si="23"/>
        <v>15428</v>
      </c>
    </row>
    <row r="243" spans="1:28" ht="18" thickBot="1" x14ac:dyDescent="0.25">
      <c r="A243" s="9" t="s">
        <v>46</v>
      </c>
      <c r="B243" s="75" t="s">
        <v>1338</v>
      </c>
      <c r="C243" s="9" t="s">
        <v>36</v>
      </c>
      <c r="D243" s="9" t="s">
        <v>1215</v>
      </c>
      <c r="E243" s="9">
        <v>60</v>
      </c>
      <c r="F243" s="10">
        <v>7540</v>
      </c>
      <c r="G243" s="10">
        <f t="shared" si="24"/>
        <v>452400</v>
      </c>
      <c r="H243" s="27"/>
      <c r="I243" s="28">
        <v>7540</v>
      </c>
      <c r="J243" s="28">
        <f t="shared" si="17"/>
        <v>0</v>
      </c>
      <c r="K243" s="291"/>
      <c r="L243" s="292">
        <v>7540</v>
      </c>
      <c r="M243" s="292">
        <f t="shared" si="18"/>
        <v>0</v>
      </c>
      <c r="N243" s="295">
        <v>6</v>
      </c>
      <c r="O243" s="296">
        <v>7540</v>
      </c>
      <c r="P243" s="296">
        <f t="shared" si="19"/>
        <v>45240</v>
      </c>
      <c r="Q243" s="23">
        <v>3</v>
      </c>
      <c r="R243" s="24">
        <v>7540</v>
      </c>
      <c r="S243" s="24">
        <f t="shared" si="20"/>
        <v>22620</v>
      </c>
      <c r="T243" s="291">
        <v>3</v>
      </c>
      <c r="U243" s="292">
        <v>7540</v>
      </c>
      <c r="V243" s="292">
        <f t="shared" si="21"/>
        <v>22620</v>
      </c>
      <c r="W243" s="27"/>
      <c r="X243" s="28">
        <v>7540</v>
      </c>
      <c r="Y243" s="28">
        <f t="shared" si="22"/>
        <v>0</v>
      </c>
      <c r="Z243" s="196"/>
      <c r="AA243" s="197">
        <v>7540</v>
      </c>
      <c r="AB243" s="197">
        <f t="shared" si="23"/>
        <v>0</v>
      </c>
    </row>
    <row r="244" spans="1:28" ht="18" thickBot="1" x14ac:dyDescent="0.25">
      <c r="A244" s="9" t="s">
        <v>243</v>
      </c>
      <c r="B244" s="75" t="s">
        <v>884</v>
      </c>
      <c r="C244" s="9" t="s">
        <v>36</v>
      </c>
      <c r="D244" s="9" t="s">
        <v>1611</v>
      </c>
      <c r="E244" s="9">
        <v>22</v>
      </c>
      <c r="F244" s="10">
        <v>27028</v>
      </c>
      <c r="G244" s="10">
        <f t="shared" si="24"/>
        <v>594616</v>
      </c>
      <c r="H244" s="27"/>
      <c r="I244" s="28">
        <v>27028</v>
      </c>
      <c r="J244" s="28">
        <f t="shared" si="17"/>
        <v>0</v>
      </c>
      <c r="K244" s="291"/>
      <c r="L244" s="292">
        <v>27028</v>
      </c>
      <c r="M244" s="292">
        <f t="shared" si="18"/>
        <v>0</v>
      </c>
      <c r="N244" s="295"/>
      <c r="O244" s="296">
        <v>27028</v>
      </c>
      <c r="P244" s="296">
        <f t="shared" si="19"/>
        <v>0</v>
      </c>
      <c r="Q244" s="23">
        <v>5</v>
      </c>
      <c r="R244" s="24">
        <v>27028</v>
      </c>
      <c r="S244" s="24">
        <f t="shared" si="20"/>
        <v>135140</v>
      </c>
      <c r="T244" s="291">
        <v>3</v>
      </c>
      <c r="U244" s="292">
        <v>27028</v>
      </c>
      <c r="V244" s="292">
        <f t="shared" si="21"/>
        <v>81084</v>
      </c>
      <c r="W244" s="27"/>
      <c r="X244" s="28">
        <v>27028</v>
      </c>
      <c r="Y244" s="28">
        <f t="shared" si="22"/>
        <v>0</v>
      </c>
      <c r="Z244" s="196">
        <v>3</v>
      </c>
      <c r="AA244" s="197">
        <v>27028</v>
      </c>
      <c r="AB244" s="197">
        <f t="shared" si="23"/>
        <v>81084</v>
      </c>
    </row>
    <row r="245" spans="1:28" ht="18" thickBot="1" x14ac:dyDescent="0.25">
      <c r="A245" s="9" t="s">
        <v>1608</v>
      </c>
      <c r="B245" s="75" t="s">
        <v>1950</v>
      </c>
      <c r="C245" s="9" t="s">
        <v>36</v>
      </c>
      <c r="D245" s="9" t="s">
        <v>1890</v>
      </c>
      <c r="E245" s="9">
        <v>50</v>
      </c>
      <c r="F245" s="10">
        <v>6090</v>
      </c>
      <c r="G245" s="10">
        <f t="shared" si="24"/>
        <v>304500</v>
      </c>
      <c r="H245" s="27"/>
      <c r="I245" s="28">
        <v>6090</v>
      </c>
      <c r="J245" s="28">
        <f t="shared" si="17"/>
        <v>0</v>
      </c>
      <c r="K245" s="291">
        <v>10</v>
      </c>
      <c r="L245" s="292">
        <v>6090</v>
      </c>
      <c r="M245" s="292">
        <f t="shared" si="18"/>
        <v>60900</v>
      </c>
      <c r="N245" s="295"/>
      <c r="O245" s="296">
        <v>6090</v>
      </c>
      <c r="P245" s="296">
        <f t="shared" si="19"/>
        <v>0</v>
      </c>
      <c r="Q245" s="23">
        <v>5</v>
      </c>
      <c r="R245" s="24">
        <v>6090</v>
      </c>
      <c r="S245" s="24">
        <f t="shared" si="20"/>
        <v>30450</v>
      </c>
      <c r="T245" s="291"/>
      <c r="U245" s="292">
        <v>6090</v>
      </c>
      <c r="V245" s="292">
        <f t="shared" si="21"/>
        <v>0</v>
      </c>
      <c r="W245" s="27"/>
      <c r="X245" s="28">
        <v>6090</v>
      </c>
      <c r="Y245" s="28">
        <f t="shared" si="22"/>
        <v>0</v>
      </c>
      <c r="Z245" s="196"/>
      <c r="AA245" s="197">
        <v>6090</v>
      </c>
      <c r="AB245" s="197">
        <f t="shared" si="23"/>
        <v>0</v>
      </c>
    </row>
    <row r="246" spans="1:28" ht="17" thickBot="1" x14ac:dyDescent="0.25">
      <c r="A246" s="2"/>
      <c r="G246" s="12">
        <f>SUM(G188:G245)</f>
        <v>42050464</v>
      </c>
      <c r="H246" s="2"/>
      <c r="J246" s="148">
        <f>SUM(J188:J245)</f>
        <v>1109888</v>
      </c>
      <c r="K246" s="2"/>
      <c r="L246" s="3"/>
      <c r="M246" s="293">
        <f>SUM(M188:M245)</f>
        <v>1389888.8</v>
      </c>
      <c r="N246" s="2"/>
      <c r="O246" s="3"/>
      <c r="P246" s="294">
        <f>SUM(P188:P245)</f>
        <v>2049024</v>
      </c>
      <c r="Q246" s="2"/>
      <c r="R246" s="3"/>
      <c r="S246" s="26">
        <f>SUM(S188:S245)</f>
        <v>2485798.7999999998</v>
      </c>
      <c r="T246" s="2"/>
      <c r="U246" s="3"/>
      <c r="V246" s="293">
        <f>SUM(V188:V245)</f>
        <v>1816641.2</v>
      </c>
      <c r="W246" s="2"/>
      <c r="X246" s="3"/>
      <c r="Y246" s="148">
        <f>SUM(Y188:Y245)</f>
        <v>1065054</v>
      </c>
      <c r="Z246" s="2"/>
      <c r="AA246" s="3"/>
      <c r="AB246" s="195">
        <f>SUM(AB188:AB245)</f>
        <v>2114680</v>
      </c>
    </row>
    <row r="247" spans="1:28" ht="17" thickBot="1" x14ac:dyDescent="0.25">
      <c r="A247" s="30" t="s">
        <v>1166</v>
      </c>
      <c r="B247" s="77" t="s">
        <v>1165</v>
      </c>
      <c r="C247" s="2" t="s">
        <v>1164</v>
      </c>
      <c r="F247" s="2"/>
    </row>
    <row r="248" spans="1:28" ht="17" thickBot="1" x14ac:dyDescent="0.25">
      <c r="A248" s="9" t="s">
        <v>58</v>
      </c>
      <c r="B248" s="75"/>
      <c r="C248" s="9" t="s">
        <v>36</v>
      </c>
      <c r="D248" s="9" t="s">
        <v>264</v>
      </c>
      <c r="E248" s="9">
        <v>120</v>
      </c>
      <c r="F248" s="10">
        <v>136764</v>
      </c>
      <c r="G248" s="12">
        <f>F248*E248</f>
        <v>16411680</v>
      </c>
      <c r="H248" s="23">
        <v>36</v>
      </c>
      <c r="I248" s="24">
        <v>136764</v>
      </c>
      <c r="J248" s="26">
        <f>I248*H248</f>
        <v>4923504</v>
      </c>
    </row>
    <row r="250" spans="1:28" ht="17" thickBot="1" x14ac:dyDescent="0.25">
      <c r="A250" s="30" t="s">
        <v>1169</v>
      </c>
      <c r="B250" s="77" t="s">
        <v>1165</v>
      </c>
      <c r="C250" s="2" t="s">
        <v>1164</v>
      </c>
      <c r="F250" s="2"/>
    </row>
    <row r="251" spans="1:28" ht="18" thickBot="1" x14ac:dyDescent="0.25">
      <c r="A251" s="9" t="s">
        <v>45</v>
      </c>
      <c r="B251" s="75" t="s">
        <v>905</v>
      </c>
      <c r="C251" s="9" t="s">
        <v>36</v>
      </c>
      <c r="D251" s="9" t="s">
        <v>52</v>
      </c>
      <c r="E251" s="9">
        <v>60</v>
      </c>
      <c r="F251" s="106">
        <v>4756</v>
      </c>
      <c r="G251" s="106">
        <f>F251*E251</f>
        <v>285360</v>
      </c>
      <c r="H251" s="23"/>
      <c r="I251" s="241">
        <v>4756</v>
      </c>
      <c r="J251" s="241">
        <f>I251*H251</f>
        <v>0</v>
      </c>
    </row>
    <row r="252" spans="1:28" ht="18" thickBot="1" x14ac:dyDescent="0.25">
      <c r="A252" s="9" t="s">
        <v>243</v>
      </c>
      <c r="B252" s="75" t="s">
        <v>884</v>
      </c>
      <c r="C252" s="9" t="s">
        <v>36</v>
      </c>
      <c r="D252" s="9" t="s">
        <v>246</v>
      </c>
      <c r="E252" s="9">
        <v>60</v>
      </c>
      <c r="F252" s="106">
        <v>9860</v>
      </c>
      <c r="G252" s="106">
        <f t="shared" ref="G252:G268" si="25">F252*E252</f>
        <v>591600</v>
      </c>
      <c r="H252" s="23">
        <v>30</v>
      </c>
      <c r="I252" s="241">
        <v>9860</v>
      </c>
      <c r="J252" s="241">
        <f t="shared" ref="J252:J268" si="26">I252*H252</f>
        <v>295800</v>
      </c>
    </row>
    <row r="253" spans="1:28" ht="18" thickBot="1" x14ac:dyDescent="0.25">
      <c r="A253" s="9" t="s">
        <v>1102</v>
      </c>
      <c r="B253" s="75" t="s">
        <v>944</v>
      </c>
      <c r="C253" s="9" t="s">
        <v>36</v>
      </c>
      <c r="D253" s="9" t="s">
        <v>295</v>
      </c>
      <c r="E253" s="9">
        <v>24</v>
      </c>
      <c r="F253" s="106">
        <v>9976</v>
      </c>
      <c r="G253" s="106">
        <f t="shared" si="25"/>
        <v>239424</v>
      </c>
      <c r="H253" s="23">
        <v>12</v>
      </c>
      <c r="I253" s="241">
        <v>9976</v>
      </c>
      <c r="J253" s="241">
        <f t="shared" si="26"/>
        <v>119712</v>
      </c>
    </row>
    <row r="254" spans="1:28" ht="18" thickBot="1" x14ac:dyDescent="0.25">
      <c r="A254" s="9" t="s">
        <v>238</v>
      </c>
      <c r="B254" s="75" t="s">
        <v>846</v>
      </c>
      <c r="C254" s="9" t="s">
        <v>36</v>
      </c>
      <c r="D254" s="9" t="s">
        <v>244</v>
      </c>
      <c r="E254" s="9">
        <v>60</v>
      </c>
      <c r="F254" s="106">
        <v>17400</v>
      </c>
      <c r="G254" s="106">
        <f t="shared" si="25"/>
        <v>1044000</v>
      </c>
      <c r="H254" s="23">
        <v>12</v>
      </c>
      <c r="I254" s="241">
        <v>17400</v>
      </c>
      <c r="J254" s="241">
        <f t="shared" si="26"/>
        <v>208800</v>
      </c>
    </row>
    <row r="255" spans="1:28" ht="18" thickBot="1" x14ac:dyDescent="0.25">
      <c r="A255" s="9" t="s">
        <v>240</v>
      </c>
      <c r="B255" s="75" t="s">
        <v>845</v>
      </c>
      <c r="C255" s="9" t="s">
        <v>36</v>
      </c>
      <c r="D255" s="9" t="s">
        <v>791</v>
      </c>
      <c r="E255" s="9">
        <v>30</v>
      </c>
      <c r="F255" s="106">
        <v>11716</v>
      </c>
      <c r="G255" s="106">
        <f t="shared" si="25"/>
        <v>351480</v>
      </c>
      <c r="H255" s="23">
        <v>15</v>
      </c>
      <c r="I255" s="241">
        <v>11716</v>
      </c>
      <c r="J255" s="241">
        <f t="shared" si="26"/>
        <v>175740</v>
      </c>
    </row>
    <row r="256" spans="1:28" ht="18" thickBot="1" x14ac:dyDescent="0.25">
      <c r="A256" s="187" t="s">
        <v>242</v>
      </c>
      <c r="B256" s="75" t="s">
        <v>904</v>
      </c>
      <c r="C256" s="187" t="s">
        <v>36</v>
      </c>
      <c r="D256" s="187" t="s">
        <v>794</v>
      </c>
      <c r="E256" s="187">
        <v>72</v>
      </c>
      <c r="F256" s="188">
        <v>2416.66</v>
      </c>
      <c r="G256" s="188">
        <v>173999.72</v>
      </c>
      <c r="H256" s="262">
        <v>32</v>
      </c>
      <c r="I256" s="263">
        <v>2416.66</v>
      </c>
      <c r="J256" s="263">
        <v>77333.210000000006</v>
      </c>
    </row>
    <row r="257" spans="1:10" ht="18" thickBot="1" x14ac:dyDescent="0.25">
      <c r="A257" s="9" t="s">
        <v>45</v>
      </c>
      <c r="B257" s="75" t="s">
        <v>913</v>
      </c>
      <c r="C257" s="9" t="s">
        <v>36</v>
      </c>
      <c r="D257" s="9" t="s">
        <v>328</v>
      </c>
      <c r="E257" s="9">
        <v>60</v>
      </c>
      <c r="F257" s="106">
        <v>17400</v>
      </c>
      <c r="G257" s="106">
        <f t="shared" si="25"/>
        <v>1044000</v>
      </c>
      <c r="H257" s="23"/>
      <c r="I257" s="241">
        <v>17400</v>
      </c>
      <c r="J257" s="241">
        <f t="shared" ref="J257:J269" si="27">I257*H257</f>
        <v>0</v>
      </c>
    </row>
    <row r="258" spans="1:10" ht="18" thickBot="1" x14ac:dyDescent="0.25">
      <c r="A258" s="9" t="s">
        <v>45</v>
      </c>
      <c r="B258" s="75" t="s">
        <v>876</v>
      </c>
      <c r="C258" s="9" t="s">
        <v>36</v>
      </c>
      <c r="D258" s="9" t="s">
        <v>39</v>
      </c>
      <c r="E258" s="9">
        <v>30</v>
      </c>
      <c r="F258" s="106">
        <v>15080</v>
      </c>
      <c r="G258" s="106">
        <f t="shared" si="25"/>
        <v>452400</v>
      </c>
      <c r="H258" s="23">
        <v>20</v>
      </c>
      <c r="I258" s="241">
        <v>15080</v>
      </c>
      <c r="J258" s="241">
        <f t="shared" si="27"/>
        <v>301600</v>
      </c>
    </row>
    <row r="259" spans="1:10" ht="18" thickBot="1" x14ac:dyDescent="0.25">
      <c r="A259" s="9" t="s">
        <v>45</v>
      </c>
      <c r="B259" s="75" t="s">
        <v>1334</v>
      </c>
      <c r="C259" s="9" t="s">
        <v>36</v>
      </c>
      <c r="D259" s="9" t="s">
        <v>120</v>
      </c>
      <c r="E259" s="9">
        <v>72</v>
      </c>
      <c r="F259" s="106">
        <v>17284</v>
      </c>
      <c r="G259" s="106">
        <f t="shared" si="25"/>
        <v>1244448</v>
      </c>
      <c r="H259" s="23"/>
      <c r="I259" s="241">
        <v>17284</v>
      </c>
      <c r="J259" s="241">
        <f t="shared" si="27"/>
        <v>0</v>
      </c>
    </row>
    <row r="260" spans="1:10" ht="18" thickBot="1" x14ac:dyDescent="0.25">
      <c r="A260" s="9" t="s">
        <v>46</v>
      </c>
      <c r="B260" s="75" t="s">
        <v>1338</v>
      </c>
      <c r="C260" s="9" t="s">
        <v>36</v>
      </c>
      <c r="D260" s="9" t="s">
        <v>54</v>
      </c>
      <c r="E260" s="9">
        <v>30</v>
      </c>
      <c r="F260" s="106">
        <v>17400</v>
      </c>
      <c r="G260" s="106">
        <f t="shared" si="25"/>
        <v>522000</v>
      </c>
      <c r="H260" s="23">
        <v>18</v>
      </c>
      <c r="I260" s="241">
        <v>17400</v>
      </c>
      <c r="J260" s="241">
        <f t="shared" si="27"/>
        <v>313200</v>
      </c>
    </row>
    <row r="261" spans="1:10" ht="18" thickBot="1" x14ac:dyDescent="0.25">
      <c r="A261" s="9" t="s">
        <v>45</v>
      </c>
      <c r="B261" s="75" t="s">
        <v>910</v>
      </c>
      <c r="C261" s="9" t="s">
        <v>36</v>
      </c>
      <c r="D261" s="9" t="s">
        <v>116</v>
      </c>
      <c r="E261" s="9">
        <v>90</v>
      </c>
      <c r="F261" s="106">
        <v>17516</v>
      </c>
      <c r="G261" s="106">
        <f t="shared" si="25"/>
        <v>1576440</v>
      </c>
      <c r="H261" s="23">
        <v>3</v>
      </c>
      <c r="I261" s="241">
        <v>17516</v>
      </c>
      <c r="J261" s="241">
        <f t="shared" si="27"/>
        <v>52548</v>
      </c>
    </row>
    <row r="262" spans="1:10" ht="18" thickBot="1" x14ac:dyDescent="0.25">
      <c r="A262" s="9" t="s">
        <v>674</v>
      </c>
      <c r="B262" s="75" t="s">
        <v>1579</v>
      </c>
      <c r="C262" s="9" t="s">
        <v>36</v>
      </c>
      <c r="D262" s="9" t="s">
        <v>339</v>
      </c>
      <c r="E262" s="9">
        <v>60</v>
      </c>
      <c r="F262" s="106">
        <v>17516</v>
      </c>
      <c r="G262" s="106">
        <f t="shared" si="25"/>
        <v>1050960</v>
      </c>
      <c r="H262" s="23"/>
      <c r="I262" s="241">
        <v>17516</v>
      </c>
      <c r="J262" s="241">
        <f t="shared" si="27"/>
        <v>0</v>
      </c>
    </row>
    <row r="263" spans="1:10" ht="18" thickBot="1" x14ac:dyDescent="0.25">
      <c r="A263" s="11" t="s">
        <v>282</v>
      </c>
      <c r="B263" s="75" t="s">
        <v>854</v>
      </c>
      <c r="C263" s="9" t="s">
        <v>36</v>
      </c>
      <c r="D263" s="9" t="s">
        <v>163</v>
      </c>
      <c r="E263" s="9">
        <v>60</v>
      </c>
      <c r="F263" s="106">
        <v>5452</v>
      </c>
      <c r="G263" s="106">
        <f t="shared" si="25"/>
        <v>327120</v>
      </c>
      <c r="H263" s="23">
        <v>30</v>
      </c>
      <c r="I263" s="241">
        <v>5452</v>
      </c>
      <c r="J263" s="241">
        <f t="shared" si="27"/>
        <v>163560</v>
      </c>
    </row>
    <row r="264" spans="1:10" ht="18" thickBot="1" x14ac:dyDescent="0.25">
      <c r="A264" s="9" t="s">
        <v>240</v>
      </c>
      <c r="B264" s="75" t="s">
        <v>845</v>
      </c>
      <c r="C264" s="9" t="s">
        <v>36</v>
      </c>
      <c r="D264" s="9" t="s">
        <v>299</v>
      </c>
      <c r="E264" s="9">
        <v>60</v>
      </c>
      <c r="F264" s="106">
        <v>6728</v>
      </c>
      <c r="G264" s="106">
        <f t="shared" si="25"/>
        <v>403680</v>
      </c>
      <c r="H264" s="23">
        <v>24</v>
      </c>
      <c r="I264" s="241">
        <v>6728</v>
      </c>
      <c r="J264" s="241">
        <f t="shared" si="27"/>
        <v>161472</v>
      </c>
    </row>
    <row r="265" spans="1:10" ht="18" thickBot="1" x14ac:dyDescent="0.25">
      <c r="A265" s="9" t="s">
        <v>45</v>
      </c>
      <c r="B265" s="75" t="s">
        <v>880</v>
      </c>
      <c r="C265" s="9" t="s">
        <v>36</v>
      </c>
      <c r="D265" s="9" t="s">
        <v>198</v>
      </c>
      <c r="E265" s="9">
        <v>60</v>
      </c>
      <c r="F265" s="106">
        <v>17400</v>
      </c>
      <c r="G265" s="106">
        <f t="shared" si="25"/>
        <v>1044000</v>
      </c>
      <c r="H265" s="23">
        <v>30</v>
      </c>
      <c r="I265" s="241">
        <v>17400</v>
      </c>
      <c r="J265" s="241">
        <f t="shared" si="27"/>
        <v>522000</v>
      </c>
    </row>
    <row r="266" spans="1:10" ht="18" thickBot="1" x14ac:dyDescent="0.25">
      <c r="A266" s="9" t="s">
        <v>45</v>
      </c>
      <c r="B266" s="75" t="s">
        <v>880</v>
      </c>
      <c r="C266" s="9" t="s">
        <v>36</v>
      </c>
      <c r="D266" s="9" t="s">
        <v>198</v>
      </c>
      <c r="E266" s="9">
        <v>60</v>
      </c>
      <c r="F266" s="106">
        <v>10324</v>
      </c>
      <c r="G266" s="106">
        <f t="shared" si="25"/>
        <v>619440</v>
      </c>
      <c r="H266" s="23">
        <v>28</v>
      </c>
      <c r="I266" s="241">
        <v>10324</v>
      </c>
      <c r="J266" s="241">
        <f t="shared" si="27"/>
        <v>289072</v>
      </c>
    </row>
    <row r="267" spans="1:10" ht="18" thickBot="1" x14ac:dyDescent="0.25">
      <c r="A267" s="9" t="s">
        <v>241</v>
      </c>
      <c r="B267" s="75" t="s">
        <v>905</v>
      </c>
      <c r="C267" s="9" t="s">
        <v>36</v>
      </c>
      <c r="D267" s="9" t="s">
        <v>111</v>
      </c>
      <c r="E267" s="9">
        <v>24</v>
      </c>
      <c r="F267" s="106">
        <v>4872</v>
      </c>
      <c r="G267" s="106">
        <f t="shared" si="25"/>
        <v>116928</v>
      </c>
      <c r="H267" s="23">
        <v>12</v>
      </c>
      <c r="I267" s="241">
        <v>4872</v>
      </c>
      <c r="J267" s="241">
        <f t="shared" si="27"/>
        <v>58464</v>
      </c>
    </row>
    <row r="268" spans="1:10" ht="18" thickBot="1" x14ac:dyDescent="0.25">
      <c r="A268" s="9" t="s">
        <v>1168</v>
      </c>
      <c r="B268" s="75" t="s">
        <v>878</v>
      </c>
      <c r="C268" s="9" t="s">
        <v>36</v>
      </c>
      <c r="D268" s="9" t="s">
        <v>41</v>
      </c>
      <c r="E268" s="9">
        <v>60</v>
      </c>
      <c r="F268" s="106">
        <v>17400</v>
      </c>
      <c r="G268" s="106">
        <f t="shared" si="25"/>
        <v>1044000</v>
      </c>
      <c r="H268" s="23">
        <v>12</v>
      </c>
      <c r="I268" s="241">
        <v>17400</v>
      </c>
      <c r="J268" s="241">
        <f t="shared" si="27"/>
        <v>208800</v>
      </c>
    </row>
    <row r="269" spans="1:10" ht="17" thickBot="1" x14ac:dyDescent="0.25">
      <c r="A269" s="2"/>
      <c r="F269" s="2"/>
      <c r="G269" s="103">
        <f>SUM(G251:G268)</f>
        <v>12131279.720000001</v>
      </c>
      <c r="H269" s="2"/>
      <c r="I269" s="2"/>
      <c r="J269" s="244">
        <f>SUM(J251:J268)</f>
        <v>2948101.21</v>
      </c>
    </row>
    <row r="270" spans="1:10" ht="18" thickBot="1" x14ac:dyDescent="0.25">
      <c r="A270" s="7" t="s">
        <v>1587</v>
      </c>
      <c r="B270" s="77" t="s">
        <v>1374</v>
      </c>
      <c r="C270" s="2" t="s">
        <v>1375</v>
      </c>
      <c r="E270" s="3"/>
      <c r="G270" s="2"/>
      <c r="H270" s="2"/>
      <c r="I270"/>
    </row>
    <row r="271" spans="1:10" ht="18" thickBot="1" x14ac:dyDescent="0.25">
      <c r="A271" s="8" t="s">
        <v>62</v>
      </c>
      <c r="B271" s="76"/>
      <c r="C271" s="9" t="s">
        <v>36</v>
      </c>
      <c r="D271" s="9" t="s">
        <v>328</v>
      </c>
      <c r="E271" s="9">
        <v>12</v>
      </c>
      <c r="F271" s="10">
        <v>15080</v>
      </c>
      <c r="G271" s="10">
        <f>E271*F271</f>
        <v>180960</v>
      </c>
      <c r="H271" s="127">
        <v>3</v>
      </c>
      <c r="I271" s="128">
        <v>15080</v>
      </c>
      <c r="J271" s="128">
        <f>H271*I271</f>
        <v>45240</v>
      </c>
    </row>
    <row r="272" spans="1:10" ht="18" thickBot="1" x14ac:dyDescent="0.25">
      <c r="A272" s="8" t="s">
        <v>62</v>
      </c>
      <c r="B272" s="76"/>
      <c r="C272" s="9" t="s">
        <v>36</v>
      </c>
      <c r="D272" s="9" t="s">
        <v>116</v>
      </c>
      <c r="E272" s="9">
        <v>20</v>
      </c>
      <c r="F272" s="10">
        <v>15080</v>
      </c>
      <c r="G272" s="10">
        <f t="shared" ref="G272:G307" si="28">E272*F272</f>
        <v>301600</v>
      </c>
      <c r="H272" s="127">
        <v>2</v>
      </c>
      <c r="I272" s="128">
        <v>15080</v>
      </c>
      <c r="J272" s="128">
        <f t="shared" ref="J272:J307" si="29">H272*I272</f>
        <v>30160</v>
      </c>
    </row>
    <row r="273" spans="1:10" ht="18" thickBot="1" x14ac:dyDescent="0.25">
      <c r="A273" s="8" t="s">
        <v>140</v>
      </c>
      <c r="B273" s="76"/>
      <c r="C273" s="9" t="s">
        <v>36</v>
      </c>
      <c r="D273" s="9" t="s">
        <v>1159</v>
      </c>
      <c r="E273" s="9">
        <v>10</v>
      </c>
      <c r="F273" s="10">
        <v>10962</v>
      </c>
      <c r="G273" s="10">
        <f t="shared" si="28"/>
        <v>109620</v>
      </c>
      <c r="H273" s="129">
        <v>3</v>
      </c>
      <c r="I273" s="128">
        <v>10962</v>
      </c>
      <c r="J273" s="128">
        <f t="shared" si="29"/>
        <v>32886</v>
      </c>
    </row>
    <row r="274" spans="1:10" ht="18" thickBot="1" x14ac:dyDescent="0.25">
      <c r="A274" s="8" t="s">
        <v>140</v>
      </c>
      <c r="B274" s="76"/>
      <c r="C274" s="9" t="s">
        <v>36</v>
      </c>
      <c r="D274" s="9" t="s">
        <v>1376</v>
      </c>
      <c r="E274" s="9">
        <v>10</v>
      </c>
      <c r="F274" s="10">
        <v>11020</v>
      </c>
      <c r="G274" s="10">
        <f t="shared" si="28"/>
        <v>110200</v>
      </c>
      <c r="H274" s="127">
        <v>3</v>
      </c>
      <c r="I274" s="128">
        <v>11020</v>
      </c>
      <c r="J274" s="128">
        <f t="shared" si="29"/>
        <v>33060</v>
      </c>
    </row>
    <row r="275" spans="1:10" ht="18" thickBot="1" x14ac:dyDescent="0.25">
      <c r="A275" s="8" t="s">
        <v>76</v>
      </c>
      <c r="B275" s="76"/>
      <c r="C275" s="9" t="s">
        <v>36</v>
      </c>
      <c r="D275" s="9" t="s">
        <v>798</v>
      </c>
      <c r="E275" s="9">
        <v>10</v>
      </c>
      <c r="F275" s="10">
        <v>4176</v>
      </c>
      <c r="G275" s="10">
        <f t="shared" si="28"/>
        <v>41760</v>
      </c>
      <c r="H275" s="127">
        <v>3</v>
      </c>
      <c r="I275" s="128">
        <v>4176</v>
      </c>
      <c r="J275" s="128">
        <f t="shared" si="29"/>
        <v>12528</v>
      </c>
    </row>
    <row r="276" spans="1:10" ht="18" thickBot="1" x14ac:dyDescent="0.25">
      <c r="A276" s="8" t="s">
        <v>62</v>
      </c>
      <c r="B276" s="76"/>
      <c r="C276" s="9" t="s">
        <v>36</v>
      </c>
      <c r="D276" s="9" t="s">
        <v>1377</v>
      </c>
      <c r="E276" s="9">
        <v>10</v>
      </c>
      <c r="F276" s="10">
        <v>6704.8</v>
      </c>
      <c r="G276" s="10">
        <f t="shared" si="28"/>
        <v>67048</v>
      </c>
      <c r="H276" s="127">
        <v>3</v>
      </c>
      <c r="I276" s="128">
        <v>6704.8</v>
      </c>
      <c r="J276" s="128">
        <f t="shared" si="29"/>
        <v>20114.400000000001</v>
      </c>
    </row>
    <row r="277" spans="1:10" ht="18" thickBot="1" x14ac:dyDescent="0.25">
      <c r="A277" s="8" t="s">
        <v>1168</v>
      </c>
      <c r="B277" s="76"/>
      <c r="C277" s="9" t="s">
        <v>36</v>
      </c>
      <c r="D277" s="9" t="s">
        <v>244</v>
      </c>
      <c r="E277" s="9">
        <v>10</v>
      </c>
      <c r="F277" s="10">
        <v>15080</v>
      </c>
      <c r="G277" s="10">
        <f t="shared" si="28"/>
        <v>150800</v>
      </c>
      <c r="H277" s="127"/>
      <c r="I277" s="128">
        <v>15080</v>
      </c>
      <c r="J277" s="128">
        <f t="shared" si="29"/>
        <v>0</v>
      </c>
    </row>
    <row r="278" spans="1:10" ht="18" thickBot="1" x14ac:dyDescent="0.25">
      <c r="A278" s="8" t="s">
        <v>76</v>
      </c>
      <c r="B278" s="76"/>
      <c r="C278" s="9" t="s">
        <v>36</v>
      </c>
      <c r="D278" s="9" t="s">
        <v>393</v>
      </c>
      <c r="E278" s="9">
        <v>15</v>
      </c>
      <c r="F278" s="10">
        <v>4176</v>
      </c>
      <c r="G278" s="10">
        <f t="shared" si="28"/>
        <v>62640</v>
      </c>
      <c r="H278" s="127">
        <v>4</v>
      </c>
      <c r="I278" s="128">
        <v>4176</v>
      </c>
      <c r="J278" s="128">
        <f t="shared" si="29"/>
        <v>16704</v>
      </c>
    </row>
    <row r="279" spans="1:10" ht="18" thickBot="1" x14ac:dyDescent="0.25">
      <c r="A279" s="8" t="s">
        <v>115</v>
      </c>
      <c r="B279" s="76"/>
      <c r="C279" s="9" t="s">
        <v>36</v>
      </c>
      <c r="D279" s="9" t="s">
        <v>298</v>
      </c>
      <c r="E279" s="9">
        <v>10</v>
      </c>
      <c r="F279" s="10">
        <v>16008</v>
      </c>
      <c r="G279" s="10">
        <f t="shared" si="28"/>
        <v>160080</v>
      </c>
      <c r="H279" s="127">
        <v>3</v>
      </c>
      <c r="I279" s="128">
        <v>16008</v>
      </c>
      <c r="J279" s="128">
        <f t="shared" si="29"/>
        <v>48024</v>
      </c>
    </row>
    <row r="280" spans="1:10" ht="18" thickBot="1" x14ac:dyDescent="0.25">
      <c r="A280" s="8" t="s">
        <v>62</v>
      </c>
      <c r="B280" s="76"/>
      <c r="C280" s="9" t="s">
        <v>36</v>
      </c>
      <c r="D280" s="9" t="s">
        <v>112</v>
      </c>
      <c r="E280" s="9">
        <v>20</v>
      </c>
      <c r="F280" s="10">
        <v>15080</v>
      </c>
      <c r="G280" s="10">
        <f t="shared" si="28"/>
        <v>301600</v>
      </c>
      <c r="H280" s="127">
        <v>2</v>
      </c>
      <c r="I280" s="128">
        <v>15080</v>
      </c>
      <c r="J280" s="128">
        <f t="shared" si="29"/>
        <v>30160</v>
      </c>
    </row>
    <row r="281" spans="1:10" ht="18" thickBot="1" x14ac:dyDescent="0.25">
      <c r="A281" s="8" t="s">
        <v>76</v>
      </c>
      <c r="B281" s="76"/>
      <c r="C281" s="9" t="s">
        <v>36</v>
      </c>
      <c r="D281" s="9" t="s">
        <v>645</v>
      </c>
      <c r="E281" s="9">
        <v>30</v>
      </c>
      <c r="F281" s="10">
        <v>4176</v>
      </c>
      <c r="G281" s="10">
        <f t="shared" si="28"/>
        <v>125280</v>
      </c>
      <c r="H281" s="127"/>
      <c r="I281" s="128">
        <v>4176</v>
      </c>
      <c r="J281" s="128">
        <f t="shared" si="29"/>
        <v>0</v>
      </c>
    </row>
    <row r="282" spans="1:10" ht="18" thickBot="1" x14ac:dyDescent="0.25">
      <c r="A282" s="8" t="s">
        <v>76</v>
      </c>
      <c r="B282" s="76"/>
      <c r="C282" s="9" t="s">
        <v>36</v>
      </c>
      <c r="D282" s="9" t="s">
        <v>1378</v>
      </c>
      <c r="E282" s="9">
        <v>15</v>
      </c>
      <c r="F282" s="10">
        <v>8120</v>
      </c>
      <c r="G282" s="10">
        <f t="shared" si="28"/>
        <v>121800</v>
      </c>
      <c r="H282" s="127"/>
      <c r="I282" s="128">
        <v>8120</v>
      </c>
      <c r="J282" s="128">
        <f t="shared" si="29"/>
        <v>0</v>
      </c>
    </row>
    <row r="283" spans="1:10" ht="18" thickBot="1" x14ac:dyDescent="0.25">
      <c r="A283" s="8" t="s">
        <v>1379</v>
      </c>
      <c r="B283" s="76"/>
      <c r="C283" s="9" t="s">
        <v>36</v>
      </c>
      <c r="D283" s="9" t="s">
        <v>328</v>
      </c>
      <c r="E283" s="9">
        <v>12</v>
      </c>
      <c r="F283" s="10">
        <v>15080</v>
      </c>
      <c r="G283" s="10">
        <f t="shared" si="28"/>
        <v>180960</v>
      </c>
      <c r="H283" s="127">
        <v>3</v>
      </c>
      <c r="I283" s="128">
        <v>15080</v>
      </c>
      <c r="J283" s="128">
        <f t="shared" si="29"/>
        <v>45240</v>
      </c>
    </row>
    <row r="284" spans="1:10" ht="18" thickBot="1" x14ac:dyDescent="0.25">
      <c r="A284" s="8" t="s">
        <v>61</v>
      </c>
      <c r="B284" s="76"/>
      <c r="C284" s="9" t="s">
        <v>36</v>
      </c>
      <c r="D284" s="9" t="s">
        <v>169</v>
      </c>
      <c r="E284" s="9">
        <v>10</v>
      </c>
      <c r="F284" s="10">
        <v>10266</v>
      </c>
      <c r="G284" s="10">
        <f t="shared" si="28"/>
        <v>102660</v>
      </c>
      <c r="H284" s="127"/>
      <c r="I284" s="128">
        <v>10266</v>
      </c>
      <c r="J284" s="128">
        <f t="shared" si="29"/>
        <v>0</v>
      </c>
    </row>
    <row r="285" spans="1:10" ht="18" thickBot="1" x14ac:dyDescent="0.25">
      <c r="A285" s="8" t="s">
        <v>62</v>
      </c>
      <c r="B285" s="76"/>
      <c r="C285" s="9" t="s">
        <v>36</v>
      </c>
      <c r="D285" s="9" t="s">
        <v>1380</v>
      </c>
      <c r="E285" s="9">
        <v>40</v>
      </c>
      <c r="F285" s="10">
        <v>626.4</v>
      </c>
      <c r="G285" s="10">
        <f t="shared" si="28"/>
        <v>25056</v>
      </c>
      <c r="H285" s="127">
        <v>10</v>
      </c>
      <c r="I285" s="128">
        <v>626.4</v>
      </c>
      <c r="J285" s="128">
        <f t="shared" si="29"/>
        <v>6264</v>
      </c>
    </row>
    <row r="286" spans="1:10" ht="18" thickBot="1" x14ac:dyDescent="0.25">
      <c r="A286" s="8" t="s">
        <v>62</v>
      </c>
      <c r="B286" s="76"/>
      <c r="C286" s="9" t="s">
        <v>36</v>
      </c>
      <c r="D286" s="9" t="s">
        <v>39</v>
      </c>
      <c r="E286" s="9">
        <v>15</v>
      </c>
      <c r="F286" s="10">
        <v>12760</v>
      </c>
      <c r="G286" s="10">
        <f t="shared" si="28"/>
        <v>191400</v>
      </c>
      <c r="H286" s="127">
        <v>4</v>
      </c>
      <c r="I286" s="128">
        <v>12760</v>
      </c>
      <c r="J286" s="128">
        <f t="shared" si="29"/>
        <v>51040</v>
      </c>
    </row>
    <row r="287" spans="1:10" ht="18" thickBot="1" x14ac:dyDescent="0.25">
      <c r="A287" s="8" t="s">
        <v>1381</v>
      </c>
      <c r="B287" s="76"/>
      <c r="C287" s="9" t="s">
        <v>36</v>
      </c>
      <c r="D287" s="9" t="s">
        <v>41</v>
      </c>
      <c r="E287" s="9">
        <v>15</v>
      </c>
      <c r="F287" s="10">
        <v>15080</v>
      </c>
      <c r="G287" s="10">
        <f t="shared" si="28"/>
        <v>226200</v>
      </c>
      <c r="H287" s="129"/>
      <c r="I287" s="128">
        <v>15080</v>
      </c>
      <c r="J287" s="128">
        <f t="shared" si="29"/>
        <v>0</v>
      </c>
    </row>
    <row r="288" spans="1:10" ht="18" thickBot="1" x14ac:dyDescent="0.25">
      <c r="A288" s="8" t="s">
        <v>62</v>
      </c>
      <c r="B288" s="76"/>
      <c r="C288" s="9" t="s">
        <v>36</v>
      </c>
      <c r="D288" s="9" t="s">
        <v>327</v>
      </c>
      <c r="E288" s="9">
        <v>30</v>
      </c>
      <c r="F288" s="10">
        <v>626.4</v>
      </c>
      <c r="G288" s="10">
        <f t="shared" si="28"/>
        <v>18792</v>
      </c>
      <c r="H288" s="127">
        <v>10</v>
      </c>
      <c r="I288" s="128">
        <v>626.4</v>
      </c>
      <c r="J288" s="128">
        <f t="shared" si="29"/>
        <v>6264</v>
      </c>
    </row>
    <row r="289" spans="1:10" ht="18" thickBot="1" x14ac:dyDescent="0.25">
      <c r="A289" s="8" t="s">
        <v>115</v>
      </c>
      <c r="B289" s="76"/>
      <c r="C289" s="9" t="s">
        <v>36</v>
      </c>
      <c r="D289" s="9" t="s">
        <v>123</v>
      </c>
      <c r="E289" s="9">
        <v>5</v>
      </c>
      <c r="F289" s="10">
        <v>14152</v>
      </c>
      <c r="G289" s="10">
        <f t="shared" si="28"/>
        <v>70760</v>
      </c>
      <c r="H289" s="127">
        <v>2</v>
      </c>
      <c r="I289" s="128">
        <v>14152</v>
      </c>
      <c r="J289" s="128">
        <f t="shared" si="29"/>
        <v>28304</v>
      </c>
    </row>
    <row r="290" spans="1:10" ht="18" thickBot="1" x14ac:dyDescent="0.25">
      <c r="A290" s="8" t="s">
        <v>47</v>
      </c>
      <c r="B290" s="76"/>
      <c r="C290" s="9" t="s">
        <v>36</v>
      </c>
      <c r="D290" s="9" t="s">
        <v>198</v>
      </c>
      <c r="E290" s="9">
        <v>65</v>
      </c>
      <c r="F290" s="10">
        <v>9976</v>
      </c>
      <c r="G290" s="10">
        <f t="shared" si="28"/>
        <v>648440</v>
      </c>
      <c r="H290" s="127"/>
      <c r="I290" s="128">
        <v>9976</v>
      </c>
      <c r="J290" s="128">
        <f t="shared" si="29"/>
        <v>0</v>
      </c>
    </row>
    <row r="291" spans="1:10" ht="18" thickBot="1" x14ac:dyDescent="0.25">
      <c r="A291" s="8" t="s">
        <v>60</v>
      </c>
      <c r="B291" s="76"/>
      <c r="C291" s="9" t="s">
        <v>36</v>
      </c>
      <c r="D291" s="9" t="s">
        <v>122</v>
      </c>
      <c r="E291" s="9">
        <v>80</v>
      </c>
      <c r="F291" s="10">
        <v>4060</v>
      </c>
      <c r="G291" s="10">
        <f t="shared" si="28"/>
        <v>324800</v>
      </c>
      <c r="H291" s="127">
        <v>27</v>
      </c>
      <c r="I291" s="128">
        <v>4060</v>
      </c>
      <c r="J291" s="128">
        <f t="shared" si="29"/>
        <v>109620</v>
      </c>
    </row>
    <row r="292" spans="1:10" ht="18" thickBot="1" x14ac:dyDescent="0.25">
      <c r="A292" s="8" t="s">
        <v>62</v>
      </c>
      <c r="B292" s="76"/>
      <c r="C292" s="9" t="s">
        <v>36</v>
      </c>
      <c r="D292" s="9" t="s">
        <v>120</v>
      </c>
      <c r="E292" s="9">
        <v>10</v>
      </c>
      <c r="F292" s="10">
        <v>17284</v>
      </c>
      <c r="G292" s="10">
        <f t="shared" si="28"/>
        <v>172840</v>
      </c>
      <c r="H292" s="127">
        <v>3</v>
      </c>
      <c r="I292" s="128">
        <v>17284</v>
      </c>
      <c r="J292" s="128">
        <f t="shared" si="29"/>
        <v>51852</v>
      </c>
    </row>
    <row r="293" spans="1:10" ht="18" thickBot="1" x14ac:dyDescent="0.25">
      <c r="A293" s="8" t="s">
        <v>62</v>
      </c>
      <c r="B293" s="76"/>
      <c r="C293" s="9" t="s">
        <v>36</v>
      </c>
      <c r="D293" s="9" t="s">
        <v>165</v>
      </c>
      <c r="E293" s="9">
        <v>20</v>
      </c>
      <c r="F293" s="10">
        <v>15080</v>
      </c>
      <c r="G293" s="10">
        <f t="shared" si="28"/>
        <v>301600</v>
      </c>
      <c r="H293" s="127"/>
      <c r="I293" s="128">
        <v>15080</v>
      </c>
      <c r="J293" s="128">
        <f t="shared" si="29"/>
        <v>0</v>
      </c>
    </row>
    <row r="294" spans="1:10" ht="18" thickBot="1" x14ac:dyDescent="0.25">
      <c r="A294" s="8" t="s">
        <v>140</v>
      </c>
      <c r="B294" s="76"/>
      <c r="C294" s="9" t="s">
        <v>36</v>
      </c>
      <c r="D294" s="9" t="s">
        <v>296</v>
      </c>
      <c r="E294" s="9">
        <v>15</v>
      </c>
      <c r="F294" s="10">
        <v>7424</v>
      </c>
      <c r="G294" s="10">
        <f t="shared" si="28"/>
        <v>111360</v>
      </c>
      <c r="H294" s="127">
        <v>4</v>
      </c>
      <c r="I294" s="128">
        <v>7424</v>
      </c>
      <c r="J294" s="128">
        <f t="shared" si="29"/>
        <v>29696</v>
      </c>
    </row>
    <row r="295" spans="1:10" ht="18" thickBot="1" x14ac:dyDescent="0.25">
      <c r="A295" s="8" t="s">
        <v>344</v>
      </c>
      <c r="B295" s="76"/>
      <c r="C295" s="9" t="s">
        <v>36</v>
      </c>
      <c r="D295" s="9" t="s">
        <v>246</v>
      </c>
      <c r="E295" s="9">
        <v>5</v>
      </c>
      <c r="F295" s="10">
        <v>8236</v>
      </c>
      <c r="G295" s="10">
        <f t="shared" si="28"/>
        <v>41180</v>
      </c>
      <c r="H295" s="127"/>
      <c r="I295" s="128">
        <v>8236</v>
      </c>
      <c r="J295" s="128">
        <f t="shared" si="29"/>
        <v>0</v>
      </c>
    </row>
    <row r="296" spans="1:10" ht="18" thickBot="1" x14ac:dyDescent="0.25">
      <c r="A296" s="8" t="s">
        <v>649</v>
      </c>
      <c r="B296" s="76"/>
      <c r="C296" s="9" t="s">
        <v>36</v>
      </c>
      <c r="D296" s="9" t="s">
        <v>1382</v>
      </c>
      <c r="E296" s="9">
        <v>3</v>
      </c>
      <c r="F296" s="10">
        <v>6960</v>
      </c>
      <c r="G296" s="10">
        <f t="shared" si="28"/>
        <v>20880</v>
      </c>
      <c r="H296" s="127">
        <v>1</v>
      </c>
      <c r="I296" s="128">
        <v>6960</v>
      </c>
      <c r="J296" s="128">
        <f t="shared" si="29"/>
        <v>6960</v>
      </c>
    </row>
    <row r="297" spans="1:10" ht="18" thickBot="1" x14ac:dyDescent="0.25">
      <c r="A297" s="8" t="s">
        <v>62</v>
      </c>
      <c r="B297" s="76"/>
      <c r="C297" s="9" t="s">
        <v>36</v>
      </c>
      <c r="D297" s="9" t="s">
        <v>52</v>
      </c>
      <c r="E297" s="9">
        <v>10</v>
      </c>
      <c r="F297" s="10">
        <v>10150</v>
      </c>
      <c r="G297" s="10">
        <f t="shared" si="28"/>
        <v>101500</v>
      </c>
      <c r="H297" s="127"/>
      <c r="I297" s="128">
        <v>10150</v>
      </c>
      <c r="J297" s="128">
        <f t="shared" si="29"/>
        <v>0</v>
      </c>
    </row>
    <row r="298" spans="1:10" ht="18" thickBot="1" x14ac:dyDescent="0.25">
      <c r="A298" s="8" t="s">
        <v>62</v>
      </c>
      <c r="B298" s="76" t="s">
        <v>877</v>
      </c>
      <c r="C298" s="9" t="s">
        <v>36</v>
      </c>
      <c r="D298" s="9" t="s">
        <v>40</v>
      </c>
      <c r="E298" s="9">
        <v>70</v>
      </c>
      <c r="F298" s="10">
        <v>626.4</v>
      </c>
      <c r="G298" s="10">
        <f t="shared" si="28"/>
        <v>43848</v>
      </c>
      <c r="H298" s="127">
        <v>16</v>
      </c>
      <c r="I298" s="128">
        <v>626.4</v>
      </c>
      <c r="J298" s="128">
        <f t="shared" si="29"/>
        <v>10022.4</v>
      </c>
    </row>
    <row r="299" spans="1:10" ht="18" thickBot="1" x14ac:dyDescent="0.25">
      <c r="A299" s="8" t="s">
        <v>1383</v>
      </c>
      <c r="B299" s="76"/>
      <c r="C299" s="9" t="s">
        <v>36</v>
      </c>
      <c r="D299" s="9" t="s">
        <v>297</v>
      </c>
      <c r="E299" s="9">
        <v>15</v>
      </c>
      <c r="F299" s="10">
        <v>2900</v>
      </c>
      <c r="G299" s="10">
        <f t="shared" si="28"/>
        <v>43500</v>
      </c>
      <c r="H299" s="127"/>
      <c r="I299" s="128">
        <v>2900</v>
      </c>
      <c r="J299" s="128">
        <f t="shared" si="29"/>
        <v>0</v>
      </c>
    </row>
    <row r="300" spans="1:10" ht="18" thickBot="1" x14ac:dyDescent="0.25">
      <c r="A300" s="8" t="s">
        <v>61</v>
      </c>
      <c r="B300" s="76"/>
      <c r="C300" s="9" t="s">
        <v>36</v>
      </c>
      <c r="D300" s="9" t="s">
        <v>169</v>
      </c>
      <c r="E300" s="9">
        <v>35</v>
      </c>
      <c r="F300" s="10">
        <v>10266</v>
      </c>
      <c r="G300" s="10">
        <f t="shared" si="28"/>
        <v>359310</v>
      </c>
      <c r="H300" s="127"/>
      <c r="I300" s="128">
        <v>10266</v>
      </c>
      <c r="J300" s="128">
        <f t="shared" si="29"/>
        <v>0</v>
      </c>
    </row>
    <row r="301" spans="1:10" ht="18" thickBot="1" x14ac:dyDescent="0.25">
      <c r="A301" s="8" t="s">
        <v>60</v>
      </c>
      <c r="B301" s="76"/>
      <c r="C301" s="9" t="s">
        <v>36</v>
      </c>
      <c r="D301" s="9" t="s">
        <v>1384</v>
      </c>
      <c r="E301" s="9">
        <v>90</v>
      </c>
      <c r="F301" s="10">
        <v>134444</v>
      </c>
      <c r="G301" s="10">
        <f t="shared" si="28"/>
        <v>12099960</v>
      </c>
      <c r="H301" s="127">
        <v>24</v>
      </c>
      <c r="I301" s="128">
        <v>134444</v>
      </c>
      <c r="J301" s="128">
        <f t="shared" si="29"/>
        <v>3226656</v>
      </c>
    </row>
    <row r="302" spans="1:10" ht="18" thickBot="1" x14ac:dyDescent="0.25">
      <c r="A302" s="8" t="s">
        <v>115</v>
      </c>
      <c r="B302" s="76"/>
      <c r="C302" s="9" t="s">
        <v>36</v>
      </c>
      <c r="D302" s="9" t="s">
        <v>656</v>
      </c>
      <c r="E302" s="9">
        <v>10</v>
      </c>
      <c r="F302" s="10">
        <v>2668</v>
      </c>
      <c r="G302" s="10">
        <f t="shared" si="28"/>
        <v>26680</v>
      </c>
      <c r="H302" s="127">
        <v>3</v>
      </c>
      <c r="I302" s="128">
        <v>2668</v>
      </c>
      <c r="J302" s="128">
        <f t="shared" si="29"/>
        <v>8004</v>
      </c>
    </row>
    <row r="303" spans="1:10" ht="18" thickBot="1" x14ac:dyDescent="0.25">
      <c r="A303" s="8" t="s">
        <v>159</v>
      </c>
      <c r="B303" s="76"/>
      <c r="C303" s="9" t="s">
        <v>36</v>
      </c>
      <c r="D303" s="9" t="s">
        <v>1385</v>
      </c>
      <c r="E303" s="9">
        <v>20</v>
      </c>
      <c r="F303" s="10">
        <v>3886</v>
      </c>
      <c r="G303" s="10">
        <f t="shared" si="28"/>
        <v>77720</v>
      </c>
      <c r="H303" s="127">
        <v>6</v>
      </c>
      <c r="I303" s="128">
        <v>3886</v>
      </c>
      <c r="J303" s="128">
        <f t="shared" si="29"/>
        <v>23316</v>
      </c>
    </row>
    <row r="304" spans="1:10" ht="18" thickBot="1" x14ac:dyDescent="0.25">
      <c r="A304" s="8" t="s">
        <v>76</v>
      </c>
      <c r="B304" s="76"/>
      <c r="C304" s="9" t="s">
        <v>36</v>
      </c>
      <c r="D304" s="9" t="s">
        <v>163</v>
      </c>
      <c r="E304" s="9">
        <v>10</v>
      </c>
      <c r="F304" s="10">
        <v>4176</v>
      </c>
      <c r="G304" s="10">
        <f t="shared" si="28"/>
        <v>41760</v>
      </c>
      <c r="H304" s="127"/>
      <c r="I304" s="128">
        <v>4176</v>
      </c>
      <c r="J304" s="128">
        <f t="shared" si="29"/>
        <v>0</v>
      </c>
    </row>
    <row r="305" spans="1:10" ht="18" thickBot="1" x14ac:dyDescent="0.25">
      <c r="A305" s="8" t="s">
        <v>74</v>
      </c>
      <c r="B305" s="76"/>
      <c r="C305" s="9" t="s">
        <v>36</v>
      </c>
      <c r="D305" s="9" t="s">
        <v>311</v>
      </c>
      <c r="E305" s="9">
        <v>20</v>
      </c>
      <c r="F305" s="10">
        <v>9686</v>
      </c>
      <c r="G305" s="10">
        <f t="shared" si="28"/>
        <v>193720</v>
      </c>
      <c r="H305" s="127"/>
      <c r="I305" s="128">
        <v>9686</v>
      </c>
      <c r="J305" s="128">
        <f t="shared" si="29"/>
        <v>0</v>
      </c>
    </row>
    <row r="306" spans="1:10" ht="18" thickBot="1" x14ac:dyDescent="0.25">
      <c r="A306" s="8" t="s">
        <v>115</v>
      </c>
      <c r="B306" s="76"/>
      <c r="C306" s="9" t="s">
        <v>36</v>
      </c>
      <c r="D306" s="9" t="s">
        <v>1386</v>
      </c>
      <c r="E306" s="9">
        <v>8</v>
      </c>
      <c r="F306" s="10">
        <v>8178</v>
      </c>
      <c r="G306" s="10">
        <f t="shared" si="28"/>
        <v>65424</v>
      </c>
      <c r="H306" s="127">
        <v>2</v>
      </c>
      <c r="I306" s="128">
        <v>8178</v>
      </c>
      <c r="J306" s="128">
        <f t="shared" si="29"/>
        <v>16356</v>
      </c>
    </row>
    <row r="307" spans="1:10" ht="18" thickBot="1" x14ac:dyDescent="0.25">
      <c r="A307" s="8" t="s">
        <v>62</v>
      </c>
      <c r="B307" s="76"/>
      <c r="C307" s="9" t="s">
        <v>36</v>
      </c>
      <c r="D307" s="9" t="s">
        <v>780</v>
      </c>
      <c r="E307" s="9">
        <v>5</v>
      </c>
      <c r="F307" s="10">
        <v>10208</v>
      </c>
      <c r="G307" s="10">
        <f t="shared" si="28"/>
        <v>51040</v>
      </c>
      <c r="H307" s="127"/>
      <c r="I307" s="128">
        <v>10208</v>
      </c>
      <c r="J307" s="128">
        <f t="shared" si="29"/>
        <v>0</v>
      </c>
    </row>
    <row r="308" spans="1:10" ht="18" thickBot="1" x14ac:dyDescent="0.25">
      <c r="A308" s="8" t="s">
        <v>61</v>
      </c>
      <c r="B308" s="76"/>
      <c r="C308" s="9" t="s">
        <v>36</v>
      </c>
      <c r="D308" s="9" t="s">
        <v>411</v>
      </c>
      <c r="E308" s="9">
        <v>20</v>
      </c>
      <c r="F308" s="10">
        <v>2552</v>
      </c>
      <c r="G308" s="10">
        <f>E308*F308</f>
        <v>51040</v>
      </c>
      <c r="H308" s="127">
        <v>5</v>
      </c>
      <c r="I308" s="128">
        <v>2552</v>
      </c>
      <c r="J308" s="128">
        <f>H308*I308</f>
        <v>12760</v>
      </c>
    </row>
    <row r="309" spans="1:10" ht="17" thickBot="1" x14ac:dyDescent="0.25">
      <c r="B309" s="77"/>
      <c r="G309" s="12">
        <f>SUM(G271:G308)</f>
        <v>17325818</v>
      </c>
      <c r="H309" s="2"/>
      <c r="I309" s="2"/>
      <c r="J309" s="130">
        <f>SUM(J271:J308)</f>
        <v>3901230.8</v>
      </c>
    </row>
    <row r="310" spans="1:10" ht="17" thickBot="1" x14ac:dyDescent="0.25">
      <c r="A310" s="30" t="s">
        <v>1650</v>
      </c>
      <c r="B310" s="77" t="s">
        <v>1624</v>
      </c>
      <c r="C310" s="2" t="s">
        <v>1625</v>
      </c>
      <c r="F310" s="2"/>
    </row>
    <row r="311" spans="1:10" ht="18" thickBot="1" x14ac:dyDescent="0.25">
      <c r="A311" s="9" t="s">
        <v>242</v>
      </c>
      <c r="B311" s="75" t="s">
        <v>1361</v>
      </c>
      <c r="C311" s="155" t="s">
        <v>36</v>
      </c>
      <c r="D311" s="9" t="s">
        <v>1358</v>
      </c>
      <c r="E311" s="9">
        <v>48</v>
      </c>
      <c r="F311" s="106">
        <v>4321</v>
      </c>
      <c r="G311" s="106">
        <f t="shared" ref="G311:G329" si="30">F311*E311</f>
        <v>207408</v>
      </c>
      <c r="H311" s="23">
        <v>24</v>
      </c>
      <c r="I311" s="241">
        <v>4321</v>
      </c>
      <c r="J311" s="241">
        <f t="shared" ref="J311:J329" si="31">I311*H311</f>
        <v>103704</v>
      </c>
    </row>
    <row r="312" spans="1:10" ht="18" thickBot="1" x14ac:dyDescent="0.25">
      <c r="A312" s="9" t="s">
        <v>285</v>
      </c>
      <c r="B312" s="75" t="s">
        <v>1960</v>
      </c>
      <c r="C312" s="155" t="s">
        <v>36</v>
      </c>
      <c r="D312" s="9" t="s">
        <v>309</v>
      </c>
      <c r="E312" s="9">
        <v>24</v>
      </c>
      <c r="F312" s="106">
        <v>2069.44</v>
      </c>
      <c r="G312" s="106">
        <f t="shared" si="30"/>
        <v>49666.559999999998</v>
      </c>
      <c r="H312" s="23">
        <v>12</v>
      </c>
      <c r="I312" s="241">
        <v>2069.44</v>
      </c>
      <c r="J312" s="241">
        <f t="shared" si="31"/>
        <v>24833.279999999999</v>
      </c>
    </row>
    <row r="313" spans="1:10" ht="18" thickBot="1" x14ac:dyDescent="0.25">
      <c r="A313" s="9" t="s">
        <v>46</v>
      </c>
      <c r="B313" s="75" t="s">
        <v>903</v>
      </c>
      <c r="C313" s="155" t="s">
        <v>36</v>
      </c>
      <c r="D313" s="9" t="s">
        <v>54</v>
      </c>
      <c r="E313" s="9">
        <v>48</v>
      </c>
      <c r="F313" s="106">
        <v>12412</v>
      </c>
      <c r="G313" s="106">
        <f t="shared" si="30"/>
        <v>595776</v>
      </c>
      <c r="H313" s="23">
        <v>24</v>
      </c>
      <c r="I313" s="241">
        <v>12412</v>
      </c>
      <c r="J313" s="241">
        <f t="shared" si="31"/>
        <v>297888</v>
      </c>
    </row>
    <row r="314" spans="1:10" ht="18" thickBot="1" x14ac:dyDescent="0.25">
      <c r="A314" s="9" t="s">
        <v>285</v>
      </c>
      <c r="B314" s="75" t="s">
        <v>888</v>
      </c>
      <c r="C314" s="155" t="s">
        <v>36</v>
      </c>
      <c r="D314" s="9" t="s">
        <v>326</v>
      </c>
      <c r="E314" s="9">
        <v>24</v>
      </c>
      <c r="F314" s="106">
        <v>16704</v>
      </c>
      <c r="G314" s="106">
        <f t="shared" si="30"/>
        <v>400896</v>
      </c>
      <c r="H314" s="23">
        <v>12</v>
      </c>
      <c r="I314" s="241">
        <v>16704</v>
      </c>
      <c r="J314" s="241">
        <f t="shared" si="31"/>
        <v>200448</v>
      </c>
    </row>
    <row r="315" spans="1:10" ht="18" thickBot="1" x14ac:dyDescent="0.25">
      <c r="A315" s="9" t="s">
        <v>240</v>
      </c>
      <c r="B315" s="75" t="s">
        <v>889</v>
      </c>
      <c r="C315" s="155" t="s">
        <v>36</v>
      </c>
      <c r="D315" s="9" t="s">
        <v>66</v>
      </c>
      <c r="E315" s="9">
        <v>48</v>
      </c>
      <c r="F315" s="106">
        <v>11594.2</v>
      </c>
      <c r="G315" s="106">
        <f t="shared" si="30"/>
        <v>556521.60000000009</v>
      </c>
      <c r="H315" s="23">
        <v>12</v>
      </c>
      <c r="I315" s="241">
        <v>11594.2</v>
      </c>
      <c r="J315" s="241">
        <f t="shared" si="31"/>
        <v>139130.40000000002</v>
      </c>
    </row>
    <row r="316" spans="1:10" ht="18" thickBot="1" x14ac:dyDescent="0.25">
      <c r="A316" s="9" t="s">
        <v>45</v>
      </c>
      <c r="B316" s="75" t="s">
        <v>2172</v>
      </c>
      <c r="C316" s="155" t="s">
        <v>36</v>
      </c>
      <c r="D316" s="9" t="s">
        <v>167</v>
      </c>
      <c r="E316" s="9">
        <v>12</v>
      </c>
      <c r="F316" s="106">
        <v>9512</v>
      </c>
      <c r="G316" s="106">
        <f t="shared" si="30"/>
        <v>114144</v>
      </c>
      <c r="H316" s="23"/>
      <c r="I316" s="241">
        <v>9512</v>
      </c>
      <c r="J316" s="241">
        <f t="shared" si="31"/>
        <v>0</v>
      </c>
    </row>
    <row r="317" spans="1:10" ht="18" thickBot="1" x14ac:dyDescent="0.25">
      <c r="A317" s="9" t="s">
        <v>285</v>
      </c>
      <c r="B317" s="75" t="s">
        <v>887</v>
      </c>
      <c r="C317" s="155" t="s">
        <v>36</v>
      </c>
      <c r="D317" s="9" t="s">
        <v>302</v>
      </c>
      <c r="E317" s="9">
        <v>50</v>
      </c>
      <c r="F317" s="106">
        <v>15196</v>
      </c>
      <c r="G317" s="106">
        <f t="shared" si="30"/>
        <v>759800</v>
      </c>
      <c r="H317" s="23">
        <v>20</v>
      </c>
      <c r="I317" s="241">
        <v>15196</v>
      </c>
      <c r="J317" s="241">
        <f t="shared" si="31"/>
        <v>303920</v>
      </c>
    </row>
    <row r="318" spans="1:10" ht="18" thickBot="1" x14ac:dyDescent="0.25">
      <c r="A318" s="165" t="s">
        <v>140</v>
      </c>
      <c r="B318" s="75" t="s">
        <v>901</v>
      </c>
      <c r="C318" s="155" t="s">
        <v>36</v>
      </c>
      <c r="D318" s="9" t="s">
        <v>348</v>
      </c>
      <c r="E318" s="9">
        <v>12</v>
      </c>
      <c r="F318" s="106">
        <v>5788.4</v>
      </c>
      <c r="G318" s="106">
        <f t="shared" si="30"/>
        <v>69460.799999999988</v>
      </c>
      <c r="H318" s="23"/>
      <c r="I318" s="241">
        <v>5788.4</v>
      </c>
      <c r="J318" s="241">
        <f t="shared" si="31"/>
        <v>0</v>
      </c>
    </row>
    <row r="319" spans="1:10" ht="18" thickBot="1" x14ac:dyDescent="0.25">
      <c r="A319" s="9" t="s">
        <v>240</v>
      </c>
      <c r="B319" s="75" t="s">
        <v>906</v>
      </c>
      <c r="C319" s="155" t="s">
        <v>36</v>
      </c>
      <c r="D319" s="9" t="s">
        <v>299</v>
      </c>
      <c r="E319" s="9">
        <v>24</v>
      </c>
      <c r="F319" s="106">
        <v>6356.8</v>
      </c>
      <c r="G319" s="106">
        <f t="shared" si="30"/>
        <v>152563.20000000001</v>
      </c>
      <c r="H319" s="23">
        <v>12</v>
      </c>
      <c r="I319" s="241">
        <v>6356.8</v>
      </c>
      <c r="J319" s="241">
        <f t="shared" si="31"/>
        <v>76281.600000000006</v>
      </c>
    </row>
    <row r="320" spans="1:10" ht="18" thickBot="1" x14ac:dyDescent="0.25">
      <c r="A320" s="9" t="s">
        <v>58</v>
      </c>
      <c r="B320" s="75" t="s">
        <v>911</v>
      </c>
      <c r="C320" s="155" t="s">
        <v>36</v>
      </c>
      <c r="D320" s="9" t="s">
        <v>306</v>
      </c>
      <c r="E320" s="9">
        <v>110</v>
      </c>
      <c r="F320" s="106">
        <v>136764</v>
      </c>
      <c r="G320" s="106">
        <f t="shared" si="30"/>
        <v>15044040</v>
      </c>
      <c r="H320" s="23"/>
      <c r="I320" s="241">
        <v>136764</v>
      </c>
      <c r="J320" s="241">
        <f t="shared" si="31"/>
        <v>0</v>
      </c>
    </row>
    <row r="321" spans="1:16" ht="18" thickBot="1" x14ac:dyDescent="0.25">
      <c r="A321" s="9" t="s">
        <v>45</v>
      </c>
      <c r="B321" s="75" t="s">
        <v>914</v>
      </c>
      <c r="C321" s="155" t="s">
        <v>36</v>
      </c>
      <c r="D321" s="9" t="s">
        <v>780</v>
      </c>
      <c r="E321" s="9">
        <v>12</v>
      </c>
      <c r="F321" s="106">
        <v>11948</v>
      </c>
      <c r="G321" s="106">
        <f t="shared" si="30"/>
        <v>143376</v>
      </c>
      <c r="H321" s="23"/>
      <c r="I321" s="241">
        <v>11948</v>
      </c>
      <c r="J321" s="241">
        <f t="shared" si="31"/>
        <v>0</v>
      </c>
    </row>
    <row r="322" spans="1:16" ht="18" thickBot="1" x14ac:dyDescent="0.25">
      <c r="A322" s="9" t="s">
        <v>45</v>
      </c>
      <c r="B322" s="75" t="s">
        <v>877</v>
      </c>
      <c r="C322" s="155" t="s">
        <v>36</v>
      </c>
      <c r="D322" s="9" t="s">
        <v>40</v>
      </c>
      <c r="E322" s="9">
        <v>36</v>
      </c>
      <c r="F322" s="106">
        <v>962.8</v>
      </c>
      <c r="G322" s="106">
        <f t="shared" si="30"/>
        <v>34660.799999999996</v>
      </c>
      <c r="H322" s="23">
        <v>24</v>
      </c>
      <c r="I322" s="241">
        <v>962.8</v>
      </c>
      <c r="J322" s="241">
        <f t="shared" si="31"/>
        <v>23107.199999999997</v>
      </c>
    </row>
    <row r="323" spans="1:16" ht="18" thickBot="1" x14ac:dyDescent="0.25">
      <c r="A323" s="9" t="s">
        <v>240</v>
      </c>
      <c r="B323" s="75" t="s">
        <v>881</v>
      </c>
      <c r="C323" s="155" t="s">
        <v>36</v>
      </c>
      <c r="D323" s="9" t="s">
        <v>169</v>
      </c>
      <c r="E323" s="9">
        <v>48</v>
      </c>
      <c r="F323" s="106">
        <v>11948</v>
      </c>
      <c r="G323" s="106">
        <f t="shared" si="30"/>
        <v>573504</v>
      </c>
      <c r="H323" s="23">
        <v>12</v>
      </c>
      <c r="I323" s="241">
        <v>11948</v>
      </c>
      <c r="J323" s="241">
        <f t="shared" si="31"/>
        <v>143376</v>
      </c>
    </row>
    <row r="324" spans="1:16" ht="18" thickBot="1" x14ac:dyDescent="0.25">
      <c r="A324" s="9" t="s">
        <v>140</v>
      </c>
      <c r="B324" s="75" t="s">
        <v>953</v>
      </c>
      <c r="C324" s="155" t="s">
        <v>36</v>
      </c>
      <c r="D324" s="9" t="s">
        <v>1243</v>
      </c>
      <c r="E324" s="9">
        <v>50</v>
      </c>
      <c r="F324" s="106">
        <v>9256.7999999999993</v>
      </c>
      <c r="G324" s="106">
        <f t="shared" si="30"/>
        <v>462839.99999999994</v>
      </c>
      <c r="H324" s="23">
        <v>6</v>
      </c>
      <c r="I324" s="241">
        <v>9256.7999999999993</v>
      </c>
      <c r="J324" s="241">
        <f t="shared" si="31"/>
        <v>55540.799999999996</v>
      </c>
    </row>
    <row r="325" spans="1:16" ht="18" thickBot="1" x14ac:dyDescent="0.25">
      <c r="A325" s="9" t="s">
        <v>58</v>
      </c>
      <c r="B325" s="75" t="s">
        <v>850</v>
      </c>
      <c r="C325" s="155" t="s">
        <v>36</v>
      </c>
      <c r="D325" s="9" t="s">
        <v>346</v>
      </c>
      <c r="E325" s="9">
        <v>12</v>
      </c>
      <c r="F325" s="106">
        <v>15532.4</v>
      </c>
      <c r="G325" s="106">
        <f t="shared" si="30"/>
        <v>186388.8</v>
      </c>
      <c r="H325" s="23">
        <v>6</v>
      </c>
      <c r="I325" s="241">
        <v>15532.4</v>
      </c>
      <c r="J325" s="241">
        <f t="shared" si="31"/>
        <v>93194.4</v>
      </c>
    </row>
    <row r="326" spans="1:16" ht="18" thickBot="1" x14ac:dyDescent="0.25">
      <c r="A326" s="9" t="s">
        <v>240</v>
      </c>
      <c r="B326" s="75" t="s">
        <v>881</v>
      </c>
      <c r="C326" s="155" t="s">
        <v>36</v>
      </c>
      <c r="D326" s="9" t="s">
        <v>169</v>
      </c>
      <c r="E326" s="9">
        <v>48</v>
      </c>
      <c r="F326" s="106">
        <v>11948</v>
      </c>
      <c r="G326" s="106">
        <f t="shared" si="30"/>
        <v>573504</v>
      </c>
      <c r="H326" s="23">
        <v>12</v>
      </c>
      <c r="I326" s="241">
        <v>11948</v>
      </c>
      <c r="J326" s="241">
        <f t="shared" si="31"/>
        <v>143376</v>
      </c>
    </row>
    <row r="327" spans="1:16" ht="18" thickBot="1" x14ac:dyDescent="0.25">
      <c r="A327" s="9" t="s">
        <v>45</v>
      </c>
      <c r="B327" s="75" t="s">
        <v>914</v>
      </c>
      <c r="C327" s="155" t="s">
        <v>36</v>
      </c>
      <c r="D327" s="9" t="s">
        <v>780</v>
      </c>
      <c r="E327" s="9">
        <v>24</v>
      </c>
      <c r="F327" s="106">
        <v>11948</v>
      </c>
      <c r="G327" s="106">
        <f t="shared" si="30"/>
        <v>286752</v>
      </c>
      <c r="H327" s="23"/>
      <c r="I327" s="241">
        <v>11948</v>
      </c>
      <c r="J327" s="241">
        <f t="shared" si="31"/>
        <v>0</v>
      </c>
    </row>
    <row r="328" spans="1:16" ht="18" thickBot="1" x14ac:dyDescent="0.25">
      <c r="A328" s="9" t="s">
        <v>140</v>
      </c>
      <c r="B328" s="75" t="s">
        <v>1345</v>
      </c>
      <c r="C328" s="155" t="s">
        <v>36</v>
      </c>
      <c r="D328" s="9" t="s">
        <v>1160</v>
      </c>
      <c r="E328" s="9">
        <v>24</v>
      </c>
      <c r="F328" s="106">
        <v>16240</v>
      </c>
      <c r="G328" s="106">
        <f t="shared" si="30"/>
        <v>389760</v>
      </c>
      <c r="H328" s="23">
        <v>12</v>
      </c>
      <c r="I328" s="241">
        <v>16240</v>
      </c>
      <c r="J328" s="241">
        <f t="shared" si="31"/>
        <v>194880</v>
      </c>
    </row>
    <row r="329" spans="1:16" ht="18" thickBot="1" x14ac:dyDescent="0.25">
      <c r="A329" s="9" t="s">
        <v>140</v>
      </c>
      <c r="B329" s="75" t="s">
        <v>901</v>
      </c>
      <c r="C329" s="155" t="s">
        <v>36</v>
      </c>
      <c r="D329" s="9" t="s">
        <v>296</v>
      </c>
      <c r="E329" s="9">
        <v>12</v>
      </c>
      <c r="F329" s="106">
        <v>7180.4</v>
      </c>
      <c r="G329" s="106">
        <f t="shared" si="30"/>
        <v>86164.799999999988</v>
      </c>
      <c r="H329" s="23">
        <v>6</v>
      </c>
      <c r="I329" s="241">
        <v>7180.4</v>
      </c>
      <c r="J329" s="241">
        <f t="shared" si="31"/>
        <v>43082.399999999994</v>
      </c>
    </row>
    <row r="330" spans="1:16" ht="17" thickBot="1" x14ac:dyDescent="0.25">
      <c r="A330" s="2"/>
      <c r="C330" s="156"/>
      <c r="F330" s="105"/>
      <c r="G330" s="166">
        <f>SUM(G311:G329)</f>
        <v>20687226.560000002</v>
      </c>
      <c r="H330" s="2"/>
      <c r="I330" s="105"/>
      <c r="J330" s="242">
        <f>SUM(J311:J329)</f>
        <v>1842762.08</v>
      </c>
    </row>
    <row r="331" spans="1:16" ht="39" thickBot="1" x14ac:dyDescent="0.25">
      <c r="A331" s="6" t="s">
        <v>722</v>
      </c>
      <c r="B331" s="82"/>
      <c r="C331" s="2" t="s">
        <v>723</v>
      </c>
      <c r="D331" s="2" t="s">
        <v>724</v>
      </c>
      <c r="H331" s="2"/>
      <c r="I331" s="2"/>
      <c r="J331"/>
      <c r="K331" s="190">
        <v>46171</v>
      </c>
    </row>
    <row r="332" spans="1:16" ht="18" thickBot="1" x14ac:dyDescent="0.25">
      <c r="A332" s="8" t="s">
        <v>47</v>
      </c>
      <c r="B332" s="75" t="s">
        <v>896</v>
      </c>
      <c r="C332" s="9" t="s">
        <v>36</v>
      </c>
      <c r="D332" s="9" t="s">
        <v>111</v>
      </c>
      <c r="E332" s="9">
        <v>120</v>
      </c>
      <c r="F332" s="10">
        <v>14152</v>
      </c>
      <c r="G332" s="10">
        <f>E332*F332</f>
        <v>1698240</v>
      </c>
      <c r="H332" s="23">
        <v>30</v>
      </c>
      <c r="I332" s="24">
        <v>14152</v>
      </c>
      <c r="J332" s="24">
        <f>H332*I332</f>
        <v>424560</v>
      </c>
      <c r="K332" s="92">
        <v>17</v>
      </c>
      <c r="L332" s="93">
        <v>14152</v>
      </c>
      <c r="M332" s="93">
        <f>K332*L332</f>
        <v>240584</v>
      </c>
    </row>
    <row r="333" spans="1:16" x14ac:dyDescent="0.2">
      <c r="H333" s="2"/>
      <c r="I333" s="2"/>
      <c r="J333" s="62"/>
    </row>
    <row r="334" spans="1:16" x14ac:dyDescent="0.2">
      <c r="H334" s="2"/>
      <c r="I334" s="2"/>
      <c r="J334"/>
    </row>
    <row r="335" spans="1:16" ht="20" thickBot="1" x14ac:dyDescent="0.25">
      <c r="A335" s="6" t="s">
        <v>725</v>
      </c>
      <c r="B335" s="82"/>
      <c r="H335" s="2"/>
      <c r="I335" s="2"/>
      <c r="J335"/>
      <c r="N335" s="190">
        <v>46171</v>
      </c>
    </row>
    <row r="336" spans="1:16" ht="18" thickBot="1" x14ac:dyDescent="0.25">
      <c r="A336" s="8" t="s">
        <v>62</v>
      </c>
      <c r="B336" s="75" t="s">
        <v>912</v>
      </c>
      <c r="C336" s="9" t="s">
        <v>36</v>
      </c>
      <c r="D336" s="9" t="s">
        <v>112</v>
      </c>
      <c r="E336" s="9">
        <v>100</v>
      </c>
      <c r="F336" s="10">
        <v>20764</v>
      </c>
      <c r="G336" s="10">
        <f>E336*F336</f>
        <v>2076400</v>
      </c>
      <c r="H336" s="23">
        <v>25</v>
      </c>
      <c r="I336" s="24">
        <v>20764</v>
      </c>
      <c r="J336" s="24">
        <f>H336*I336</f>
        <v>519100</v>
      </c>
      <c r="K336" s="92">
        <v>7</v>
      </c>
      <c r="L336" s="93">
        <v>20764</v>
      </c>
      <c r="M336" s="93">
        <f>K336*L336</f>
        <v>145348</v>
      </c>
      <c r="N336" s="23">
        <v>2</v>
      </c>
      <c r="O336" s="24">
        <v>20764</v>
      </c>
      <c r="P336" s="24">
        <f>N336*O336</f>
        <v>41528</v>
      </c>
    </row>
    <row r="337" spans="1:16" x14ac:dyDescent="0.2">
      <c r="H337" s="2"/>
      <c r="I337" s="2"/>
      <c r="J337"/>
    </row>
    <row r="338" spans="1:16" x14ac:dyDescent="0.2">
      <c r="H338" s="2"/>
      <c r="I338" s="2"/>
      <c r="J338"/>
    </row>
    <row r="339" spans="1:16" x14ac:dyDescent="0.2">
      <c r="H339" s="2"/>
      <c r="I339" s="2"/>
      <c r="J339"/>
    </row>
    <row r="340" spans="1:16" ht="20" thickBot="1" x14ac:dyDescent="0.25">
      <c r="A340" s="6" t="s">
        <v>726</v>
      </c>
      <c r="B340" s="82"/>
      <c r="H340" s="2"/>
      <c r="I340" s="2"/>
      <c r="J340"/>
      <c r="N340" s="190">
        <v>46171</v>
      </c>
    </row>
    <row r="341" spans="1:16" ht="18" thickBot="1" x14ac:dyDescent="0.25">
      <c r="A341" s="8" t="s">
        <v>727</v>
      </c>
      <c r="B341" s="75" t="s">
        <v>2052</v>
      </c>
      <c r="C341" s="9" t="s">
        <v>36</v>
      </c>
      <c r="D341" s="9" t="s">
        <v>113</v>
      </c>
      <c r="E341" s="9">
        <v>120</v>
      </c>
      <c r="F341" s="10">
        <v>20764</v>
      </c>
      <c r="G341" s="10">
        <f>E341*F341</f>
        <v>2491680</v>
      </c>
      <c r="H341" s="23">
        <v>11</v>
      </c>
      <c r="I341" s="24">
        <v>20764</v>
      </c>
      <c r="J341" s="24">
        <f>H341*I341</f>
        <v>228404</v>
      </c>
      <c r="K341" s="27">
        <v>2</v>
      </c>
      <c r="L341" s="28">
        <v>20764</v>
      </c>
      <c r="M341" s="28">
        <f>K341*L341</f>
        <v>41528</v>
      </c>
      <c r="N341" s="23">
        <v>3</v>
      </c>
      <c r="O341" s="24">
        <v>20764</v>
      </c>
      <c r="P341" s="24">
        <f>N341*O341</f>
        <v>62292</v>
      </c>
    </row>
    <row r="342" spans="1:16" x14ac:dyDescent="0.2">
      <c r="H342" s="2"/>
      <c r="I342" s="2"/>
      <c r="J342"/>
    </row>
    <row r="343" spans="1:16" x14ac:dyDescent="0.2">
      <c r="H343" s="2"/>
      <c r="I343" s="2"/>
      <c r="J343"/>
    </row>
    <row r="344" spans="1:16" ht="20" thickBot="1" x14ac:dyDescent="0.25">
      <c r="A344" s="6" t="s">
        <v>728</v>
      </c>
      <c r="B344" s="82"/>
      <c r="H344" s="2"/>
      <c r="I344" s="2"/>
      <c r="J344"/>
      <c r="K344" s="190">
        <v>46171</v>
      </c>
    </row>
    <row r="345" spans="1:16" ht="18" thickBot="1" x14ac:dyDescent="0.25">
      <c r="A345" s="8" t="s">
        <v>114</v>
      </c>
      <c r="B345" s="75" t="s">
        <v>2052</v>
      </c>
      <c r="C345" s="9" t="s">
        <v>36</v>
      </c>
      <c r="D345" s="9" t="s">
        <v>113</v>
      </c>
      <c r="E345" s="9">
        <v>120</v>
      </c>
      <c r="F345" s="10">
        <v>20764</v>
      </c>
      <c r="G345" s="10">
        <f>E345*F345</f>
        <v>2491680</v>
      </c>
      <c r="H345" s="92">
        <v>6</v>
      </c>
      <c r="I345" s="93">
        <v>20764</v>
      </c>
      <c r="J345" s="93">
        <f>H345*I345</f>
        <v>124584</v>
      </c>
      <c r="K345" s="23">
        <v>11</v>
      </c>
      <c r="L345" s="24">
        <v>20764</v>
      </c>
      <c r="M345" s="24">
        <f>K345*L345</f>
        <v>228404</v>
      </c>
    </row>
    <row r="346" spans="1:16" x14ac:dyDescent="0.2">
      <c r="F346" s="63"/>
      <c r="G346" s="63"/>
      <c r="H346" s="2"/>
      <c r="I346" s="2"/>
      <c r="J346"/>
    </row>
    <row r="347" spans="1:16" ht="20" thickBot="1" x14ac:dyDescent="0.25">
      <c r="A347" s="6" t="s">
        <v>2032</v>
      </c>
      <c r="B347" s="82"/>
      <c r="H347" s="2"/>
      <c r="I347" s="2"/>
      <c r="J347"/>
      <c r="N347" s="190">
        <v>46171</v>
      </c>
    </row>
    <row r="348" spans="1:16" ht="18" thickBot="1" x14ac:dyDescent="0.25">
      <c r="A348" s="8" t="s">
        <v>114</v>
      </c>
      <c r="B348" s="75" t="s">
        <v>1579</v>
      </c>
      <c r="C348" s="9" t="s">
        <v>36</v>
      </c>
      <c r="D348" s="9" t="s">
        <v>729</v>
      </c>
      <c r="E348" s="9">
        <v>120</v>
      </c>
      <c r="F348" s="10">
        <v>8224.4</v>
      </c>
      <c r="G348" s="10">
        <f>E348*F348</f>
        <v>986928</v>
      </c>
      <c r="H348" s="23">
        <v>30</v>
      </c>
      <c r="I348" s="24">
        <v>8224.4</v>
      </c>
      <c r="J348" s="24">
        <f>H348*I348</f>
        <v>246732</v>
      </c>
      <c r="K348" s="27"/>
      <c r="L348" s="28">
        <v>8224.4</v>
      </c>
      <c r="M348" s="28">
        <f>K348*L348</f>
        <v>0</v>
      </c>
      <c r="N348" s="23"/>
      <c r="O348" s="24">
        <v>8224.4</v>
      </c>
      <c r="P348" s="24">
        <f>N348*O348</f>
        <v>0</v>
      </c>
    </row>
    <row r="349" spans="1:16" ht="18" thickBot="1" x14ac:dyDescent="0.25">
      <c r="A349" s="8" t="s">
        <v>48</v>
      </c>
      <c r="B349" s="75" t="s">
        <v>903</v>
      </c>
      <c r="C349" s="9" t="s">
        <v>36</v>
      </c>
      <c r="D349" s="9" t="s">
        <v>54</v>
      </c>
      <c r="E349" s="9">
        <v>120</v>
      </c>
      <c r="F349" s="10">
        <v>21808</v>
      </c>
      <c r="G349" s="10">
        <f>E349*F349</f>
        <v>2616960</v>
      </c>
      <c r="H349" s="23">
        <v>30</v>
      </c>
      <c r="I349" s="24">
        <v>21808</v>
      </c>
      <c r="J349" s="24">
        <f>H349*I349</f>
        <v>654240</v>
      </c>
      <c r="K349" s="27">
        <v>4</v>
      </c>
      <c r="L349" s="28">
        <v>21808</v>
      </c>
      <c r="M349" s="28">
        <f>K349*L349</f>
        <v>87232</v>
      </c>
      <c r="N349" s="23">
        <v>1</v>
      </c>
      <c r="O349" s="24">
        <v>21808</v>
      </c>
      <c r="P349" s="24">
        <f>N349*O349</f>
        <v>21808</v>
      </c>
    </row>
    <row r="350" spans="1:16" ht="18" thickBot="1" x14ac:dyDescent="0.25">
      <c r="A350" s="8" t="s">
        <v>115</v>
      </c>
      <c r="B350" s="75" t="s">
        <v>885</v>
      </c>
      <c r="C350" s="9" t="s">
        <v>36</v>
      </c>
      <c r="D350" s="9" t="s">
        <v>53</v>
      </c>
      <c r="E350" s="9">
        <v>60</v>
      </c>
      <c r="F350" s="10">
        <v>13688</v>
      </c>
      <c r="G350" s="10">
        <f>E350*F350</f>
        <v>821280</v>
      </c>
      <c r="H350" s="23">
        <v>15</v>
      </c>
      <c r="I350" s="24">
        <v>13688</v>
      </c>
      <c r="J350" s="24">
        <f>H350*I350</f>
        <v>205320</v>
      </c>
      <c r="K350" s="27">
        <v>20</v>
      </c>
      <c r="L350" s="28">
        <v>13688</v>
      </c>
      <c r="M350" s="28">
        <f>K350*L350</f>
        <v>273760</v>
      </c>
      <c r="N350" s="23">
        <v>9</v>
      </c>
      <c r="O350" s="24">
        <v>13688</v>
      </c>
      <c r="P350" s="24">
        <f>N350*O350</f>
        <v>123192</v>
      </c>
    </row>
    <row r="351" spans="1:16" ht="17" thickBot="1" x14ac:dyDescent="0.25">
      <c r="G351" s="12">
        <f>SUM(G348:G350)</f>
        <v>4425168</v>
      </c>
      <c r="H351" s="2"/>
      <c r="J351" s="26">
        <f>SUM(J348:J350)</f>
        <v>1106292</v>
      </c>
      <c r="K351" s="2"/>
      <c r="L351" s="3"/>
      <c r="M351" s="148">
        <f>SUM(M348:M350)</f>
        <v>360992</v>
      </c>
      <c r="N351" s="2"/>
      <c r="O351" s="3"/>
      <c r="P351" s="26">
        <f>SUM(P348:P350)</f>
        <v>145000</v>
      </c>
    </row>
    <row r="352" spans="1:16" ht="20" thickBot="1" x14ac:dyDescent="0.25">
      <c r="A352" s="6" t="s">
        <v>730</v>
      </c>
      <c r="B352" s="82"/>
      <c r="H352" s="2"/>
      <c r="I352" s="2"/>
      <c r="J352"/>
      <c r="N352" s="190">
        <v>46171</v>
      </c>
    </row>
    <row r="353" spans="1:16" ht="18" thickBot="1" x14ac:dyDescent="0.25">
      <c r="A353" s="8" t="s">
        <v>731</v>
      </c>
      <c r="B353" s="75" t="s">
        <v>1563</v>
      </c>
      <c r="C353" s="9" t="s">
        <v>36</v>
      </c>
      <c r="D353" s="9" t="s">
        <v>732</v>
      </c>
      <c r="E353" s="9">
        <v>60</v>
      </c>
      <c r="F353" s="10">
        <v>7888</v>
      </c>
      <c r="G353" s="10">
        <f>E353*F353</f>
        <v>473280</v>
      </c>
      <c r="H353" s="23">
        <v>15</v>
      </c>
      <c r="I353" s="24">
        <v>7888</v>
      </c>
      <c r="J353" s="24">
        <f>H353*I353</f>
        <v>118320</v>
      </c>
      <c r="K353" s="92">
        <v>15</v>
      </c>
      <c r="L353" s="93">
        <v>7888</v>
      </c>
      <c r="M353" s="93">
        <f>K353*L353</f>
        <v>118320</v>
      </c>
      <c r="N353" s="23">
        <v>17</v>
      </c>
      <c r="O353" s="24">
        <v>7888</v>
      </c>
      <c r="P353" s="24">
        <f>N353*O353</f>
        <v>134096</v>
      </c>
    </row>
    <row r="354" spans="1:16" ht="18" thickBot="1" x14ac:dyDescent="0.25">
      <c r="A354" s="8" t="s">
        <v>62</v>
      </c>
      <c r="B354" s="75" t="s">
        <v>910</v>
      </c>
      <c r="C354" s="9" t="s">
        <v>36</v>
      </c>
      <c r="D354" s="9" t="s">
        <v>116</v>
      </c>
      <c r="E354" s="9">
        <v>300</v>
      </c>
      <c r="F354" s="10">
        <v>20764</v>
      </c>
      <c r="G354" s="10">
        <f>E354*F354</f>
        <v>6229200</v>
      </c>
      <c r="H354" s="23">
        <v>30</v>
      </c>
      <c r="I354" s="24">
        <v>20764</v>
      </c>
      <c r="J354" s="24">
        <f>H354*I354</f>
        <v>622920</v>
      </c>
      <c r="K354" s="92">
        <v>35</v>
      </c>
      <c r="L354" s="93">
        <v>20764</v>
      </c>
      <c r="M354" s="93">
        <f>K354*L354</f>
        <v>726740</v>
      </c>
      <c r="N354" s="23">
        <v>56</v>
      </c>
      <c r="O354" s="24">
        <v>20764</v>
      </c>
      <c r="P354" s="24">
        <f>N354*O354</f>
        <v>1162784</v>
      </c>
    </row>
    <row r="355" spans="1:16" ht="18" thickBot="1" x14ac:dyDescent="0.25">
      <c r="A355" s="8" t="s">
        <v>60</v>
      </c>
      <c r="B355" s="75" t="s">
        <v>907</v>
      </c>
      <c r="C355" s="9" t="s">
        <v>36</v>
      </c>
      <c r="D355" s="9" t="s">
        <v>117</v>
      </c>
      <c r="E355" s="9">
        <v>80</v>
      </c>
      <c r="F355" s="10">
        <v>154280</v>
      </c>
      <c r="G355" s="10">
        <f>E355*F355</f>
        <v>12342400</v>
      </c>
      <c r="H355" s="23">
        <v>20</v>
      </c>
      <c r="I355" s="24">
        <v>154280</v>
      </c>
      <c r="J355" s="24">
        <f>H355*I355</f>
        <v>3085600</v>
      </c>
      <c r="K355" s="92">
        <v>18</v>
      </c>
      <c r="L355" s="93">
        <v>154280</v>
      </c>
      <c r="M355" s="93">
        <f>K355*L355</f>
        <v>2777040</v>
      </c>
      <c r="N355" s="23"/>
      <c r="O355" s="24">
        <v>154280</v>
      </c>
      <c r="P355" s="24">
        <f>N355*O355</f>
        <v>0</v>
      </c>
    </row>
    <row r="356" spans="1:16" ht="17" thickBot="1" x14ac:dyDescent="0.25">
      <c r="G356" s="12">
        <f>SUM(G353:G355)</f>
        <v>19044880</v>
      </c>
      <c r="H356" s="2"/>
      <c r="J356" s="26">
        <f>SUM(J353:J355)</f>
        <v>3826840</v>
      </c>
      <c r="K356" s="2"/>
      <c r="L356" s="3"/>
      <c r="M356" s="94">
        <f>SUM(M353:M355)</f>
        <v>3622100</v>
      </c>
      <c r="N356" s="2"/>
      <c r="O356" s="3"/>
      <c r="P356" s="26">
        <f>SUM(P353:P355)</f>
        <v>1296880</v>
      </c>
    </row>
    <row r="357" spans="1:16" x14ac:dyDescent="0.2">
      <c r="H357" s="2"/>
      <c r="I357" s="2"/>
      <c r="J357"/>
    </row>
    <row r="358" spans="1:16" ht="20" thickBot="1" x14ac:dyDescent="0.25">
      <c r="A358" s="6" t="s">
        <v>733</v>
      </c>
      <c r="B358" s="82"/>
      <c r="H358" s="2"/>
      <c r="I358" s="2"/>
      <c r="J358"/>
      <c r="N358" s="190">
        <v>46171</v>
      </c>
    </row>
    <row r="359" spans="1:16" ht="18" thickBot="1" x14ac:dyDescent="0.25">
      <c r="A359" s="8" t="s">
        <v>118</v>
      </c>
      <c r="B359" s="75" t="s">
        <v>1564</v>
      </c>
      <c r="C359" s="9" t="s">
        <v>36</v>
      </c>
      <c r="D359" s="9" t="s">
        <v>119</v>
      </c>
      <c r="E359" s="9">
        <v>45</v>
      </c>
      <c r="F359" s="10">
        <v>8201.2000000000007</v>
      </c>
      <c r="G359" s="10">
        <f>E359*F359</f>
        <v>369054.00000000006</v>
      </c>
      <c r="H359" s="23">
        <v>12</v>
      </c>
      <c r="I359" s="24">
        <v>8201.2000000000007</v>
      </c>
      <c r="J359" s="24">
        <f>H359*I359</f>
        <v>98414.400000000009</v>
      </c>
      <c r="K359" s="27">
        <v>8</v>
      </c>
      <c r="L359" s="28">
        <v>8201.2000000000007</v>
      </c>
      <c r="M359" s="28">
        <f>K359*L359</f>
        <v>65609.600000000006</v>
      </c>
      <c r="N359" s="23">
        <v>12</v>
      </c>
      <c r="O359" s="24">
        <v>8201.2000000000007</v>
      </c>
      <c r="P359" s="24">
        <f>N359*O359</f>
        <v>98414.400000000009</v>
      </c>
    </row>
    <row r="360" spans="1:16" ht="18" thickBot="1" x14ac:dyDescent="0.25">
      <c r="A360" s="8" t="s">
        <v>47</v>
      </c>
      <c r="B360" s="75" t="s">
        <v>1334</v>
      </c>
      <c r="C360" s="9" t="s">
        <v>36</v>
      </c>
      <c r="D360" s="9" t="s">
        <v>120</v>
      </c>
      <c r="E360" s="9">
        <v>100</v>
      </c>
      <c r="F360" s="10">
        <v>20764</v>
      </c>
      <c r="G360" s="10">
        <f>E360*F360</f>
        <v>2076400</v>
      </c>
      <c r="H360" s="23">
        <v>25</v>
      </c>
      <c r="I360" s="24">
        <v>20764</v>
      </c>
      <c r="J360" s="24">
        <f>H360*I360</f>
        <v>519100</v>
      </c>
      <c r="K360" s="27"/>
      <c r="L360" s="28">
        <v>20764</v>
      </c>
      <c r="M360" s="28">
        <f>K360*L360</f>
        <v>0</v>
      </c>
      <c r="N360" s="23">
        <v>3</v>
      </c>
      <c r="O360" s="24">
        <v>20764</v>
      </c>
      <c r="P360" s="24">
        <f>N360*O360</f>
        <v>62292</v>
      </c>
    </row>
    <row r="361" spans="1:16" ht="18" thickBot="1" x14ac:dyDescent="0.25">
      <c r="A361" s="8" t="s">
        <v>76</v>
      </c>
      <c r="B361" s="75" t="s">
        <v>1563</v>
      </c>
      <c r="C361" s="9" t="s">
        <v>36</v>
      </c>
      <c r="D361" s="9" t="s">
        <v>732</v>
      </c>
      <c r="E361" s="9">
        <v>160</v>
      </c>
      <c r="F361" s="10">
        <v>17632</v>
      </c>
      <c r="G361" s="10">
        <f>E361*F361</f>
        <v>2821120</v>
      </c>
      <c r="H361" s="23">
        <v>40</v>
      </c>
      <c r="I361" s="24">
        <v>17632</v>
      </c>
      <c r="J361" s="24">
        <f>H361*I361</f>
        <v>705280</v>
      </c>
      <c r="K361" s="27">
        <v>6</v>
      </c>
      <c r="L361" s="28">
        <v>17632</v>
      </c>
      <c r="M361" s="28">
        <f>K361*L361</f>
        <v>105792</v>
      </c>
      <c r="N361" s="23">
        <v>4</v>
      </c>
      <c r="O361" s="24">
        <v>17632</v>
      </c>
      <c r="P361" s="24">
        <f>N361*O361</f>
        <v>70528</v>
      </c>
    </row>
    <row r="362" spans="1:16" ht="17" thickBot="1" x14ac:dyDescent="0.25">
      <c r="G362" s="12">
        <f>SUM(G359:G361)</f>
        <v>5266574</v>
      </c>
      <c r="H362" s="2"/>
      <c r="J362" s="26">
        <f>SUM(J359:J361)</f>
        <v>1322794.3999999999</v>
      </c>
      <c r="K362" s="2"/>
      <c r="L362" s="3"/>
      <c r="M362" s="148">
        <f>SUM(M359:M361)</f>
        <v>171401.60000000001</v>
      </c>
      <c r="N362" s="2"/>
      <c r="O362" s="3"/>
      <c r="P362" s="26">
        <f>SUM(P359:P361)</f>
        <v>231234.40000000002</v>
      </c>
    </row>
    <row r="363" spans="1:16" ht="17" thickBot="1" x14ac:dyDescent="0.25">
      <c r="A363" s="30" t="s">
        <v>1649</v>
      </c>
      <c r="B363" s="77" t="s">
        <v>1648</v>
      </c>
      <c r="C363" s="2" t="s">
        <v>1647</v>
      </c>
      <c r="F363" s="2"/>
    </row>
    <row r="364" spans="1:16" ht="17" thickBot="1" x14ac:dyDescent="0.25">
      <c r="A364" s="9" t="s">
        <v>45</v>
      </c>
      <c r="B364" s="75"/>
      <c r="C364" s="155" t="s">
        <v>36</v>
      </c>
      <c r="D364" s="9" t="s">
        <v>198</v>
      </c>
      <c r="E364" s="9">
        <v>40</v>
      </c>
      <c r="F364" s="106">
        <v>9628</v>
      </c>
      <c r="G364" s="106">
        <f t="shared" ref="G364:G393" si="32">F364*E364</f>
        <v>385120</v>
      </c>
      <c r="H364" s="18"/>
      <c r="I364" s="178">
        <v>9628</v>
      </c>
      <c r="J364" s="178">
        <f t="shared" ref="J364:J378" si="33">I364*H364</f>
        <v>0</v>
      </c>
    </row>
    <row r="365" spans="1:16" ht="17" thickBot="1" x14ac:dyDescent="0.25">
      <c r="A365" s="9" t="s">
        <v>240</v>
      </c>
      <c r="B365" s="75"/>
      <c r="C365" s="155" t="s">
        <v>36</v>
      </c>
      <c r="D365" s="9" t="s">
        <v>303</v>
      </c>
      <c r="E365" s="9">
        <v>60</v>
      </c>
      <c r="F365" s="106">
        <v>6948.4</v>
      </c>
      <c r="G365" s="106">
        <f t="shared" si="32"/>
        <v>416904</v>
      </c>
      <c r="H365" s="18">
        <v>15</v>
      </c>
      <c r="I365" s="178">
        <v>6948.4</v>
      </c>
      <c r="J365" s="178">
        <f t="shared" si="33"/>
        <v>104226</v>
      </c>
    </row>
    <row r="366" spans="1:16" ht="17" thickBot="1" x14ac:dyDescent="0.25">
      <c r="A366" s="9" t="s">
        <v>1099</v>
      </c>
      <c r="B366" s="75"/>
      <c r="C366" s="155" t="s">
        <v>36</v>
      </c>
      <c r="D366" s="9" t="s">
        <v>122</v>
      </c>
      <c r="E366" s="9">
        <v>160</v>
      </c>
      <c r="F366" s="106">
        <v>3590.2</v>
      </c>
      <c r="G366" s="106">
        <f t="shared" si="32"/>
        <v>574432</v>
      </c>
      <c r="H366" s="18">
        <v>40</v>
      </c>
      <c r="I366" s="178">
        <v>3590.2</v>
      </c>
      <c r="J366" s="178">
        <f t="shared" si="33"/>
        <v>143608</v>
      </c>
    </row>
    <row r="367" spans="1:16" ht="17" thickBot="1" x14ac:dyDescent="0.25">
      <c r="A367" s="9" t="s">
        <v>45</v>
      </c>
      <c r="B367" s="75"/>
      <c r="C367" s="155" t="s">
        <v>36</v>
      </c>
      <c r="D367" s="9" t="s">
        <v>52</v>
      </c>
      <c r="E367" s="9">
        <v>40</v>
      </c>
      <c r="F367" s="106">
        <v>11600</v>
      </c>
      <c r="G367" s="106">
        <f t="shared" si="32"/>
        <v>464000</v>
      </c>
      <c r="H367" s="18"/>
      <c r="I367" s="178">
        <v>11600</v>
      </c>
      <c r="J367" s="178">
        <f t="shared" si="33"/>
        <v>0</v>
      </c>
    </row>
    <row r="368" spans="1:16" ht="17" thickBot="1" x14ac:dyDescent="0.25">
      <c r="A368" s="9" t="s">
        <v>240</v>
      </c>
      <c r="B368" s="75"/>
      <c r="C368" s="155" t="s">
        <v>36</v>
      </c>
      <c r="D368" s="9" t="s">
        <v>169</v>
      </c>
      <c r="E368" s="9">
        <v>40</v>
      </c>
      <c r="F368" s="106">
        <v>11948</v>
      </c>
      <c r="G368" s="106">
        <f t="shared" si="32"/>
        <v>477920</v>
      </c>
      <c r="H368" s="18">
        <v>10</v>
      </c>
      <c r="I368" s="178">
        <v>11948</v>
      </c>
      <c r="J368" s="178">
        <f t="shared" si="33"/>
        <v>119480</v>
      </c>
    </row>
    <row r="369" spans="1:10" ht="17" thickBot="1" x14ac:dyDescent="0.25">
      <c r="A369" s="9" t="s">
        <v>45</v>
      </c>
      <c r="B369" s="75"/>
      <c r="C369" s="155" t="s">
        <v>36</v>
      </c>
      <c r="D369" s="9" t="s">
        <v>1646</v>
      </c>
      <c r="E369" s="9">
        <v>40</v>
      </c>
      <c r="F369" s="106">
        <v>17388.400000000001</v>
      </c>
      <c r="G369" s="106">
        <f t="shared" si="32"/>
        <v>695536</v>
      </c>
      <c r="H369" s="18"/>
      <c r="I369" s="178">
        <v>17388.400000000001</v>
      </c>
      <c r="J369" s="178">
        <f t="shared" si="33"/>
        <v>0</v>
      </c>
    </row>
    <row r="370" spans="1:10" ht="17" thickBot="1" x14ac:dyDescent="0.25">
      <c r="A370" s="9" t="s">
        <v>46</v>
      </c>
      <c r="B370" s="75"/>
      <c r="C370" s="155" t="s">
        <v>36</v>
      </c>
      <c r="D370" s="9" t="s">
        <v>54</v>
      </c>
      <c r="E370" s="9">
        <v>60</v>
      </c>
      <c r="F370" s="106">
        <v>9628</v>
      </c>
      <c r="G370" s="106">
        <f t="shared" si="32"/>
        <v>577680</v>
      </c>
      <c r="H370" s="18"/>
      <c r="I370" s="178">
        <v>9628</v>
      </c>
      <c r="J370" s="178">
        <f t="shared" si="33"/>
        <v>0</v>
      </c>
    </row>
    <row r="371" spans="1:10" ht="17" thickBot="1" x14ac:dyDescent="0.25">
      <c r="A371" s="9" t="s">
        <v>239</v>
      </c>
      <c r="B371" s="75"/>
      <c r="C371" s="155" t="s">
        <v>36</v>
      </c>
      <c r="D371" s="9" t="s">
        <v>163</v>
      </c>
      <c r="E371" s="9">
        <v>40</v>
      </c>
      <c r="F371" s="106">
        <v>4756</v>
      </c>
      <c r="G371" s="106">
        <f t="shared" si="32"/>
        <v>190240</v>
      </c>
      <c r="H371" s="18"/>
      <c r="I371" s="178">
        <v>4756</v>
      </c>
      <c r="J371" s="178">
        <f t="shared" si="33"/>
        <v>0</v>
      </c>
    </row>
    <row r="372" spans="1:10" ht="17" thickBot="1" x14ac:dyDescent="0.25">
      <c r="A372" s="9" t="s">
        <v>285</v>
      </c>
      <c r="B372" s="75"/>
      <c r="C372" s="155" t="s">
        <v>36</v>
      </c>
      <c r="D372" s="9" t="s">
        <v>53</v>
      </c>
      <c r="E372" s="9">
        <v>40</v>
      </c>
      <c r="F372" s="106">
        <v>10788</v>
      </c>
      <c r="G372" s="106">
        <f t="shared" si="32"/>
        <v>431520</v>
      </c>
      <c r="H372" s="18">
        <v>6</v>
      </c>
      <c r="I372" s="178">
        <v>10788</v>
      </c>
      <c r="J372" s="178">
        <f t="shared" si="33"/>
        <v>64728</v>
      </c>
    </row>
    <row r="373" spans="1:10" ht="17" thickBot="1" x14ac:dyDescent="0.25">
      <c r="A373" s="9" t="s">
        <v>45</v>
      </c>
      <c r="B373" s="75"/>
      <c r="C373" s="155" t="s">
        <v>36</v>
      </c>
      <c r="D373" s="9" t="s">
        <v>39</v>
      </c>
      <c r="E373" s="9">
        <v>40</v>
      </c>
      <c r="F373" s="106">
        <v>17388.400000000001</v>
      </c>
      <c r="G373" s="106">
        <f t="shared" si="32"/>
        <v>695536</v>
      </c>
      <c r="H373" s="18"/>
      <c r="I373" s="178">
        <v>17388.400000000001</v>
      </c>
      <c r="J373" s="178">
        <f t="shared" si="33"/>
        <v>0</v>
      </c>
    </row>
    <row r="374" spans="1:10" ht="17" thickBot="1" x14ac:dyDescent="0.25">
      <c r="A374" s="9" t="s">
        <v>239</v>
      </c>
      <c r="B374" s="75"/>
      <c r="C374" s="155" t="s">
        <v>36</v>
      </c>
      <c r="D374" s="9" t="s">
        <v>80</v>
      </c>
      <c r="E374" s="9">
        <v>40</v>
      </c>
      <c r="F374" s="106">
        <v>6728</v>
      </c>
      <c r="G374" s="106">
        <f t="shared" si="32"/>
        <v>269120</v>
      </c>
      <c r="H374" s="18"/>
      <c r="I374" s="178">
        <v>6728</v>
      </c>
      <c r="J374" s="178">
        <f t="shared" si="33"/>
        <v>0</v>
      </c>
    </row>
    <row r="375" spans="1:10" ht="17" thickBot="1" x14ac:dyDescent="0.25">
      <c r="A375" s="9" t="s">
        <v>242</v>
      </c>
      <c r="B375" s="75"/>
      <c r="C375" s="155" t="s">
        <v>36</v>
      </c>
      <c r="D375" s="9" t="s">
        <v>312</v>
      </c>
      <c r="E375" s="9">
        <v>40</v>
      </c>
      <c r="F375" s="106">
        <v>4321</v>
      </c>
      <c r="G375" s="106">
        <f t="shared" si="32"/>
        <v>172840</v>
      </c>
      <c r="H375" s="18"/>
      <c r="I375" s="178">
        <v>4321</v>
      </c>
      <c r="J375" s="178">
        <f t="shared" si="33"/>
        <v>0</v>
      </c>
    </row>
    <row r="376" spans="1:10" ht="17" thickBot="1" x14ac:dyDescent="0.25">
      <c r="A376" s="9" t="s">
        <v>290</v>
      </c>
      <c r="B376" s="75"/>
      <c r="C376" s="155" t="s">
        <v>36</v>
      </c>
      <c r="D376" s="9" t="s">
        <v>1147</v>
      </c>
      <c r="E376" s="9">
        <v>100</v>
      </c>
      <c r="F376" s="106">
        <v>4930</v>
      </c>
      <c r="G376" s="106">
        <f t="shared" si="32"/>
        <v>493000</v>
      </c>
      <c r="H376" s="18"/>
      <c r="I376" s="178">
        <v>4930</v>
      </c>
      <c r="J376" s="178">
        <f t="shared" si="33"/>
        <v>0</v>
      </c>
    </row>
    <row r="377" spans="1:10" ht="17" thickBot="1" x14ac:dyDescent="0.25">
      <c r="A377" s="9" t="s">
        <v>45</v>
      </c>
      <c r="B377" s="75"/>
      <c r="C377" s="155" t="s">
        <v>36</v>
      </c>
      <c r="D377" s="9" t="s">
        <v>165</v>
      </c>
      <c r="E377" s="9">
        <v>40</v>
      </c>
      <c r="F377" s="106">
        <v>17284</v>
      </c>
      <c r="G377" s="106">
        <f t="shared" si="32"/>
        <v>691360</v>
      </c>
      <c r="H377" s="18">
        <v>3</v>
      </c>
      <c r="I377" s="178">
        <v>17284</v>
      </c>
      <c r="J377" s="178">
        <f t="shared" si="33"/>
        <v>51852</v>
      </c>
    </row>
    <row r="378" spans="1:10" ht="17" thickBot="1" x14ac:dyDescent="0.25">
      <c r="A378" s="9" t="s">
        <v>239</v>
      </c>
      <c r="B378" s="75"/>
      <c r="C378" s="155" t="s">
        <v>36</v>
      </c>
      <c r="D378" s="9" t="s">
        <v>110</v>
      </c>
      <c r="E378" s="9">
        <v>60</v>
      </c>
      <c r="F378" s="106">
        <v>8700</v>
      </c>
      <c r="G378" s="106">
        <f t="shared" si="32"/>
        <v>522000</v>
      </c>
      <c r="H378" s="18"/>
      <c r="I378" s="178">
        <v>8700</v>
      </c>
      <c r="J378" s="178">
        <f t="shared" si="33"/>
        <v>0</v>
      </c>
    </row>
    <row r="379" spans="1:10" ht="17" thickBot="1" x14ac:dyDescent="0.25">
      <c r="A379" s="187" t="s">
        <v>177</v>
      </c>
      <c r="B379" s="205"/>
      <c r="C379" s="189" t="s">
        <v>36</v>
      </c>
      <c r="D379" s="187" t="s">
        <v>306</v>
      </c>
      <c r="E379" s="187">
        <v>144</v>
      </c>
      <c r="F379" s="188">
        <v>118000</v>
      </c>
      <c r="G379" s="188">
        <v>16992000.350000001</v>
      </c>
      <c r="H379" s="219">
        <v>36</v>
      </c>
      <c r="I379" s="220">
        <v>118000</v>
      </c>
      <c r="J379" s="220">
        <v>4248000.09</v>
      </c>
    </row>
    <row r="380" spans="1:10" ht="17" thickBot="1" x14ac:dyDescent="0.25">
      <c r="A380" s="9" t="s">
        <v>45</v>
      </c>
      <c r="B380" s="75"/>
      <c r="C380" s="155" t="s">
        <v>36</v>
      </c>
      <c r="D380" s="9" t="s">
        <v>112</v>
      </c>
      <c r="E380" s="9">
        <v>40</v>
      </c>
      <c r="F380" s="106">
        <v>16240</v>
      </c>
      <c r="G380" s="106">
        <f t="shared" si="32"/>
        <v>649600</v>
      </c>
      <c r="H380" s="18"/>
      <c r="I380" s="178">
        <v>16240</v>
      </c>
      <c r="J380" s="178">
        <f t="shared" ref="J380:J393" si="34">I380*H380</f>
        <v>0</v>
      </c>
    </row>
    <row r="381" spans="1:10" ht="17" thickBot="1" x14ac:dyDescent="0.25">
      <c r="A381" s="9" t="s">
        <v>243</v>
      </c>
      <c r="B381" s="75"/>
      <c r="C381" s="155" t="s">
        <v>36</v>
      </c>
      <c r="D381" s="9" t="s">
        <v>125</v>
      </c>
      <c r="E381" s="9">
        <v>60</v>
      </c>
      <c r="F381" s="106">
        <v>7772</v>
      </c>
      <c r="G381" s="106">
        <f t="shared" si="32"/>
        <v>466320</v>
      </c>
      <c r="H381" s="18"/>
      <c r="I381" s="178">
        <v>7772</v>
      </c>
      <c r="J381" s="178">
        <f t="shared" si="34"/>
        <v>0</v>
      </c>
    </row>
    <row r="382" spans="1:10" ht="17" thickBot="1" x14ac:dyDescent="0.25">
      <c r="A382" s="9" t="s">
        <v>45</v>
      </c>
      <c r="B382" s="75"/>
      <c r="C382" s="155" t="s">
        <v>36</v>
      </c>
      <c r="D382" s="9" t="s">
        <v>295</v>
      </c>
      <c r="E382" s="9">
        <v>40</v>
      </c>
      <c r="F382" s="106">
        <v>11948</v>
      </c>
      <c r="G382" s="106">
        <f t="shared" si="32"/>
        <v>477920</v>
      </c>
      <c r="H382" s="18"/>
      <c r="I382" s="178">
        <v>11948</v>
      </c>
      <c r="J382" s="178">
        <f t="shared" si="34"/>
        <v>0</v>
      </c>
    </row>
    <row r="383" spans="1:10" ht="17" thickBot="1" x14ac:dyDescent="0.25">
      <c r="A383" s="9" t="s">
        <v>240</v>
      </c>
      <c r="B383" s="75"/>
      <c r="C383" s="155" t="s">
        <v>36</v>
      </c>
      <c r="D383" s="9" t="s">
        <v>411</v>
      </c>
      <c r="E383" s="9">
        <v>40</v>
      </c>
      <c r="F383" s="106">
        <v>3625</v>
      </c>
      <c r="G383" s="106">
        <f t="shared" si="32"/>
        <v>145000</v>
      </c>
      <c r="H383" s="18"/>
      <c r="I383" s="178">
        <v>3625</v>
      </c>
      <c r="J383" s="178">
        <f t="shared" si="34"/>
        <v>0</v>
      </c>
    </row>
    <row r="384" spans="1:10" ht="17" thickBot="1" x14ac:dyDescent="0.25">
      <c r="A384" s="9" t="s">
        <v>45</v>
      </c>
      <c r="B384" s="75"/>
      <c r="C384" s="155" t="s">
        <v>36</v>
      </c>
      <c r="D384" s="9" t="s">
        <v>113</v>
      </c>
      <c r="E384" s="9">
        <v>40</v>
      </c>
      <c r="F384" s="106">
        <v>10440</v>
      </c>
      <c r="G384" s="106">
        <f t="shared" si="32"/>
        <v>417600</v>
      </c>
      <c r="H384" s="18"/>
      <c r="I384" s="178">
        <v>10440</v>
      </c>
      <c r="J384" s="178">
        <f t="shared" si="34"/>
        <v>0</v>
      </c>
    </row>
    <row r="385" spans="1:10" ht="17" thickBot="1" x14ac:dyDescent="0.25">
      <c r="A385" s="9" t="s">
        <v>140</v>
      </c>
      <c r="B385" s="75"/>
      <c r="C385" s="155" t="s">
        <v>36</v>
      </c>
      <c r="D385" s="9" t="s">
        <v>1209</v>
      </c>
      <c r="E385" s="9">
        <v>100</v>
      </c>
      <c r="F385" s="106">
        <v>7598</v>
      </c>
      <c r="G385" s="106">
        <f t="shared" si="32"/>
        <v>759800</v>
      </c>
      <c r="H385" s="18">
        <v>25</v>
      </c>
      <c r="I385" s="178">
        <v>7598</v>
      </c>
      <c r="J385" s="178">
        <f t="shared" si="34"/>
        <v>189950</v>
      </c>
    </row>
    <row r="386" spans="1:10" ht="17" thickBot="1" x14ac:dyDescent="0.25">
      <c r="A386" s="9" t="s">
        <v>140</v>
      </c>
      <c r="B386" s="75"/>
      <c r="C386" s="155" t="s">
        <v>36</v>
      </c>
      <c r="D386" s="9" t="s">
        <v>41</v>
      </c>
      <c r="E386" s="9">
        <v>60</v>
      </c>
      <c r="F386" s="106">
        <v>17400</v>
      </c>
      <c r="G386" s="106">
        <f t="shared" si="32"/>
        <v>1044000</v>
      </c>
      <c r="H386" s="18"/>
      <c r="I386" s="178">
        <v>17400</v>
      </c>
      <c r="J386" s="178">
        <f t="shared" si="34"/>
        <v>0</v>
      </c>
    </row>
    <row r="387" spans="1:10" ht="17" thickBot="1" x14ac:dyDescent="0.25">
      <c r="A387" s="9" t="s">
        <v>243</v>
      </c>
      <c r="B387" s="75"/>
      <c r="C387" s="155" t="s">
        <v>36</v>
      </c>
      <c r="D387" s="9" t="s">
        <v>246</v>
      </c>
      <c r="E387" s="9">
        <v>40</v>
      </c>
      <c r="F387" s="106">
        <v>9512</v>
      </c>
      <c r="G387" s="106">
        <f t="shared" si="32"/>
        <v>380480</v>
      </c>
      <c r="H387" s="18"/>
      <c r="I387" s="178">
        <v>9512</v>
      </c>
      <c r="J387" s="178">
        <f t="shared" si="34"/>
        <v>0</v>
      </c>
    </row>
    <row r="388" spans="1:10" ht="17" thickBot="1" x14ac:dyDescent="0.25">
      <c r="A388" s="9" t="s">
        <v>239</v>
      </c>
      <c r="B388" s="75"/>
      <c r="C388" s="155" t="s">
        <v>36</v>
      </c>
      <c r="D388" s="9" t="s">
        <v>393</v>
      </c>
      <c r="E388" s="9">
        <v>60</v>
      </c>
      <c r="F388" s="106">
        <v>4176</v>
      </c>
      <c r="G388" s="106">
        <f t="shared" si="32"/>
        <v>250560</v>
      </c>
      <c r="H388" s="18"/>
      <c r="I388" s="178">
        <v>4176</v>
      </c>
      <c r="J388" s="178">
        <f t="shared" si="34"/>
        <v>0</v>
      </c>
    </row>
    <row r="389" spans="1:10" ht="17" thickBot="1" x14ac:dyDescent="0.25">
      <c r="A389" s="9" t="s">
        <v>45</v>
      </c>
      <c r="B389" s="75"/>
      <c r="C389" s="155" t="s">
        <v>36</v>
      </c>
      <c r="D389" s="9" t="s">
        <v>120</v>
      </c>
      <c r="E389" s="9">
        <v>40</v>
      </c>
      <c r="F389" s="106">
        <v>12064</v>
      </c>
      <c r="G389" s="106">
        <f t="shared" si="32"/>
        <v>482560</v>
      </c>
      <c r="H389" s="18"/>
      <c r="I389" s="178">
        <v>12064</v>
      </c>
      <c r="J389" s="178">
        <f t="shared" si="34"/>
        <v>0</v>
      </c>
    </row>
    <row r="390" spans="1:10" ht="17" thickBot="1" x14ac:dyDescent="0.25">
      <c r="A390" s="9" t="s">
        <v>45</v>
      </c>
      <c r="B390" s="75"/>
      <c r="C390" s="155" t="s">
        <v>36</v>
      </c>
      <c r="D390" s="9" t="s">
        <v>167</v>
      </c>
      <c r="E390" s="9">
        <v>40</v>
      </c>
      <c r="F390" s="106">
        <v>12644</v>
      </c>
      <c r="G390" s="106">
        <f t="shared" si="32"/>
        <v>505760</v>
      </c>
      <c r="H390" s="18"/>
      <c r="I390" s="178">
        <v>12644</v>
      </c>
      <c r="J390" s="178">
        <f t="shared" si="34"/>
        <v>0</v>
      </c>
    </row>
    <row r="391" spans="1:10" ht="17" thickBot="1" x14ac:dyDescent="0.25">
      <c r="A391" s="9" t="s">
        <v>45</v>
      </c>
      <c r="B391" s="75"/>
      <c r="C391" s="155" t="s">
        <v>36</v>
      </c>
      <c r="D391" s="9" t="s">
        <v>339</v>
      </c>
      <c r="E391" s="9">
        <v>60</v>
      </c>
      <c r="F391" s="106">
        <v>13920</v>
      </c>
      <c r="G391" s="106">
        <f t="shared" si="32"/>
        <v>835200</v>
      </c>
      <c r="H391" s="18"/>
      <c r="I391" s="178">
        <v>13920</v>
      </c>
      <c r="J391" s="178">
        <f t="shared" si="34"/>
        <v>0</v>
      </c>
    </row>
    <row r="392" spans="1:10" ht="17" thickBot="1" x14ac:dyDescent="0.25">
      <c r="A392" s="9" t="s">
        <v>242</v>
      </c>
      <c r="B392" s="75"/>
      <c r="C392" s="155" t="s">
        <v>36</v>
      </c>
      <c r="D392" s="9" t="s">
        <v>794</v>
      </c>
      <c r="E392" s="9">
        <v>50</v>
      </c>
      <c r="F392" s="106">
        <v>17226</v>
      </c>
      <c r="G392" s="106">
        <f t="shared" si="32"/>
        <v>861300</v>
      </c>
      <c r="H392" s="18">
        <v>18</v>
      </c>
      <c r="I392" s="178">
        <v>17226</v>
      </c>
      <c r="J392" s="178">
        <f t="shared" si="34"/>
        <v>310068</v>
      </c>
    </row>
    <row r="393" spans="1:10" ht="17" thickBot="1" x14ac:dyDescent="0.25">
      <c r="A393" s="9" t="s">
        <v>238</v>
      </c>
      <c r="B393" s="75"/>
      <c r="C393" s="155" t="s">
        <v>36</v>
      </c>
      <c r="D393" s="9" t="s">
        <v>244</v>
      </c>
      <c r="E393" s="9">
        <v>40</v>
      </c>
      <c r="F393" s="106">
        <v>17400</v>
      </c>
      <c r="G393" s="106">
        <f t="shared" si="32"/>
        <v>696000</v>
      </c>
      <c r="H393" s="18"/>
      <c r="I393" s="178">
        <v>17400</v>
      </c>
      <c r="J393" s="178">
        <f t="shared" si="34"/>
        <v>0</v>
      </c>
    </row>
    <row r="394" spans="1:10" ht="17" thickBot="1" x14ac:dyDescent="0.25">
      <c r="A394" s="2"/>
      <c r="F394" s="2"/>
      <c r="G394" s="103">
        <f>SUM(G364:G393)</f>
        <v>32021308.350000001</v>
      </c>
      <c r="H394" s="2"/>
      <c r="I394" s="2"/>
      <c r="J394" s="114">
        <f>SUM(J364:J393)</f>
        <v>5231912.09</v>
      </c>
    </row>
    <row r="395" spans="1:10" ht="17" thickBot="1" x14ac:dyDescent="0.25">
      <c r="A395" s="30" t="s">
        <v>2030</v>
      </c>
      <c r="F395" s="2"/>
      <c r="G395" s="107"/>
      <c r="H395" s="2"/>
      <c r="I395" s="2"/>
      <c r="J395" s="107"/>
    </row>
    <row r="396" spans="1:10" ht="17" thickBot="1" x14ac:dyDescent="0.25">
      <c r="A396" s="9" t="s">
        <v>58</v>
      </c>
      <c r="B396" s="75"/>
      <c r="C396" s="9" t="s">
        <v>332</v>
      </c>
      <c r="D396" s="9" t="s">
        <v>264</v>
      </c>
      <c r="E396" s="9">
        <v>144</v>
      </c>
      <c r="F396" s="20">
        <v>117972</v>
      </c>
      <c r="G396" s="103">
        <f>F396*E396</f>
        <v>16987968</v>
      </c>
      <c r="H396" s="2"/>
      <c r="I396" s="2"/>
      <c r="J396" s="107"/>
    </row>
    <row r="397" spans="1:10" x14ac:dyDescent="0.2">
      <c r="A397" s="2"/>
      <c r="F397" s="2"/>
      <c r="G397" s="107"/>
      <c r="H397" s="2"/>
      <c r="I397" s="2"/>
      <c r="J397" s="107"/>
    </row>
    <row r="398" spans="1:10" ht="17" thickBot="1" x14ac:dyDescent="0.25">
      <c r="A398" s="30" t="s">
        <v>2031</v>
      </c>
      <c r="F398" s="2"/>
      <c r="G398" s="107"/>
      <c r="H398" s="2"/>
      <c r="I398" s="2"/>
      <c r="J398" s="107"/>
    </row>
    <row r="399" spans="1:10" ht="17" thickBot="1" x14ac:dyDescent="0.25">
      <c r="A399" s="9" t="s">
        <v>200</v>
      </c>
      <c r="B399" s="75"/>
      <c r="C399" s="155" t="s">
        <v>36</v>
      </c>
      <c r="D399" s="9" t="s">
        <v>204</v>
      </c>
      <c r="E399" s="9">
        <v>92</v>
      </c>
      <c r="F399" s="20">
        <v>11356.4</v>
      </c>
      <c r="G399" s="243">
        <f>F399*E399</f>
        <v>1044788.7999999999</v>
      </c>
      <c r="H399" s="23"/>
      <c r="I399" s="24">
        <v>11356.4</v>
      </c>
      <c r="J399" s="245">
        <f>I399*H399</f>
        <v>0</v>
      </c>
    </row>
    <row r="400" spans="1:10" ht="17" thickBot="1" x14ac:dyDescent="0.25">
      <c r="A400" s="9" t="s">
        <v>239</v>
      </c>
      <c r="B400" s="75"/>
      <c r="C400" s="155" t="s">
        <v>36</v>
      </c>
      <c r="D400" s="9" t="s">
        <v>393</v>
      </c>
      <c r="E400" s="9">
        <v>40</v>
      </c>
      <c r="F400" s="20">
        <v>4930</v>
      </c>
      <c r="G400" s="243">
        <f t="shared" ref="G400:G420" si="35">F400*E400</f>
        <v>197200</v>
      </c>
      <c r="H400" s="23"/>
      <c r="I400" s="24">
        <v>4930</v>
      </c>
      <c r="J400" s="245">
        <f t="shared" ref="J400:J420" si="36">I400*H400</f>
        <v>0</v>
      </c>
    </row>
    <row r="401" spans="1:10" ht="17" thickBot="1" x14ac:dyDescent="0.25">
      <c r="A401" s="9" t="s">
        <v>240</v>
      </c>
      <c r="B401" s="75"/>
      <c r="C401" s="155" t="s">
        <v>36</v>
      </c>
      <c r="D401" s="9" t="s">
        <v>300</v>
      </c>
      <c r="E401" s="9">
        <v>40</v>
      </c>
      <c r="F401" s="20">
        <v>3596</v>
      </c>
      <c r="G401" s="243">
        <f t="shared" si="35"/>
        <v>143840</v>
      </c>
      <c r="H401" s="23"/>
      <c r="I401" s="24">
        <v>3596</v>
      </c>
      <c r="J401" s="245">
        <f t="shared" si="36"/>
        <v>0</v>
      </c>
    </row>
    <row r="402" spans="1:10" ht="17" thickBot="1" x14ac:dyDescent="0.25">
      <c r="A402" s="9" t="s">
        <v>243</v>
      </c>
      <c r="B402" s="75"/>
      <c r="C402" s="155" t="s">
        <v>36</v>
      </c>
      <c r="D402" s="9" t="s">
        <v>125</v>
      </c>
      <c r="E402" s="9">
        <v>20</v>
      </c>
      <c r="F402" s="20">
        <v>7772</v>
      </c>
      <c r="G402" s="243">
        <f t="shared" si="35"/>
        <v>155440</v>
      </c>
      <c r="H402" s="23"/>
      <c r="I402" s="24">
        <v>7772</v>
      </c>
      <c r="J402" s="245">
        <f t="shared" si="36"/>
        <v>0</v>
      </c>
    </row>
    <row r="403" spans="1:10" ht="17" thickBot="1" x14ac:dyDescent="0.25">
      <c r="A403" s="9" t="s">
        <v>45</v>
      </c>
      <c r="B403" s="75"/>
      <c r="C403" s="155" t="s">
        <v>36</v>
      </c>
      <c r="D403" s="9" t="s">
        <v>295</v>
      </c>
      <c r="E403" s="9">
        <v>20</v>
      </c>
      <c r="F403" s="20">
        <v>11600</v>
      </c>
      <c r="G403" s="243">
        <f t="shared" si="35"/>
        <v>232000</v>
      </c>
      <c r="H403" s="23">
        <v>16</v>
      </c>
      <c r="I403" s="24">
        <v>11600</v>
      </c>
      <c r="J403" s="245">
        <f t="shared" si="36"/>
        <v>185600</v>
      </c>
    </row>
    <row r="404" spans="1:10" ht="17" thickBot="1" x14ac:dyDescent="0.25">
      <c r="A404" s="9" t="s">
        <v>285</v>
      </c>
      <c r="B404" s="75"/>
      <c r="C404" s="155" t="s">
        <v>36</v>
      </c>
      <c r="D404" s="9" t="s">
        <v>298</v>
      </c>
      <c r="E404" s="9">
        <v>40</v>
      </c>
      <c r="F404" s="20">
        <v>16066</v>
      </c>
      <c r="G404" s="243">
        <f t="shared" si="35"/>
        <v>642640</v>
      </c>
      <c r="H404" s="23">
        <v>5</v>
      </c>
      <c r="I404" s="24">
        <v>16066</v>
      </c>
      <c r="J404" s="245">
        <f t="shared" si="36"/>
        <v>80330</v>
      </c>
    </row>
    <row r="405" spans="1:10" ht="17" thickBot="1" x14ac:dyDescent="0.25">
      <c r="A405" s="9" t="s">
        <v>240</v>
      </c>
      <c r="B405" s="75"/>
      <c r="C405" s="155" t="s">
        <v>36</v>
      </c>
      <c r="D405" s="9" t="s">
        <v>402</v>
      </c>
      <c r="E405" s="9">
        <v>40</v>
      </c>
      <c r="F405" s="20">
        <v>2900</v>
      </c>
      <c r="G405" s="243">
        <f t="shared" si="35"/>
        <v>116000</v>
      </c>
      <c r="H405" s="23">
        <v>10</v>
      </c>
      <c r="I405" s="24">
        <v>2900</v>
      </c>
      <c r="J405" s="245">
        <f t="shared" si="36"/>
        <v>29000</v>
      </c>
    </row>
    <row r="406" spans="1:10" ht="17" thickBot="1" x14ac:dyDescent="0.25">
      <c r="A406" s="9" t="s">
        <v>239</v>
      </c>
      <c r="B406" s="75"/>
      <c r="C406" s="155" t="s">
        <v>36</v>
      </c>
      <c r="D406" s="9" t="s">
        <v>163</v>
      </c>
      <c r="E406" s="9">
        <v>40</v>
      </c>
      <c r="F406" s="20">
        <v>7540</v>
      </c>
      <c r="G406" s="243">
        <f t="shared" si="35"/>
        <v>301600</v>
      </c>
      <c r="H406" s="23"/>
      <c r="I406" s="24">
        <v>7540</v>
      </c>
      <c r="J406" s="245">
        <f t="shared" si="36"/>
        <v>0</v>
      </c>
    </row>
    <row r="407" spans="1:10" ht="17" thickBot="1" x14ac:dyDescent="0.25">
      <c r="A407" s="9" t="s">
        <v>243</v>
      </c>
      <c r="B407" s="75"/>
      <c r="C407" s="155" t="s">
        <v>36</v>
      </c>
      <c r="D407" s="9" t="s">
        <v>246</v>
      </c>
      <c r="E407" s="9">
        <v>20</v>
      </c>
      <c r="F407" s="20">
        <v>8700</v>
      </c>
      <c r="G407" s="243">
        <f t="shared" si="35"/>
        <v>174000</v>
      </c>
      <c r="H407" s="23"/>
      <c r="I407" s="24">
        <v>8700</v>
      </c>
      <c r="J407" s="245">
        <f t="shared" si="36"/>
        <v>0</v>
      </c>
    </row>
    <row r="408" spans="1:10" ht="17" thickBot="1" x14ac:dyDescent="0.25">
      <c r="A408" s="9" t="s">
        <v>242</v>
      </c>
      <c r="B408" s="75"/>
      <c r="C408" s="155" t="s">
        <v>36</v>
      </c>
      <c r="D408" s="9" t="s">
        <v>1107</v>
      </c>
      <c r="E408" s="9">
        <v>20</v>
      </c>
      <c r="F408" s="20">
        <v>11832</v>
      </c>
      <c r="G408" s="243">
        <f t="shared" si="35"/>
        <v>236640</v>
      </c>
      <c r="H408" s="23"/>
      <c r="I408" s="24">
        <v>11832</v>
      </c>
      <c r="J408" s="245">
        <f t="shared" si="36"/>
        <v>0</v>
      </c>
    </row>
    <row r="409" spans="1:10" ht="17" thickBot="1" x14ac:dyDescent="0.25">
      <c r="A409" s="9" t="s">
        <v>242</v>
      </c>
      <c r="B409" s="75"/>
      <c r="C409" s="155" t="s">
        <v>36</v>
      </c>
      <c r="D409" s="9" t="s">
        <v>293</v>
      </c>
      <c r="E409" s="9">
        <v>40</v>
      </c>
      <c r="F409" s="20">
        <v>11588.4</v>
      </c>
      <c r="G409" s="243">
        <f t="shared" si="35"/>
        <v>463536</v>
      </c>
      <c r="H409" s="23">
        <v>10</v>
      </c>
      <c r="I409" s="24">
        <v>11588.4</v>
      </c>
      <c r="J409" s="245">
        <f t="shared" si="36"/>
        <v>115884</v>
      </c>
    </row>
    <row r="410" spans="1:10" ht="17" thickBot="1" x14ac:dyDescent="0.25">
      <c r="A410" s="9" t="s">
        <v>242</v>
      </c>
      <c r="B410" s="75"/>
      <c r="C410" s="155" t="s">
        <v>36</v>
      </c>
      <c r="D410" s="9" t="s">
        <v>312</v>
      </c>
      <c r="E410" s="9">
        <v>100</v>
      </c>
      <c r="F410" s="20">
        <v>4321</v>
      </c>
      <c r="G410" s="243">
        <f t="shared" si="35"/>
        <v>432100</v>
      </c>
      <c r="H410" s="23"/>
      <c r="I410" s="24">
        <v>4321</v>
      </c>
      <c r="J410" s="245">
        <f t="shared" si="36"/>
        <v>0</v>
      </c>
    </row>
    <row r="411" spans="1:10" ht="17" thickBot="1" x14ac:dyDescent="0.25">
      <c r="A411" s="9" t="s">
        <v>283</v>
      </c>
      <c r="B411" s="75"/>
      <c r="C411" s="155" t="s">
        <v>36</v>
      </c>
      <c r="D411" s="9" t="s">
        <v>297</v>
      </c>
      <c r="E411" s="9">
        <v>100</v>
      </c>
      <c r="F411" s="20">
        <v>2833.88</v>
      </c>
      <c r="G411" s="243">
        <f t="shared" si="35"/>
        <v>283388</v>
      </c>
      <c r="H411" s="23"/>
      <c r="I411" s="24">
        <v>2833.88</v>
      </c>
      <c r="J411" s="245">
        <f t="shared" si="36"/>
        <v>0</v>
      </c>
    </row>
    <row r="412" spans="1:10" ht="17" thickBot="1" x14ac:dyDescent="0.25">
      <c r="A412" s="9" t="s">
        <v>45</v>
      </c>
      <c r="B412" s="75"/>
      <c r="C412" s="155" t="s">
        <v>36</v>
      </c>
      <c r="D412" s="9" t="s">
        <v>294</v>
      </c>
      <c r="E412" s="9">
        <v>20</v>
      </c>
      <c r="F412" s="20">
        <v>17400</v>
      </c>
      <c r="G412" s="243">
        <f t="shared" si="35"/>
        <v>348000</v>
      </c>
      <c r="H412" s="23"/>
      <c r="I412" s="24">
        <v>17400</v>
      </c>
      <c r="J412" s="245">
        <f t="shared" si="36"/>
        <v>0</v>
      </c>
    </row>
    <row r="413" spans="1:10" ht="17" thickBot="1" x14ac:dyDescent="0.25">
      <c r="A413" s="9" t="s">
        <v>45</v>
      </c>
      <c r="B413" s="75"/>
      <c r="C413" s="155" t="s">
        <v>36</v>
      </c>
      <c r="D413" s="9" t="s">
        <v>39</v>
      </c>
      <c r="E413" s="9">
        <v>20</v>
      </c>
      <c r="F413" s="20">
        <v>18328</v>
      </c>
      <c r="G413" s="243">
        <f t="shared" si="35"/>
        <v>366560</v>
      </c>
      <c r="H413" s="23"/>
      <c r="I413" s="24">
        <v>18328</v>
      </c>
      <c r="J413" s="245">
        <f t="shared" si="36"/>
        <v>0</v>
      </c>
    </row>
    <row r="414" spans="1:10" ht="17" thickBot="1" x14ac:dyDescent="0.25">
      <c r="A414" s="9" t="s">
        <v>140</v>
      </c>
      <c r="B414" s="75"/>
      <c r="C414" s="155" t="s">
        <v>36</v>
      </c>
      <c r="D414" s="9" t="s">
        <v>296</v>
      </c>
      <c r="E414" s="9">
        <v>100</v>
      </c>
      <c r="F414" s="20">
        <v>7799.84</v>
      </c>
      <c r="G414" s="243">
        <f t="shared" si="35"/>
        <v>779984</v>
      </c>
      <c r="H414" s="23">
        <v>25</v>
      </c>
      <c r="I414" s="24">
        <v>7799.84</v>
      </c>
      <c r="J414" s="245">
        <f t="shared" si="36"/>
        <v>194996</v>
      </c>
    </row>
    <row r="415" spans="1:10" ht="17" thickBot="1" x14ac:dyDescent="0.25">
      <c r="A415" s="9" t="s">
        <v>240</v>
      </c>
      <c r="B415" s="75"/>
      <c r="C415" s="155" t="s">
        <v>36</v>
      </c>
      <c r="D415" s="9" t="s">
        <v>169</v>
      </c>
      <c r="E415" s="9">
        <v>20</v>
      </c>
      <c r="F415" s="20">
        <v>11948</v>
      </c>
      <c r="G415" s="243">
        <f t="shared" si="35"/>
        <v>238960</v>
      </c>
      <c r="H415" s="23">
        <v>10</v>
      </c>
      <c r="I415" s="24">
        <v>11948</v>
      </c>
      <c r="J415" s="245">
        <f t="shared" si="36"/>
        <v>119480</v>
      </c>
    </row>
    <row r="416" spans="1:10" ht="17" thickBot="1" x14ac:dyDescent="0.25">
      <c r="A416" s="9" t="s">
        <v>285</v>
      </c>
      <c r="B416" s="75"/>
      <c r="C416" s="155" t="s">
        <v>36</v>
      </c>
      <c r="D416" s="9" t="s">
        <v>302</v>
      </c>
      <c r="E416" s="9">
        <v>40</v>
      </c>
      <c r="F416" s="20">
        <v>15196</v>
      </c>
      <c r="G416" s="243">
        <f t="shared" si="35"/>
        <v>607840</v>
      </c>
      <c r="H416" s="23"/>
      <c r="I416" s="24">
        <v>15196</v>
      </c>
      <c r="J416" s="245">
        <f t="shared" si="36"/>
        <v>0</v>
      </c>
    </row>
    <row r="417" spans="1:10" ht="17" thickBot="1" x14ac:dyDescent="0.25">
      <c r="A417" s="9" t="s">
        <v>290</v>
      </c>
      <c r="B417" s="75"/>
      <c r="C417" s="155" t="s">
        <v>36</v>
      </c>
      <c r="D417" s="9" t="s">
        <v>1147</v>
      </c>
      <c r="E417" s="9">
        <v>100</v>
      </c>
      <c r="F417" s="20">
        <v>6913.6</v>
      </c>
      <c r="G417" s="243">
        <f t="shared" si="35"/>
        <v>691360</v>
      </c>
      <c r="H417" s="23"/>
      <c r="I417" s="24">
        <v>6913.6</v>
      </c>
      <c r="J417" s="245">
        <f t="shared" si="36"/>
        <v>0</v>
      </c>
    </row>
    <row r="418" spans="1:10" ht="17" thickBot="1" x14ac:dyDescent="0.25">
      <c r="A418" s="9" t="s">
        <v>1099</v>
      </c>
      <c r="B418" s="75"/>
      <c r="C418" s="155" t="s">
        <v>36</v>
      </c>
      <c r="D418" s="9" t="s">
        <v>122</v>
      </c>
      <c r="E418" s="9">
        <v>200</v>
      </c>
      <c r="F418" s="20">
        <v>5916</v>
      </c>
      <c r="G418" s="243">
        <f t="shared" si="35"/>
        <v>1183200</v>
      </c>
      <c r="H418" s="23">
        <v>81</v>
      </c>
      <c r="I418" s="24">
        <v>5916</v>
      </c>
      <c r="J418" s="245">
        <f t="shared" si="36"/>
        <v>479196</v>
      </c>
    </row>
    <row r="419" spans="1:10" ht="17" thickBot="1" x14ac:dyDescent="0.25">
      <c r="A419" s="9" t="s">
        <v>240</v>
      </c>
      <c r="B419" s="75"/>
      <c r="C419" s="155" t="s">
        <v>36</v>
      </c>
      <c r="D419" s="9" t="s">
        <v>303</v>
      </c>
      <c r="E419" s="9">
        <v>40</v>
      </c>
      <c r="F419" s="20">
        <v>7772</v>
      </c>
      <c r="G419" s="243">
        <f t="shared" si="35"/>
        <v>310880</v>
      </c>
      <c r="H419" s="23">
        <v>15</v>
      </c>
      <c r="I419" s="24">
        <v>7772</v>
      </c>
      <c r="J419" s="245">
        <f t="shared" si="36"/>
        <v>116580</v>
      </c>
    </row>
    <row r="420" spans="1:10" ht="17" thickBot="1" x14ac:dyDescent="0.25">
      <c r="A420" s="9" t="s">
        <v>45</v>
      </c>
      <c r="B420" s="75"/>
      <c r="C420" s="155" t="s">
        <v>36</v>
      </c>
      <c r="D420" s="9" t="s">
        <v>198</v>
      </c>
      <c r="E420" s="9">
        <v>20</v>
      </c>
      <c r="F420" s="20">
        <v>9732.4</v>
      </c>
      <c r="G420" s="243">
        <f t="shared" si="35"/>
        <v>194648</v>
      </c>
      <c r="H420" s="23"/>
      <c r="I420" s="24">
        <v>9732.4</v>
      </c>
      <c r="J420" s="245">
        <f t="shared" si="36"/>
        <v>0</v>
      </c>
    </row>
    <row r="421" spans="1:10" ht="17" thickBot="1" x14ac:dyDescent="0.25">
      <c r="A421" s="2"/>
      <c r="F421" s="2"/>
      <c r="G421" s="103">
        <f>SUM(G399:G420)</f>
        <v>9144604.8000000007</v>
      </c>
      <c r="H421" s="2"/>
      <c r="I421" s="2"/>
      <c r="J421" s="244">
        <f>SUM(J399:J420)</f>
        <v>1321066</v>
      </c>
    </row>
    <row r="422" spans="1:10" ht="19" thickBot="1" x14ac:dyDescent="0.25">
      <c r="A422" s="21" t="s">
        <v>2084</v>
      </c>
      <c r="F422" s="2"/>
      <c r="G422" s="107"/>
      <c r="H422" s="2"/>
      <c r="I422" s="2"/>
      <c r="J422" s="107"/>
    </row>
    <row r="423" spans="1:10" ht="17" thickBot="1" x14ac:dyDescent="0.25">
      <c r="A423" s="9" t="s">
        <v>1176</v>
      </c>
      <c r="B423" s="75"/>
      <c r="C423" s="9" t="s">
        <v>36</v>
      </c>
      <c r="D423" s="9"/>
      <c r="E423" s="9">
        <v>144</v>
      </c>
      <c r="F423" s="10">
        <v>117972</v>
      </c>
      <c r="G423" s="243">
        <f>F423*E423</f>
        <v>16987968</v>
      </c>
      <c r="H423" s="2"/>
      <c r="I423" s="2"/>
      <c r="J423" s="107"/>
    </row>
    <row r="424" spans="1:10" ht="17" thickBot="1" x14ac:dyDescent="0.25">
      <c r="A424" s="9" t="s">
        <v>285</v>
      </c>
      <c r="B424" s="75"/>
      <c r="C424" s="9" t="s">
        <v>36</v>
      </c>
      <c r="D424" s="9"/>
      <c r="E424" s="9">
        <v>60</v>
      </c>
      <c r="F424" s="10">
        <v>10672</v>
      </c>
      <c r="G424" s="243">
        <f>F424*E424</f>
        <v>640320</v>
      </c>
      <c r="H424" s="2"/>
      <c r="I424" s="2"/>
      <c r="J424" s="107"/>
    </row>
    <row r="425" spans="1:10" ht="17" thickBot="1" x14ac:dyDescent="0.25">
      <c r="A425" s="9" t="s">
        <v>285</v>
      </c>
      <c r="B425" s="75"/>
      <c r="C425" s="9" t="s">
        <v>36</v>
      </c>
      <c r="D425" s="9"/>
      <c r="E425" s="9">
        <v>50</v>
      </c>
      <c r="F425" s="10">
        <v>14558</v>
      </c>
      <c r="G425" s="243">
        <f>F425*E425</f>
        <v>727900</v>
      </c>
      <c r="H425" s="2"/>
      <c r="I425" s="2"/>
      <c r="J425" s="107"/>
    </row>
    <row r="426" spans="1:10" ht="17" thickBot="1" x14ac:dyDescent="0.25">
      <c r="A426" s="2"/>
      <c r="F426" s="2"/>
      <c r="G426" s="103">
        <f>SUM(G423:G425)</f>
        <v>18356188</v>
      </c>
      <c r="H426" s="2"/>
      <c r="I426" s="2"/>
      <c r="J426" s="107"/>
    </row>
    <row r="427" spans="1:10" ht="19" thickBot="1" x14ac:dyDescent="0.25">
      <c r="A427" s="21" t="s">
        <v>2235</v>
      </c>
      <c r="F427" s="2"/>
      <c r="G427" s="301"/>
      <c r="H427" s="2"/>
      <c r="I427" s="2"/>
      <c r="J427" s="107"/>
    </row>
    <row r="428" spans="1:10" ht="17" thickBot="1" x14ac:dyDescent="0.25">
      <c r="A428" s="9" t="s">
        <v>115</v>
      </c>
      <c r="B428" s="75"/>
      <c r="C428" s="9" t="s">
        <v>36</v>
      </c>
      <c r="D428" s="9" t="s">
        <v>2222</v>
      </c>
      <c r="E428" s="9">
        <v>40</v>
      </c>
      <c r="F428" s="10">
        <v>13100</v>
      </c>
      <c r="G428" s="12">
        <f>F428*E428</f>
        <v>524000</v>
      </c>
      <c r="H428" s="23">
        <v>10</v>
      </c>
      <c r="I428" s="24">
        <v>13100</v>
      </c>
      <c r="J428" s="26">
        <f>I428*H428</f>
        <v>131000</v>
      </c>
    </row>
    <row r="429" spans="1:10" ht="17" thickBot="1" x14ac:dyDescent="0.25">
      <c r="A429" s="9" t="s">
        <v>334</v>
      </c>
      <c r="B429" s="75"/>
      <c r="C429" s="9" t="s">
        <v>36</v>
      </c>
      <c r="D429" s="9" t="s">
        <v>2223</v>
      </c>
      <c r="E429" s="9">
        <v>100</v>
      </c>
      <c r="F429" s="10">
        <v>6724</v>
      </c>
      <c r="G429" s="12">
        <f t="shared" ref="G429:G449" si="37">F429*E429</f>
        <v>672400</v>
      </c>
      <c r="H429" s="23"/>
      <c r="I429" s="24">
        <v>6724</v>
      </c>
      <c r="J429" s="26">
        <f t="shared" ref="J429:J449" si="38">I429*H429</f>
        <v>0</v>
      </c>
    </row>
    <row r="430" spans="1:10" ht="17" thickBot="1" x14ac:dyDescent="0.25">
      <c r="A430" s="9" t="s">
        <v>74</v>
      </c>
      <c r="B430" s="75"/>
      <c r="C430" s="9" t="s">
        <v>36</v>
      </c>
      <c r="D430" s="9" t="s">
        <v>1815</v>
      </c>
      <c r="E430" s="9">
        <v>100</v>
      </c>
      <c r="F430" s="10">
        <v>2443</v>
      </c>
      <c r="G430" s="12">
        <f t="shared" si="37"/>
        <v>244300</v>
      </c>
      <c r="H430" s="23"/>
      <c r="I430" s="24">
        <v>2443</v>
      </c>
      <c r="J430" s="26">
        <f t="shared" si="38"/>
        <v>0</v>
      </c>
    </row>
    <row r="431" spans="1:10" ht="17" thickBot="1" x14ac:dyDescent="0.25">
      <c r="A431" s="9" t="s">
        <v>159</v>
      </c>
      <c r="B431" s="75"/>
      <c r="C431" s="9" t="s">
        <v>36</v>
      </c>
      <c r="D431" s="9" t="s">
        <v>2224</v>
      </c>
      <c r="E431" s="9">
        <v>100</v>
      </c>
      <c r="F431" s="10">
        <v>3725</v>
      </c>
      <c r="G431" s="12">
        <f t="shared" si="37"/>
        <v>372500</v>
      </c>
      <c r="H431" s="23"/>
      <c r="I431" s="24">
        <v>3725</v>
      </c>
      <c r="J431" s="26">
        <f t="shared" si="38"/>
        <v>0</v>
      </c>
    </row>
    <row r="432" spans="1:10" ht="17" thickBot="1" x14ac:dyDescent="0.25">
      <c r="A432" s="9" t="s">
        <v>159</v>
      </c>
      <c r="B432" s="75"/>
      <c r="C432" s="9" t="s">
        <v>36</v>
      </c>
      <c r="D432" s="9" t="s">
        <v>1854</v>
      </c>
      <c r="E432" s="9">
        <v>20</v>
      </c>
      <c r="F432" s="10">
        <v>10200</v>
      </c>
      <c r="G432" s="12">
        <f t="shared" si="37"/>
        <v>204000</v>
      </c>
      <c r="H432" s="23"/>
      <c r="I432" s="24">
        <v>10200</v>
      </c>
      <c r="J432" s="26">
        <f t="shared" si="38"/>
        <v>0</v>
      </c>
    </row>
    <row r="433" spans="1:10" ht="17" thickBot="1" x14ac:dyDescent="0.25">
      <c r="A433" s="9" t="s">
        <v>61</v>
      </c>
      <c r="B433" s="75"/>
      <c r="C433" s="9" t="s">
        <v>36</v>
      </c>
      <c r="D433" s="9" t="s">
        <v>2225</v>
      </c>
      <c r="E433" s="9">
        <v>40</v>
      </c>
      <c r="F433" s="10">
        <v>2500</v>
      </c>
      <c r="G433" s="12">
        <f t="shared" si="37"/>
        <v>100000</v>
      </c>
      <c r="H433" s="23"/>
      <c r="I433" s="24">
        <v>2500</v>
      </c>
      <c r="J433" s="26">
        <f t="shared" si="38"/>
        <v>0</v>
      </c>
    </row>
    <row r="434" spans="1:10" ht="17" thickBot="1" x14ac:dyDescent="0.25">
      <c r="A434" s="9" t="s">
        <v>115</v>
      </c>
      <c r="B434" s="75"/>
      <c r="C434" s="9" t="s">
        <v>36</v>
      </c>
      <c r="D434" s="9" t="s">
        <v>2226</v>
      </c>
      <c r="E434" s="9">
        <v>40</v>
      </c>
      <c r="F434" s="10">
        <v>13850</v>
      </c>
      <c r="G434" s="12">
        <f t="shared" si="37"/>
        <v>554000</v>
      </c>
      <c r="H434" s="23"/>
      <c r="I434" s="24">
        <v>13850</v>
      </c>
      <c r="J434" s="26">
        <f t="shared" si="38"/>
        <v>0</v>
      </c>
    </row>
    <row r="435" spans="1:10" ht="17" thickBot="1" x14ac:dyDescent="0.25">
      <c r="A435" s="9" t="s">
        <v>2227</v>
      </c>
      <c r="B435" s="75"/>
      <c r="C435" s="9" t="s">
        <v>36</v>
      </c>
      <c r="D435" s="9" t="s">
        <v>2228</v>
      </c>
      <c r="E435" s="9">
        <v>200</v>
      </c>
      <c r="F435" s="10">
        <v>5100</v>
      </c>
      <c r="G435" s="12">
        <f t="shared" si="37"/>
        <v>1020000</v>
      </c>
      <c r="H435" s="23"/>
      <c r="I435" s="24">
        <v>5100</v>
      </c>
      <c r="J435" s="26">
        <f t="shared" si="38"/>
        <v>0</v>
      </c>
    </row>
    <row r="436" spans="1:10" ht="17" thickBot="1" x14ac:dyDescent="0.25">
      <c r="A436" s="9" t="s">
        <v>76</v>
      </c>
      <c r="B436" s="75"/>
      <c r="C436" s="9" t="s">
        <v>36</v>
      </c>
      <c r="D436" s="9" t="s">
        <v>1817</v>
      </c>
      <c r="E436" s="9">
        <v>40</v>
      </c>
      <c r="F436" s="10">
        <v>6500</v>
      </c>
      <c r="G436" s="12">
        <f t="shared" si="37"/>
        <v>260000</v>
      </c>
      <c r="H436" s="23"/>
      <c r="I436" s="24">
        <v>6500</v>
      </c>
      <c r="J436" s="26">
        <f t="shared" si="38"/>
        <v>0</v>
      </c>
    </row>
    <row r="437" spans="1:10" ht="17" thickBot="1" x14ac:dyDescent="0.25">
      <c r="A437" s="9" t="s">
        <v>61</v>
      </c>
      <c r="B437" s="75"/>
      <c r="C437" s="9" t="s">
        <v>36</v>
      </c>
      <c r="D437" s="9" t="s">
        <v>1823</v>
      </c>
      <c r="E437" s="9">
        <v>40</v>
      </c>
      <c r="F437" s="10">
        <v>6700</v>
      </c>
      <c r="G437" s="12">
        <f t="shared" si="37"/>
        <v>268000</v>
      </c>
      <c r="H437" s="23"/>
      <c r="I437" s="24">
        <v>6700</v>
      </c>
      <c r="J437" s="26">
        <f t="shared" si="38"/>
        <v>0</v>
      </c>
    </row>
    <row r="438" spans="1:10" ht="17" thickBot="1" x14ac:dyDescent="0.25">
      <c r="A438" s="9" t="s">
        <v>76</v>
      </c>
      <c r="B438" s="75"/>
      <c r="C438" s="9" t="s">
        <v>36</v>
      </c>
      <c r="D438" s="9" t="s">
        <v>393</v>
      </c>
      <c r="E438" s="9">
        <v>40</v>
      </c>
      <c r="F438" s="10">
        <v>4250</v>
      </c>
      <c r="G438" s="12">
        <f t="shared" si="37"/>
        <v>170000</v>
      </c>
      <c r="H438" s="23"/>
      <c r="I438" s="24">
        <v>4250</v>
      </c>
      <c r="J438" s="26">
        <f t="shared" si="38"/>
        <v>0</v>
      </c>
    </row>
    <row r="439" spans="1:10" ht="17" thickBot="1" x14ac:dyDescent="0.25">
      <c r="A439" s="9" t="s">
        <v>642</v>
      </c>
      <c r="B439" s="75"/>
      <c r="C439" s="9" t="s">
        <v>36</v>
      </c>
      <c r="D439" s="9" t="s">
        <v>2229</v>
      </c>
      <c r="E439" s="9">
        <v>100</v>
      </c>
      <c r="F439" s="10">
        <v>5960</v>
      </c>
      <c r="G439" s="12">
        <f t="shared" si="37"/>
        <v>596000</v>
      </c>
      <c r="H439" s="23"/>
      <c r="I439" s="24">
        <v>5960</v>
      </c>
      <c r="J439" s="26">
        <f t="shared" si="38"/>
        <v>0</v>
      </c>
    </row>
    <row r="440" spans="1:10" ht="17" thickBot="1" x14ac:dyDescent="0.25">
      <c r="A440" s="9" t="s">
        <v>47</v>
      </c>
      <c r="B440" s="75"/>
      <c r="C440" s="9" t="s">
        <v>36</v>
      </c>
      <c r="D440" s="9" t="s">
        <v>2230</v>
      </c>
      <c r="E440" s="9">
        <v>20</v>
      </c>
      <c r="F440" s="10">
        <v>15800</v>
      </c>
      <c r="G440" s="12">
        <f t="shared" si="37"/>
        <v>316000</v>
      </c>
      <c r="H440" s="23"/>
      <c r="I440" s="24">
        <v>15800</v>
      </c>
      <c r="J440" s="26">
        <f t="shared" si="38"/>
        <v>0</v>
      </c>
    </row>
    <row r="441" spans="1:10" ht="17" thickBot="1" x14ac:dyDescent="0.25">
      <c r="A441" s="9" t="s">
        <v>47</v>
      </c>
      <c r="B441" s="75"/>
      <c r="C441" s="9" t="s">
        <v>36</v>
      </c>
      <c r="D441" s="9" t="s">
        <v>295</v>
      </c>
      <c r="E441" s="9">
        <v>20</v>
      </c>
      <c r="F441" s="10">
        <v>10000</v>
      </c>
      <c r="G441" s="12">
        <f t="shared" si="37"/>
        <v>200000</v>
      </c>
      <c r="H441" s="23"/>
      <c r="I441" s="24">
        <v>10000</v>
      </c>
      <c r="J441" s="26">
        <f t="shared" si="38"/>
        <v>0</v>
      </c>
    </row>
    <row r="442" spans="1:10" ht="17" thickBot="1" x14ac:dyDescent="0.25">
      <c r="A442" s="9" t="s">
        <v>61</v>
      </c>
      <c r="B442" s="75"/>
      <c r="C442" s="9" t="s">
        <v>36</v>
      </c>
      <c r="D442" s="9" t="s">
        <v>2231</v>
      </c>
      <c r="E442" s="9">
        <v>40</v>
      </c>
      <c r="F442" s="10">
        <v>3100</v>
      </c>
      <c r="G442" s="12">
        <f t="shared" si="37"/>
        <v>124000</v>
      </c>
      <c r="H442" s="23"/>
      <c r="I442" s="24">
        <v>3100</v>
      </c>
      <c r="J442" s="26">
        <f t="shared" si="38"/>
        <v>0</v>
      </c>
    </row>
    <row r="443" spans="1:10" ht="17" thickBot="1" x14ac:dyDescent="0.25">
      <c r="A443" s="9" t="s">
        <v>47</v>
      </c>
      <c r="B443" s="75"/>
      <c r="C443" s="9" t="s">
        <v>36</v>
      </c>
      <c r="D443" s="9" t="s">
        <v>2232</v>
      </c>
      <c r="E443" s="9">
        <v>20</v>
      </c>
      <c r="F443" s="10">
        <v>15000</v>
      </c>
      <c r="G443" s="12">
        <f t="shared" si="37"/>
        <v>300000</v>
      </c>
      <c r="H443" s="23"/>
      <c r="I443" s="24">
        <v>15000</v>
      </c>
      <c r="J443" s="26">
        <f t="shared" si="38"/>
        <v>0</v>
      </c>
    </row>
    <row r="444" spans="1:10" ht="17" thickBot="1" x14ac:dyDescent="0.25">
      <c r="A444" s="9" t="s">
        <v>344</v>
      </c>
      <c r="B444" s="75"/>
      <c r="C444" s="9" t="s">
        <v>36</v>
      </c>
      <c r="D444" s="9" t="s">
        <v>1824</v>
      </c>
      <c r="E444" s="9">
        <v>20</v>
      </c>
      <c r="F444" s="10">
        <v>6700</v>
      </c>
      <c r="G444" s="12">
        <f t="shared" si="37"/>
        <v>134000</v>
      </c>
      <c r="H444" s="23"/>
      <c r="I444" s="24">
        <v>6700</v>
      </c>
      <c r="J444" s="26">
        <f t="shared" si="38"/>
        <v>0</v>
      </c>
    </row>
    <row r="445" spans="1:10" ht="17" thickBot="1" x14ac:dyDescent="0.25">
      <c r="A445" s="9" t="s">
        <v>344</v>
      </c>
      <c r="B445" s="75"/>
      <c r="C445" s="9" t="s">
        <v>36</v>
      </c>
      <c r="D445" s="9" t="s">
        <v>246</v>
      </c>
      <c r="E445" s="9">
        <v>20</v>
      </c>
      <c r="F445" s="10">
        <v>7500</v>
      </c>
      <c r="G445" s="12">
        <f t="shared" si="37"/>
        <v>150000</v>
      </c>
      <c r="H445" s="23"/>
      <c r="I445" s="24">
        <v>7500</v>
      </c>
      <c r="J445" s="26">
        <f t="shared" si="38"/>
        <v>0</v>
      </c>
    </row>
    <row r="446" spans="1:10" ht="17" thickBot="1" x14ac:dyDescent="0.25">
      <c r="A446" s="9" t="s">
        <v>740</v>
      </c>
      <c r="B446" s="75"/>
      <c r="C446" s="9" t="s">
        <v>36</v>
      </c>
      <c r="D446" s="9" t="s">
        <v>2233</v>
      </c>
      <c r="E446" s="9">
        <v>92</v>
      </c>
      <c r="F446" s="10">
        <v>9790</v>
      </c>
      <c r="G446" s="12">
        <f t="shared" si="37"/>
        <v>900680</v>
      </c>
      <c r="H446" s="23"/>
      <c r="I446" s="24">
        <v>9790</v>
      </c>
      <c r="J446" s="26">
        <f t="shared" si="38"/>
        <v>0</v>
      </c>
    </row>
    <row r="447" spans="1:10" ht="17" thickBot="1" x14ac:dyDescent="0.25">
      <c r="A447" s="9" t="s">
        <v>47</v>
      </c>
      <c r="B447" s="75"/>
      <c r="C447" s="9" t="s">
        <v>36</v>
      </c>
      <c r="D447" s="9" t="s">
        <v>1802</v>
      </c>
      <c r="E447" s="9">
        <v>20</v>
      </c>
      <c r="F447" s="10">
        <v>8390</v>
      </c>
      <c r="G447" s="12">
        <f t="shared" si="37"/>
        <v>167800</v>
      </c>
      <c r="H447" s="23"/>
      <c r="I447" s="24">
        <v>8390</v>
      </c>
      <c r="J447" s="26">
        <f t="shared" si="38"/>
        <v>0</v>
      </c>
    </row>
    <row r="448" spans="1:10" ht="17" thickBot="1" x14ac:dyDescent="0.25">
      <c r="A448" s="9" t="s">
        <v>61</v>
      </c>
      <c r="B448" s="75"/>
      <c r="C448" s="9" t="s">
        <v>36</v>
      </c>
      <c r="D448" s="9" t="s">
        <v>1806</v>
      </c>
      <c r="E448" s="9">
        <v>20</v>
      </c>
      <c r="F448" s="10">
        <v>10300</v>
      </c>
      <c r="G448" s="12">
        <f t="shared" si="37"/>
        <v>206000</v>
      </c>
      <c r="H448" s="23"/>
      <c r="I448" s="24">
        <v>10300</v>
      </c>
      <c r="J448" s="26">
        <f t="shared" si="38"/>
        <v>0</v>
      </c>
    </row>
    <row r="449" spans="1:10" ht="17" thickBot="1" x14ac:dyDescent="0.25">
      <c r="A449" s="9" t="s">
        <v>159</v>
      </c>
      <c r="B449" s="75"/>
      <c r="C449" s="9" t="s">
        <v>36</v>
      </c>
      <c r="D449" s="9" t="s">
        <v>2234</v>
      </c>
      <c r="E449" s="9">
        <v>40</v>
      </c>
      <c r="F449" s="10">
        <v>9990</v>
      </c>
      <c r="G449" s="12">
        <f t="shared" si="37"/>
        <v>399600</v>
      </c>
      <c r="H449" s="23"/>
      <c r="I449" s="24">
        <v>9990</v>
      </c>
      <c r="J449" s="26">
        <f t="shared" si="38"/>
        <v>0</v>
      </c>
    </row>
    <row r="450" spans="1:10" ht="17" thickBot="1" x14ac:dyDescent="0.25">
      <c r="A450" s="255"/>
      <c r="C450" s="255"/>
      <c r="D450" s="255"/>
      <c r="E450" s="255"/>
      <c r="F450" s="264"/>
      <c r="G450" s="12">
        <f>SUM(G428:G449)</f>
        <v>7883280</v>
      </c>
      <c r="H450" s="255"/>
      <c r="I450" s="264"/>
      <c r="J450" s="26">
        <f>SUM(J428:J449)</f>
        <v>131000</v>
      </c>
    </row>
    <row r="451" spans="1:10" ht="19" thickBot="1" x14ac:dyDescent="0.25">
      <c r="A451" s="21" t="s">
        <v>2260</v>
      </c>
      <c r="F451" s="2"/>
      <c r="G451" s="301"/>
      <c r="H451" s="2"/>
      <c r="I451" s="2"/>
      <c r="J451" s="107"/>
    </row>
    <row r="452" spans="1:10" ht="17" thickBot="1" x14ac:dyDescent="0.25">
      <c r="A452" s="9" t="s">
        <v>47</v>
      </c>
      <c r="B452" s="75"/>
      <c r="C452" s="9" t="s">
        <v>36</v>
      </c>
      <c r="D452" s="9" t="s">
        <v>2242</v>
      </c>
      <c r="E452" s="9">
        <v>30</v>
      </c>
      <c r="F452" s="10">
        <v>10440</v>
      </c>
      <c r="G452" s="10">
        <f>F452*E452</f>
        <v>313200</v>
      </c>
      <c r="H452" s="2"/>
      <c r="I452" s="2"/>
      <c r="J452" s="107"/>
    </row>
    <row r="453" spans="1:10" ht="17" thickBot="1" x14ac:dyDescent="0.25">
      <c r="A453" s="9" t="s">
        <v>74</v>
      </c>
      <c r="B453" s="75"/>
      <c r="C453" s="9" t="s">
        <v>36</v>
      </c>
      <c r="D453" s="9" t="s">
        <v>2243</v>
      </c>
      <c r="E453" s="9">
        <v>48</v>
      </c>
      <c r="F453" s="10">
        <v>6496</v>
      </c>
      <c r="G453" s="10">
        <f t="shared" ref="G453:G471" si="39">F453*E453</f>
        <v>311808</v>
      </c>
      <c r="H453" s="2"/>
      <c r="I453" s="2"/>
      <c r="J453" s="107"/>
    </row>
    <row r="454" spans="1:10" ht="17" thickBot="1" x14ac:dyDescent="0.25">
      <c r="A454" s="9" t="s">
        <v>48</v>
      </c>
      <c r="B454" s="75"/>
      <c r="C454" s="9" t="s">
        <v>36</v>
      </c>
      <c r="D454" s="9" t="s">
        <v>2244</v>
      </c>
      <c r="E454" s="9">
        <v>60</v>
      </c>
      <c r="F454" s="10">
        <v>9164</v>
      </c>
      <c r="G454" s="10">
        <f t="shared" si="39"/>
        <v>549840</v>
      </c>
      <c r="H454" s="2"/>
      <c r="I454" s="2"/>
      <c r="J454" s="107"/>
    </row>
    <row r="455" spans="1:10" ht="17" thickBot="1" x14ac:dyDescent="0.25">
      <c r="A455" s="9" t="s">
        <v>61</v>
      </c>
      <c r="B455" s="75"/>
      <c r="C455" s="9" t="s">
        <v>36</v>
      </c>
      <c r="D455" s="9" t="s">
        <v>2245</v>
      </c>
      <c r="E455" s="9">
        <v>60</v>
      </c>
      <c r="F455" s="10">
        <v>5672.4</v>
      </c>
      <c r="G455" s="10">
        <f t="shared" si="39"/>
        <v>340344</v>
      </c>
      <c r="H455" s="2"/>
      <c r="I455" s="2"/>
      <c r="J455" s="107"/>
    </row>
    <row r="456" spans="1:10" ht="17" thickBot="1" x14ac:dyDescent="0.25">
      <c r="A456" s="9" t="s">
        <v>76</v>
      </c>
      <c r="B456" s="75"/>
      <c r="C456" s="9" t="s">
        <v>36</v>
      </c>
      <c r="D456" s="9" t="s">
        <v>2246</v>
      </c>
      <c r="E456" s="9">
        <v>60</v>
      </c>
      <c r="F456" s="10">
        <v>6786</v>
      </c>
      <c r="G456" s="10">
        <f t="shared" si="39"/>
        <v>407160</v>
      </c>
      <c r="H456" s="2"/>
      <c r="I456" s="2"/>
      <c r="J456" s="107"/>
    </row>
    <row r="457" spans="1:10" ht="17" thickBot="1" x14ac:dyDescent="0.25">
      <c r="A457" s="9" t="s">
        <v>61</v>
      </c>
      <c r="B457" s="75"/>
      <c r="C457" s="9" t="s">
        <v>36</v>
      </c>
      <c r="D457" s="9" t="s">
        <v>2247</v>
      </c>
      <c r="E457" s="9">
        <v>60</v>
      </c>
      <c r="F457" s="10">
        <v>11948</v>
      </c>
      <c r="G457" s="10">
        <f t="shared" si="39"/>
        <v>716880</v>
      </c>
      <c r="H457" s="2"/>
      <c r="I457" s="2"/>
      <c r="J457" s="107"/>
    </row>
    <row r="458" spans="1:10" ht="17" thickBot="1" x14ac:dyDescent="0.25">
      <c r="A458" s="9" t="s">
        <v>2248</v>
      </c>
      <c r="B458" s="75"/>
      <c r="C458" s="9" t="s">
        <v>36</v>
      </c>
      <c r="D458" s="9" t="s">
        <v>2249</v>
      </c>
      <c r="E458" s="9">
        <v>30</v>
      </c>
      <c r="F458" s="10">
        <v>9628</v>
      </c>
      <c r="G458" s="10">
        <f t="shared" si="39"/>
        <v>288840</v>
      </c>
      <c r="H458" s="2"/>
      <c r="I458" s="2"/>
      <c r="J458" s="107"/>
    </row>
    <row r="459" spans="1:10" ht="17" thickBot="1" x14ac:dyDescent="0.25">
      <c r="A459" s="9" t="s">
        <v>334</v>
      </c>
      <c r="B459" s="75"/>
      <c r="C459" s="9" t="s">
        <v>36</v>
      </c>
      <c r="D459" s="9" t="s">
        <v>2250</v>
      </c>
      <c r="E459" s="9">
        <v>36</v>
      </c>
      <c r="F459" s="10">
        <v>7308</v>
      </c>
      <c r="G459" s="10">
        <f t="shared" si="39"/>
        <v>263088</v>
      </c>
      <c r="H459" s="2"/>
      <c r="I459" s="2"/>
      <c r="J459" s="107"/>
    </row>
    <row r="460" spans="1:10" ht="17" thickBot="1" x14ac:dyDescent="0.25">
      <c r="A460" s="9" t="s">
        <v>47</v>
      </c>
      <c r="B460" s="75"/>
      <c r="C460" s="9" t="s">
        <v>36</v>
      </c>
      <c r="D460" s="9" t="s">
        <v>749</v>
      </c>
      <c r="E460" s="9">
        <v>60</v>
      </c>
      <c r="F460" s="10">
        <v>10996.8</v>
      </c>
      <c r="G460" s="10">
        <f t="shared" si="39"/>
        <v>659808</v>
      </c>
      <c r="H460" s="2"/>
      <c r="I460" s="2"/>
      <c r="J460" s="107"/>
    </row>
    <row r="461" spans="1:10" ht="17" thickBot="1" x14ac:dyDescent="0.25">
      <c r="A461" s="9" t="s">
        <v>47</v>
      </c>
      <c r="B461" s="75"/>
      <c r="C461" s="9" t="s">
        <v>36</v>
      </c>
      <c r="D461" s="9" t="s">
        <v>2251</v>
      </c>
      <c r="E461" s="9">
        <v>30</v>
      </c>
      <c r="F461" s="10">
        <v>13618.4</v>
      </c>
      <c r="G461" s="10">
        <f t="shared" si="39"/>
        <v>408552</v>
      </c>
      <c r="H461" s="2"/>
      <c r="I461" s="2"/>
      <c r="J461" s="107"/>
    </row>
    <row r="462" spans="1:10" ht="17" thickBot="1" x14ac:dyDescent="0.25">
      <c r="A462" s="9" t="s">
        <v>61</v>
      </c>
      <c r="B462" s="75"/>
      <c r="C462" s="9" t="s">
        <v>36</v>
      </c>
      <c r="D462" s="9" t="s">
        <v>1050</v>
      </c>
      <c r="E462" s="9">
        <v>55</v>
      </c>
      <c r="F462" s="10">
        <v>4176</v>
      </c>
      <c r="G462" s="10">
        <f t="shared" si="39"/>
        <v>229680</v>
      </c>
      <c r="H462" s="2"/>
      <c r="I462" s="2"/>
      <c r="J462" s="107"/>
    </row>
    <row r="463" spans="1:10" ht="17" thickBot="1" x14ac:dyDescent="0.25">
      <c r="A463" s="9" t="s">
        <v>642</v>
      </c>
      <c r="B463" s="75"/>
      <c r="C463" s="9" t="s">
        <v>36</v>
      </c>
      <c r="D463" s="9" t="s">
        <v>2252</v>
      </c>
      <c r="E463" s="9">
        <v>45</v>
      </c>
      <c r="F463" s="10">
        <v>6913.6</v>
      </c>
      <c r="G463" s="10">
        <f t="shared" si="39"/>
        <v>311112</v>
      </c>
      <c r="H463" s="2"/>
      <c r="I463" s="2"/>
      <c r="J463" s="107"/>
    </row>
    <row r="464" spans="1:10" ht="17" thickBot="1" x14ac:dyDescent="0.25">
      <c r="A464" s="9" t="s">
        <v>2227</v>
      </c>
      <c r="B464" s="75"/>
      <c r="C464" s="9" t="s">
        <v>36</v>
      </c>
      <c r="D464" s="9" t="s">
        <v>2253</v>
      </c>
      <c r="E464" s="9">
        <v>50</v>
      </c>
      <c r="F464" s="10">
        <v>17400</v>
      </c>
      <c r="G464" s="10">
        <f t="shared" si="39"/>
        <v>870000</v>
      </c>
      <c r="H464" s="2"/>
      <c r="I464" s="2"/>
      <c r="J464" s="107"/>
    </row>
    <row r="465" spans="1:10" ht="17" thickBot="1" x14ac:dyDescent="0.25">
      <c r="A465" s="9" t="s">
        <v>47</v>
      </c>
      <c r="B465" s="75"/>
      <c r="C465" s="9" t="s">
        <v>36</v>
      </c>
      <c r="D465" s="9" t="s">
        <v>2254</v>
      </c>
      <c r="E465" s="9">
        <v>30</v>
      </c>
      <c r="F465" s="10">
        <v>13920</v>
      </c>
      <c r="G465" s="10">
        <f t="shared" si="39"/>
        <v>417600</v>
      </c>
      <c r="H465" s="2"/>
      <c r="I465" s="2"/>
      <c r="J465" s="107"/>
    </row>
    <row r="466" spans="1:10" ht="17" thickBot="1" x14ac:dyDescent="0.25">
      <c r="A466" s="9" t="s">
        <v>47</v>
      </c>
      <c r="B466" s="75"/>
      <c r="C466" s="9" t="s">
        <v>36</v>
      </c>
      <c r="D466" s="9" t="s">
        <v>2255</v>
      </c>
      <c r="E466" s="9">
        <v>30</v>
      </c>
      <c r="F466" s="10">
        <v>2320</v>
      </c>
      <c r="G466" s="10">
        <f t="shared" si="39"/>
        <v>69600</v>
      </c>
      <c r="H466" s="2"/>
      <c r="I466" s="2"/>
      <c r="J466" s="107"/>
    </row>
    <row r="467" spans="1:10" ht="17" thickBot="1" x14ac:dyDescent="0.25">
      <c r="A467" s="9" t="s">
        <v>159</v>
      </c>
      <c r="B467" s="75"/>
      <c r="C467" s="9" t="s">
        <v>36</v>
      </c>
      <c r="D467" s="9" t="s">
        <v>2256</v>
      </c>
      <c r="E467" s="9">
        <v>32</v>
      </c>
      <c r="F467" s="10">
        <v>17272.400000000001</v>
      </c>
      <c r="G467" s="10">
        <f t="shared" si="39"/>
        <v>552716.80000000005</v>
      </c>
      <c r="H467" s="2"/>
      <c r="I467" s="2"/>
      <c r="J467" s="107"/>
    </row>
    <row r="468" spans="1:10" ht="17" thickBot="1" x14ac:dyDescent="0.25">
      <c r="A468" s="9" t="s">
        <v>74</v>
      </c>
      <c r="B468" s="75"/>
      <c r="C468" s="9" t="s">
        <v>36</v>
      </c>
      <c r="D468" s="9" t="s">
        <v>2257</v>
      </c>
      <c r="E468" s="9">
        <v>48</v>
      </c>
      <c r="F468" s="10">
        <v>10068.799999999999</v>
      </c>
      <c r="G468" s="10">
        <f t="shared" si="39"/>
        <v>483302.39999999997</v>
      </c>
      <c r="H468" s="2"/>
      <c r="I468" s="2"/>
      <c r="J468" s="107"/>
    </row>
    <row r="469" spans="1:10" ht="17" thickBot="1" x14ac:dyDescent="0.25">
      <c r="A469" s="9" t="s">
        <v>2227</v>
      </c>
      <c r="B469" s="75"/>
      <c r="C469" s="9" t="s">
        <v>36</v>
      </c>
      <c r="D469" s="9" t="s">
        <v>2258</v>
      </c>
      <c r="E469" s="9">
        <v>96</v>
      </c>
      <c r="F469" s="10">
        <v>3700.4</v>
      </c>
      <c r="G469" s="10">
        <f t="shared" si="39"/>
        <v>355238.40000000002</v>
      </c>
      <c r="H469" s="2"/>
      <c r="I469" s="2"/>
      <c r="J469" s="107"/>
    </row>
    <row r="470" spans="1:10" ht="17" thickBot="1" x14ac:dyDescent="0.25">
      <c r="A470" s="9" t="s">
        <v>76</v>
      </c>
      <c r="B470" s="75"/>
      <c r="C470" s="9" t="s">
        <v>36</v>
      </c>
      <c r="D470" s="9" t="s">
        <v>2259</v>
      </c>
      <c r="E470" s="9">
        <v>60</v>
      </c>
      <c r="F470" s="10">
        <v>5336</v>
      </c>
      <c r="G470" s="10">
        <f t="shared" si="39"/>
        <v>320160</v>
      </c>
      <c r="H470" s="2"/>
      <c r="I470" s="2"/>
      <c r="J470" s="107"/>
    </row>
    <row r="471" spans="1:10" ht="17" thickBot="1" x14ac:dyDescent="0.25">
      <c r="A471" s="9" t="s">
        <v>2227</v>
      </c>
      <c r="B471" s="75"/>
      <c r="C471" s="9" t="s">
        <v>36</v>
      </c>
      <c r="D471" s="9" t="s">
        <v>2213</v>
      </c>
      <c r="E471" s="9">
        <v>60</v>
      </c>
      <c r="F471" s="10">
        <v>5800</v>
      </c>
      <c r="G471" s="10">
        <f t="shared" si="39"/>
        <v>348000</v>
      </c>
      <c r="H471" s="2"/>
      <c r="I471" s="2"/>
      <c r="J471" s="107"/>
    </row>
    <row r="472" spans="1:10" ht="17" thickBot="1" x14ac:dyDescent="0.25">
      <c r="A472" s="255"/>
      <c r="C472" s="255"/>
      <c r="D472" s="255"/>
      <c r="E472" s="255"/>
      <c r="F472" s="264"/>
      <c r="G472" s="12">
        <f>SUM(G452:G471)</f>
        <v>8216929.6000000006</v>
      </c>
      <c r="H472" s="2"/>
      <c r="I472" s="2"/>
      <c r="J472" s="107"/>
    </row>
    <row r="473" spans="1:10" ht="17" thickBot="1" x14ac:dyDescent="0.25">
      <c r="A473" s="30" t="s">
        <v>2273</v>
      </c>
      <c r="F473" s="2"/>
      <c r="G473" s="301"/>
      <c r="H473" s="2"/>
      <c r="I473" s="2"/>
      <c r="J473" s="107"/>
    </row>
    <row r="474" spans="1:10" ht="17" thickBot="1" x14ac:dyDescent="0.25">
      <c r="A474" s="9" t="s">
        <v>2269</v>
      </c>
      <c r="B474" s="75"/>
      <c r="C474" s="9" t="s">
        <v>36</v>
      </c>
      <c r="D474" s="9" t="s">
        <v>2270</v>
      </c>
      <c r="E474" s="9">
        <v>144</v>
      </c>
      <c r="F474" s="10">
        <v>117972</v>
      </c>
      <c r="G474" s="12">
        <f>F474*E474</f>
        <v>16987968</v>
      </c>
      <c r="H474" s="2"/>
      <c r="I474" s="2"/>
      <c r="J474" s="107"/>
    </row>
    <row r="475" spans="1:10" ht="17" thickBot="1" x14ac:dyDescent="0.25">
      <c r="A475" s="9" t="s">
        <v>115</v>
      </c>
      <c r="B475" s="75"/>
      <c r="C475" s="9" t="s">
        <v>36</v>
      </c>
      <c r="D475" s="9" t="s">
        <v>2271</v>
      </c>
      <c r="E475" s="9">
        <v>60</v>
      </c>
      <c r="F475" s="10">
        <v>10672</v>
      </c>
      <c r="G475" s="12">
        <f t="shared" ref="G475:G476" si="40">F475*E475</f>
        <v>640320</v>
      </c>
      <c r="H475" s="2"/>
      <c r="I475" s="2"/>
      <c r="J475" s="107"/>
    </row>
    <row r="476" spans="1:10" ht="17" thickBot="1" x14ac:dyDescent="0.25">
      <c r="A476" s="9" t="s">
        <v>115</v>
      </c>
      <c r="B476" s="75"/>
      <c r="C476" s="9" t="s">
        <v>36</v>
      </c>
      <c r="D476" s="9" t="s">
        <v>2272</v>
      </c>
      <c r="E476" s="9">
        <v>50</v>
      </c>
      <c r="F476" s="10">
        <v>14558</v>
      </c>
      <c r="G476" s="12">
        <f t="shared" si="40"/>
        <v>727900</v>
      </c>
      <c r="H476" s="2"/>
      <c r="I476" s="2"/>
      <c r="J476" s="107"/>
    </row>
    <row r="477" spans="1:10" ht="17" thickBot="1" x14ac:dyDescent="0.25">
      <c r="A477" s="255"/>
      <c r="C477" s="255"/>
      <c r="D477" s="255"/>
      <c r="E477" s="255"/>
      <c r="F477" s="264"/>
      <c r="G477" s="12">
        <f>SUM(G474:G476)</f>
        <v>18356188</v>
      </c>
      <c r="H477" s="2"/>
      <c r="I477" s="2"/>
      <c r="J477" s="107"/>
    </row>
    <row r="478" spans="1:10" ht="17" thickBot="1" x14ac:dyDescent="0.25">
      <c r="A478" s="30" t="s">
        <v>2291</v>
      </c>
      <c r="C478" s="255"/>
      <c r="D478" s="255"/>
      <c r="E478" s="255"/>
      <c r="F478" s="264"/>
      <c r="G478" s="33"/>
      <c r="H478" s="2"/>
      <c r="I478" s="2"/>
      <c r="J478" s="107"/>
    </row>
    <row r="479" spans="1:10" ht="17" thickBot="1" x14ac:dyDescent="0.25">
      <c r="A479" s="9" t="s">
        <v>61</v>
      </c>
      <c r="B479" s="75"/>
      <c r="C479" s="9" t="s">
        <v>36</v>
      </c>
      <c r="D479" s="9" t="s">
        <v>1806</v>
      </c>
      <c r="E479" s="9">
        <v>60</v>
      </c>
      <c r="F479" s="10">
        <v>11948</v>
      </c>
      <c r="G479" s="10">
        <f>F479*E479</f>
        <v>716880</v>
      </c>
      <c r="H479" s="2"/>
      <c r="I479" s="2"/>
      <c r="J479" s="107"/>
    </row>
    <row r="480" spans="1:10" ht="17" thickBot="1" x14ac:dyDescent="0.25">
      <c r="A480" s="9" t="s">
        <v>133</v>
      </c>
      <c r="B480" s="75"/>
      <c r="C480" s="9" t="s">
        <v>36</v>
      </c>
      <c r="D480" s="9" t="s">
        <v>2274</v>
      </c>
      <c r="E480" s="9">
        <v>50</v>
      </c>
      <c r="F480" s="10">
        <v>11484</v>
      </c>
      <c r="G480" s="10">
        <f t="shared" ref="G480:G513" si="41">F480*E480</f>
        <v>574200</v>
      </c>
      <c r="H480" s="2"/>
      <c r="I480" s="2"/>
      <c r="J480" s="107"/>
    </row>
    <row r="481" spans="1:10" ht="17" thickBot="1" x14ac:dyDescent="0.25">
      <c r="A481" s="9" t="s">
        <v>61</v>
      </c>
      <c r="B481" s="75"/>
      <c r="C481" s="9" t="s">
        <v>36</v>
      </c>
      <c r="D481" s="9" t="s">
        <v>2275</v>
      </c>
      <c r="E481" s="9">
        <v>50</v>
      </c>
      <c r="F481" s="10">
        <v>12296</v>
      </c>
      <c r="G481" s="10">
        <f t="shared" si="41"/>
        <v>614800</v>
      </c>
      <c r="H481" s="2"/>
      <c r="I481" s="2"/>
      <c r="J481" s="107"/>
    </row>
    <row r="482" spans="1:10" ht="17" thickBot="1" x14ac:dyDescent="0.25">
      <c r="A482" s="9" t="s">
        <v>115</v>
      </c>
      <c r="B482" s="75"/>
      <c r="C482" s="9" t="s">
        <v>36</v>
      </c>
      <c r="D482" s="9" t="s">
        <v>2276</v>
      </c>
      <c r="E482" s="9">
        <v>50</v>
      </c>
      <c r="F482" s="10">
        <v>14256.4</v>
      </c>
      <c r="G482" s="10">
        <f t="shared" si="41"/>
        <v>712820</v>
      </c>
      <c r="H482" s="2"/>
      <c r="I482" s="2"/>
      <c r="J482" s="107"/>
    </row>
    <row r="483" spans="1:10" ht="17" thickBot="1" x14ac:dyDescent="0.25">
      <c r="A483" s="9" t="s">
        <v>727</v>
      </c>
      <c r="B483" s="75"/>
      <c r="C483" s="9" t="s">
        <v>36</v>
      </c>
      <c r="D483" s="9" t="s">
        <v>295</v>
      </c>
      <c r="E483" s="9">
        <v>50</v>
      </c>
      <c r="F483" s="10">
        <v>11600</v>
      </c>
      <c r="G483" s="10">
        <f t="shared" si="41"/>
        <v>580000</v>
      </c>
      <c r="H483" s="2"/>
      <c r="I483" s="2"/>
      <c r="J483" s="107"/>
    </row>
    <row r="484" spans="1:10" ht="17" thickBot="1" x14ac:dyDescent="0.25">
      <c r="A484" s="9" t="s">
        <v>727</v>
      </c>
      <c r="B484" s="75"/>
      <c r="C484" s="9" t="s">
        <v>36</v>
      </c>
      <c r="D484" s="9" t="s">
        <v>2232</v>
      </c>
      <c r="E484" s="9">
        <v>60</v>
      </c>
      <c r="F484" s="10">
        <v>13920</v>
      </c>
      <c r="G484" s="10">
        <f t="shared" si="41"/>
        <v>835200</v>
      </c>
      <c r="H484" s="2"/>
      <c r="I484" s="2"/>
      <c r="J484" s="107"/>
    </row>
    <row r="485" spans="1:10" ht="17" thickBot="1" x14ac:dyDescent="0.25">
      <c r="A485" s="9" t="s">
        <v>47</v>
      </c>
      <c r="B485" s="75"/>
      <c r="C485" s="9" t="s">
        <v>36</v>
      </c>
      <c r="D485" s="9" t="s">
        <v>1802</v>
      </c>
      <c r="E485" s="9">
        <v>60</v>
      </c>
      <c r="F485" s="10">
        <v>17516</v>
      </c>
      <c r="G485" s="10">
        <f t="shared" si="41"/>
        <v>1050960</v>
      </c>
      <c r="H485" s="2"/>
      <c r="I485" s="2"/>
      <c r="J485" s="107"/>
    </row>
    <row r="486" spans="1:10" ht="17" thickBot="1" x14ac:dyDescent="0.25">
      <c r="A486" s="9" t="s">
        <v>74</v>
      </c>
      <c r="B486" s="75"/>
      <c r="C486" s="9" t="s">
        <v>36</v>
      </c>
      <c r="D486" s="9" t="s">
        <v>2277</v>
      </c>
      <c r="E486" s="9">
        <v>60</v>
      </c>
      <c r="F486" s="10">
        <v>9512</v>
      </c>
      <c r="G486" s="10">
        <f t="shared" si="41"/>
        <v>570720</v>
      </c>
      <c r="H486" s="2"/>
      <c r="I486" s="2"/>
      <c r="J486" s="107"/>
    </row>
    <row r="487" spans="1:10" ht="17" thickBot="1" x14ac:dyDescent="0.25">
      <c r="A487" s="9" t="s">
        <v>642</v>
      </c>
      <c r="B487" s="75"/>
      <c r="C487" s="9" t="s">
        <v>36</v>
      </c>
      <c r="D487" s="9" t="s">
        <v>2229</v>
      </c>
      <c r="E487" s="9">
        <v>100</v>
      </c>
      <c r="F487" s="10">
        <v>4930</v>
      </c>
      <c r="G487" s="10">
        <f t="shared" si="41"/>
        <v>493000</v>
      </c>
      <c r="H487" s="2"/>
      <c r="I487" s="2"/>
      <c r="J487" s="107"/>
    </row>
    <row r="488" spans="1:10" ht="17" thickBot="1" x14ac:dyDescent="0.25">
      <c r="A488" s="9" t="s">
        <v>334</v>
      </c>
      <c r="B488" s="75"/>
      <c r="C488" s="9" t="s">
        <v>36</v>
      </c>
      <c r="D488" s="9" t="s">
        <v>2223</v>
      </c>
      <c r="E488" s="9">
        <v>100</v>
      </c>
      <c r="F488" s="10">
        <v>8038.8</v>
      </c>
      <c r="G488" s="10">
        <f t="shared" si="41"/>
        <v>803880</v>
      </c>
      <c r="H488" s="2"/>
      <c r="I488" s="2"/>
      <c r="J488" s="107"/>
    </row>
    <row r="489" spans="1:10" ht="17" thickBot="1" x14ac:dyDescent="0.25">
      <c r="A489" s="9" t="s">
        <v>344</v>
      </c>
      <c r="B489" s="75"/>
      <c r="C489" s="9" t="s">
        <v>36</v>
      </c>
      <c r="D489" s="9" t="s">
        <v>246</v>
      </c>
      <c r="E489" s="9">
        <v>40</v>
      </c>
      <c r="F489" s="10">
        <v>8572.4</v>
      </c>
      <c r="G489" s="10">
        <f t="shared" si="41"/>
        <v>342896</v>
      </c>
      <c r="H489" s="2"/>
      <c r="I489" s="2"/>
      <c r="J489" s="107"/>
    </row>
    <row r="490" spans="1:10" ht="17" thickBot="1" x14ac:dyDescent="0.25">
      <c r="A490" s="9" t="s">
        <v>61</v>
      </c>
      <c r="B490" s="75"/>
      <c r="C490" s="9" t="s">
        <v>36</v>
      </c>
      <c r="D490" s="9" t="s">
        <v>2278</v>
      </c>
      <c r="E490" s="9">
        <v>40</v>
      </c>
      <c r="F490" s="10">
        <v>10045.6</v>
      </c>
      <c r="G490" s="10">
        <f t="shared" si="41"/>
        <v>401824</v>
      </c>
      <c r="H490" s="2"/>
      <c r="I490" s="2"/>
      <c r="J490" s="107"/>
    </row>
    <row r="491" spans="1:10" ht="17" thickBot="1" x14ac:dyDescent="0.25">
      <c r="A491" s="9" t="s">
        <v>61</v>
      </c>
      <c r="B491" s="75"/>
      <c r="C491" s="9" t="s">
        <v>36</v>
      </c>
      <c r="D491" s="9" t="s">
        <v>1823</v>
      </c>
      <c r="E491" s="9">
        <v>60</v>
      </c>
      <c r="F491" s="10">
        <v>6948.4</v>
      </c>
      <c r="G491" s="10">
        <f t="shared" si="41"/>
        <v>416904</v>
      </c>
      <c r="H491" s="2"/>
      <c r="I491" s="2"/>
      <c r="J491" s="107"/>
    </row>
    <row r="492" spans="1:10" ht="17" thickBot="1" x14ac:dyDescent="0.25">
      <c r="A492" s="9" t="s">
        <v>2227</v>
      </c>
      <c r="B492" s="75"/>
      <c r="C492" s="9" t="s">
        <v>36</v>
      </c>
      <c r="D492" s="9" t="s">
        <v>2228</v>
      </c>
      <c r="E492" s="9">
        <v>120</v>
      </c>
      <c r="F492" s="10">
        <v>3700.4</v>
      </c>
      <c r="G492" s="10">
        <f t="shared" si="41"/>
        <v>444048</v>
      </c>
      <c r="H492" s="2"/>
      <c r="I492" s="2"/>
      <c r="J492" s="107"/>
    </row>
    <row r="493" spans="1:10" ht="17" thickBot="1" x14ac:dyDescent="0.25">
      <c r="A493" s="9" t="s">
        <v>47</v>
      </c>
      <c r="B493" s="75"/>
      <c r="C493" s="9" t="s">
        <v>36</v>
      </c>
      <c r="D493" s="9" t="s">
        <v>2230</v>
      </c>
      <c r="E493" s="9">
        <v>60</v>
      </c>
      <c r="F493" s="10">
        <v>13606.8</v>
      </c>
      <c r="G493" s="10">
        <f t="shared" si="41"/>
        <v>816408</v>
      </c>
      <c r="H493" s="2"/>
      <c r="I493" s="2"/>
      <c r="J493" s="107"/>
    </row>
    <row r="494" spans="1:10" ht="17" thickBot="1" x14ac:dyDescent="0.25">
      <c r="A494" s="9" t="s">
        <v>115</v>
      </c>
      <c r="B494" s="75"/>
      <c r="C494" s="9" t="s">
        <v>36</v>
      </c>
      <c r="D494" s="9" t="s">
        <v>1792</v>
      </c>
      <c r="E494" s="9">
        <v>100</v>
      </c>
      <c r="F494" s="10">
        <v>8584</v>
      </c>
      <c r="G494" s="10">
        <f t="shared" si="41"/>
        <v>858400</v>
      </c>
      <c r="H494" s="2"/>
      <c r="I494" s="2"/>
      <c r="J494" s="107"/>
    </row>
    <row r="495" spans="1:10" ht="17" thickBot="1" x14ac:dyDescent="0.25">
      <c r="A495" s="9" t="s">
        <v>115</v>
      </c>
      <c r="B495" s="75"/>
      <c r="C495" s="9" t="s">
        <v>36</v>
      </c>
      <c r="D495" s="9" t="s">
        <v>1816</v>
      </c>
      <c r="E495" s="9">
        <v>60</v>
      </c>
      <c r="F495" s="10">
        <v>10904</v>
      </c>
      <c r="G495" s="10">
        <f t="shared" si="41"/>
        <v>654240</v>
      </c>
      <c r="H495" s="2"/>
      <c r="I495" s="2"/>
      <c r="J495" s="107"/>
    </row>
    <row r="496" spans="1:10" ht="17" thickBot="1" x14ac:dyDescent="0.25">
      <c r="A496" s="9" t="s">
        <v>115</v>
      </c>
      <c r="B496" s="75"/>
      <c r="C496" s="9" t="s">
        <v>36</v>
      </c>
      <c r="D496" s="9" t="s">
        <v>1851</v>
      </c>
      <c r="E496" s="9">
        <v>20</v>
      </c>
      <c r="F496" s="10">
        <v>21460</v>
      </c>
      <c r="G496" s="10">
        <f t="shared" si="41"/>
        <v>429200</v>
      </c>
      <c r="H496" s="2"/>
      <c r="I496" s="2"/>
      <c r="J496" s="107"/>
    </row>
    <row r="497" spans="1:10" ht="17" thickBot="1" x14ac:dyDescent="0.25">
      <c r="A497" s="9" t="s">
        <v>386</v>
      </c>
      <c r="B497" s="75"/>
      <c r="C497" s="9" t="s">
        <v>36</v>
      </c>
      <c r="D497" s="9" t="s">
        <v>2279</v>
      </c>
      <c r="E497" s="9">
        <v>120</v>
      </c>
      <c r="F497" s="10">
        <v>133980</v>
      </c>
      <c r="G497" s="10">
        <f t="shared" si="41"/>
        <v>16077600</v>
      </c>
      <c r="H497" s="2"/>
      <c r="I497" s="2"/>
      <c r="J497" s="107"/>
    </row>
    <row r="498" spans="1:10" ht="17" thickBot="1" x14ac:dyDescent="0.25">
      <c r="A498" s="9" t="s">
        <v>159</v>
      </c>
      <c r="B498" s="75"/>
      <c r="C498" s="9" t="s">
        <v>36</v>
      </c>
      <c r="D498" s="9" t="s">
        <v>2280</v>
      </c>
      <c r="E498" s="9">
        <v>30</v>
      </c>
      <c r="F498" s="10">
        <v>11588.4</v>
      </c>
      <c r="G498" s="10">
        <f t="shared" si="41"/>
        <v>347652</v>
      </c>
      <c r="H498" s="2"/>
      <c r="I498" s="2"/>
      <c r="J498" s="107"/>
    </row>
    <row r="499" spans="1:10" ht="17" thickBot="1" x14ac:dyDescent="0.25">
      <c r="A499" s="9" t="s">
        <v>61</v>
      </c>
      <c r="B499" s="75"/>
      <c r="C499" s="9" t="s">
        <v>36</v>
      </c>
      <c r="D499" s="9" t="s">
        <v>2225</v>
      </c>
      <c r="E499" s="9">
        <v>100</v>
      </c>
      <c r="F499" s="10">
        <v>2378</v>
      </c>
      <c r="G499" s="10">
        <f t="shared" si="41"/>
        <v>237800</v>
      </c>
      <c r="H499" s="2"/>
      <c r="I499" s="2"/>
      <c r="J499" s="107"/>
    </row>
    <row r="500" spans="1:10" ht="17" thickBot="1" x14ac:dyDescent="0.25">
      <c r="A500" s="9" t="s">
        <v>47</v>
      </c>
      <c r="B500" s="75"/>
      <c r="C500" s="9" t="s">
        <v>36</v>
      </c>
      <c r="D500" s="9" t="s">
        <v>2281</v>
      </c>
      <c r="E500" s="9">
        <v>60</v>
      </c>
      <c r="F500" s="10">
        <v>11600</v>
      </c>
      <c r="G500" s="10">
        <f t="shared" si="41"/>
        <v>696000</v>
      </c>
      <c r="H500" s="2"/>
      <c r="I500" s="2"/>
      <c r="J500" s="107"/>
    </row>
    <row r="501" spans="1:10" ht="17" thickBot="1" x14ac:dyDescent="0.25">
      <c r="A501" s="9" t="s">
        <v>47</v>
      </c>
      <c r="B501" s="75"/>
      <c r="C501" s="9" t="s">
        <v>36</v>
      </c>
      <c r="D501" s="9" t="s">
        <v>2282</v>
      </c>
      <c r="E501" s="9">
        <v>60</v>
      </c>
      <c r="F501" s="10">
        <v>17284</v>
      </c>
      <c r="G501" s="10">
        <f t="shared" si="41"/>
        <v>1037040</v>
      </c>
      <c r="H501" s="2"/>
      <c r="I501" s="2"/>
      <c r="J501" s="107"/>
    </row>
    <row r="502" spans="1:10" ht="17" thickBot="1" x14ac:dyDescent="0.25">
      <c r="A502" s="9" t="s">
        <v>115</v>
      </c>
      <c r="B502" s="75"/>
      <c r="C502" s="9" t="s">
        <v>36</v>
      </c>
      <c r="D502" s="9" t="s">
        <v>2226</v>
      </c>
      <c r="E502" s="9">
        <v>30</v>
      </c>
      <c r="F502" s="10">
        <v>8584</v>
      </c>
      <c r="G502" s="10">
        <f t="shared" si="41"/>
        <v>257520</v>
      </c>
      <c r="H502" s="2"/>
      <c r="I502" s="2"/>
      <c r="J502" s="107"/>
    </row>
    <row r="503" spans="1:10" ht="17" thickBot="1" x14ac:dyDescent="0.25">
      <c r="A503" s="9" t="s">
        <v>47</v>
      </c>
      <c r="B503" s="75"/>
      <c r="C503" s="9" t="s">
        <v>36</v>
      </c>
      <c r="D503" s="9" t="s">
        <v>1838</v>
      </c>
      <c r="E503" s="9">
        <v>60</v>
      </c>
      <c r="F503" s="10">
        <v>17284</v>
      </c>
      <c r="G503" s="10">
        <f t="shared" si="41"/>
        <v>1037040</v>
      </c>
      <c r="H503" s="2"/>
      <c r="I503" s="2"/>
      <c r="J503" s="107"/>
    </row>
    <row r="504" spans="1:10" ht="17" thickBot="1" x14ac:dyDescent="0.25">
      <c r="A504" s="9" t="s">
        <v>396</v>
      </c>
      <c r="B504" s="75"/>
      <c r="C504" s="9" t="s">
        <v>36</v>
      </c>
      <c r="D504" s="9" t="s">
        <v>2283</v>
      </c>
      <c r="E504" s="9">
        <v>60</v>
      </c>
      <c r="F504" s="10">
        <v>17400</v>
      </c>
      <c r="G504" s="10">
        <f t="shared" si="41"/>
        <v>1044000</v>
      </c>
      <c r="H504" s="2"/>
      <c r="I504" s="2"/>
      <c r="J504" s="107"/>
    </row>
    <row r="505" spans="1:10" ht="17" thickBot="1" x14ac:dyDescent="0.25">
      <c r="A505" s="9" t="s">
        <v>48</v>
      </c>
      <c r="B505" s="75"/>
      <c r="C505" s="9" t="s">
        <v>36</v>
      </c>
      <c r="D505" s="9" t="s">
        <v>2284</v>
      </c>
      <c r="E505" s="9">
        <v>100</v>
      </c>
      <c r="F505" s="10">
        <v>6786</v>
      </c>
      <c r="G505" s="10">
        <f t="shared" si="41"/>
        <v>678600</v>
      </c>
      <c r="H505" s="2"/>
      <c r="I505" s="2"/>
      <c r="J505" s="107"/>
    </row>
    <row r="506" spans="1:10" ht="17" thickBot="1" x14ac:dyDescent="0.25">
      <c r="A506" s="9" t="s">
        <v>47</v>
      </c>
      <c r="B506" s="75"/>
      <c r="C506" s="9" t="s">
        <v>36</v>
      </c>
      <c r="D506" s="9" t="s">
        <v>1826</v>
      </c>
      <c r="E506" s="9">
        <v>60</v>
      </c>
      <c r="F506" s="10">
        <v>17376.8</v>
      </c>
      <c r="G506" s="10">
        <f t="shared" si="41"/>
        <v>1042608</v>
      </c>
      <c r="H506" s="2"/>
      <c r="I506" s="2"/>
      <c r="J506" s="107"/>
    </row>
    <row r="507" spans="1:10" ht="17" thickBot="1" x14ac:dyDescent="0.25">
      <c r="A507" s="9" t="s">
        <v>47</v>
      </c>
      <c r="B507" s="75"/>
      <c r="C507" s="9" t="s">
        <v>36</v>
      </c>
      <c r="D507" s="9" t="s">
        <v>2285</v>
      </c>
      <c r="E507" s="9">
        <v>60</v>
      </c>
      <c r="F507" s="10">
        <v>17980</v>
      </c>
      <c r="G507" s="10">
        <f t="shared" si="41"/>
        <v>1078800</v>
      </c>
      <c r="H507" s="2"/>
      <c r="I507" s="2"/>
      <c r="J507" s="107"/>
    </row>
    <row r="508" spans="1:10" ht="17" thickBot="1" x14ac:dyDescent="0.25">
      <c r="A508" s="9" t="s">
        <v>47</v>
      </c>
      <c r="B508" s="75"/>
      <c r="C508" s="9" t="s">
        <v>36</v>
      </c>
      <c r="D508" s="9" t="s">
        <v>2286</v>
      </c>
      <c r="E508" s="9">
        <v>60</v>
      </c>
      <c r="F508" s="10">
        <v>10440</v>
      </c>
      <c r="G508" s="10">
        <f t="shared" si="41"/>
        <v>626400</v>
      </c>
      <c r="H508" s="2"/>
      <c r="I508" s="2"/>
      <c r="J508" s="107"/>
    </row>
    <row r="509" spans="1:10" ht="17" thickBot="1" x14ac:dyDescent="0.25">
      <c r="A509" s="9" t="s">
        <v>47</v>
      </c>
      <c r="B509" s="75"/>
      <c r="C509" s="9" t="s">
        <v>36</v>
      </c>
      <c r="D509" s="9" t="s">
        <v>2287</v>
      </c>
      <c r="E509" s="9">
        <v>40</v>
      </c>
      <c r="F509" s="10">
        <v>17284</v>
      </c>
      <c r="G509" s="10">
        <f t="shared" si="41"/>
        <v>691360</v>
      </c>
      <c r="H509" s="2"/>
      <c r="I509" s="2"/>
      <c r="J509" s="107"/>
    </row>
    <row r="510" spans="1:10" ht="17" thickBot="1" x14ac:dyDescent="0.25">
      <c r="A510" s="9" t="s">
        <v>76</v>
      </c>
      <c r="B510" s="75"/>
      <c r="C510" s="9" t="s">
        <v>36</v>
      </c>
      <c r="D510" s="9" t="s">
        <v>2288</v>
      </c>
      <c r="E510" s="9">
        <v>100</v>
      </c>
      <c r="F510" s="10">
        <v>4756</v>
      </c>
      <c r="G510" s="10">
        <f t="shared" si="41"/>
        <v>475600</v>
      </c>
      <c r="H510" s="2"/>
      <c r="I510" s="2"/>
      <c r="J510" s="107"/>
    </row>
    <row r="511" spans="1:10" ht="17" thickBot="1" x14ac:dyDescent="0.25">
      <c r="A511" s="9" t="s">
        <v>159</v>
      </c>
      <c r="B511" s="75"/>
      <c r="C511" s="9" t="s">
        <v>36</v>
      </c>
      <c r="D511" s="9" t="s">
        <v>2289</v>
      </c>
      <c r="E511" s="9">
        <v>20</v>
      </c>
      <c r="F511" s="10">
        <v>4321</v>
      </c>
      <c r="G511" s="10">
        <f t="shared" si="41"/>
        <v>86420</v>
      </c>
      <c r="H511" s="2"/>
      <c r="I511" s="2"/>
      <c r="J511" s="107"/>
    </row>
    <row r="512" spans="1:10" ht="17" thickBot="1" x14ac:dyDescent="0.25">
      <c r="A512" s="9" t="s">
        <v>396</v>
      </c>
      <c r="B512" s="75"/>
      <c r="C512" s="9" t="s">
        <v>36</v>
      </c>
      <c r="D512" s="9" t="s">
        <v>41</v>
      </c>
      <c r="E512" s="9">
        <v>60</v>
      </c>
      <c r="F512" s="10">
        <v>20566.8</v>
      </c>
      <c r="G512" s="10">
        <f t="shared" si="41"/>
        <v>1234008</v>
      </c>
      <c r="H512" s="2"/>
      <c r="I512" s="2"/>
      <c r="J512" s="107"/>
    </row>
    <row r="513" spans="1:13" ht="17" thickBot="1" x14ac:dyDescent="0.25">
      <c r="A513" s="9" t="s">
        <v>2227</v>
      </c>
      <c r="B513" s="75"/>
      <c r="C513" s="9" t="s">
        <v>36</v>
      </c>
      <c r="D513" s="9" t="s">
        <v>2290</v>
      </c>
      <c r="E513" s="9">
        <v>100</v>
      </c>
      <c r="F513" s="10">
        <v>16240</v>
      </c>
      <c r="G513" s="10">
        <f t="shared" si="41"/>
        <v>1624000</v>
      </c>
      <c r="H513" s="2"/>
      <c r="I513" s="2"/>
      <c r="J513" s="107"/>
    </row>
    <row r="514" spans="1:13" ht="17" thickBot="1" x14ac:dyDescent="0.25">
      <c r="A514" s="255"/>
      <c r="C514" s="255"/>
      <c r="D514" s="255"/>
      <c r="E514" s="255"/>
      <c r="F514" s="264"/>
      <c r="G514" s="12">
        <f>SUM(G479:G513)</f>
        <v>39588828</v>
      </c>
      <c r="H514" s="2"/>
      <c r="I514" s="2"/>
      <c r="J514" s="107"/>
    </row>
    <row r="515" spans="1:13" ht="17" thickBot="1" x14ac:dyDescent="0.25">
      <c r="A515" s="30" t="s">
        <v>2018</v>
      </c>
      <c r="B515" s="77" t="s">
        <v>1188</v>
      </c>
      <c r="C515" s="2" t="s">
        <v>1187</v>
      </c>
      <c r="F515" s="2"/>
      <c r="H515" s="38" t="s">
        <v>2139</v>
      </c>
      <c r="K515" t="s">
        <v>2138</v>
      </c>
    </row>
    <row r="516" spans="1:13" ht="18" thickBot="1" x14ac:dyDescent="0.25">
      <c r="A516" s="9" t="s">
        <v>240</v>
      </c>
      <c r="B516" s="75" t="s">
        <v>2144</v>
      </c>
      <c r="C516" s="9" t="s">
        <v>36</v>
      </c>
      <c r="D516" s="9" t="s">
        <v>411</v>
      </c>
      <c r="E516" s="9">
        <v>40</v>
      </c>
      <c r="F516" s="106">
        <v>12412</v>
      </c>
      <c r="G516" s="106">
        <f>F516*E516</f>
        <v>496480</v>
      </c>
      <c r="H516" s="27"/>
      <c r="I516" s="199">
        <v>12412</v>
      </c>
      <c r="J516" s="199">
        <f>I516*H516</f>
        <v>0</v>
      </c>
      <c r="K516" s="23"/>
      <c r="L516" s="241">
        <v>12412</v>
      </c>
      <c r="M516" s="241">
        <f>L516*K516</f>
        <v>0</v>
      </c>
    </row>
    <row r="517" spans="1:13" ht="18" thickBot="1" x14ac:dyDescent="0.25">
      <c r="A517" s="9" t="s">
        <v>58</v>
      </c>
      <c r="B517" s="75" t="s">
        <v>879</v>
      </c>
      <c r="C517" s="9" t="s">
        <v>36</v>
      </c>
      <c r="D517" s="9" t="s">
        <v>264</v>
      </c>
      <c r="E517" s="9">
        <v>72</v>
      </c>
      <c r="F517" s="106">
        <v>136764</v>
      </c>
      <c r="G517" s="106">
        <f t="shared" ref="G517:G535" si="42">F517*E517</f>
        <v>9847008</v>
      </c>
      <c r="H517" s="27">
        <v>18</v>
      </c>
      <c r="I517" s="199">
        <v>136764</v>
      </c>
      <c r="J517" s="199">
        <f t="shared" ref="J517:J535" si="43">I517*H517</f>
        <v>2461752</v>
      </c>
      <c r="K517" s="23"/>
      <c r="L517" s="241">
        <v>136764</v>
      </c>
      <c r="M517" s="241">
        <f t="shared" ref="M517:M535" si="44">L517*K517</f>
        <v>0</v>
      </c>
    </row>
    <row r="518" spans="1:13" ht="18" thickBot="1" x14ac:dyDescent="0.25">
      <c r="A518" s="9" t="s">
        <v>240</v>
      </c>
      <c r="B518" s="75" t="s">
        <v>889</v>
      </c>
      <c r="C518" s="9" t="s">
        <v>36</v>
      </c>
      <c r="D518" s="9" t="s">
        <v>66</v>
      </c>
      <c r="E518" s="9">
        <v>60</v>
      </c>
      <c r="F518" s="106">
        <v>7424</v>
      </c>
      <c r="G518" s="106">
        <f t="shared" si="42"/>
        <v>445440</v>
      </c>
      <c r="H518" s="27">
        <v>15</v>
      </c>
      <c r="I518" s="199">
        <v>7424</v>
      </c>
      <c r="J518" s="199">
        <f t="shared" si="43"/>
        <v>111360</v>
      </c>
      <c r="K518" s="23">
        <v>24</v>
      </c>
      <c r="L518" s="241">
        <v>7424</v>
      </c>
      <c r="M518" s="241">
        <f t="shared" si="44"/>
        <v>178176</v>
      </c>
    </row>
    <row r="519" spans="1:13" ht="18" thickBot="1" x14ac:dyDescent="0.25">
      <c r="A519" s="9" t="s">
        <v>45</v>
      </c>
      <c r="B519" s="75" t="s">
        <v>909</v>
      </c>
      <c r="C519" s="9" t="s">
        <v>36</v>
      </c>
      <c r="D519" s="9" t="s">
        <v>165</v>
      </c>
      <c r="E519" s="9">
        <v>40</v>
      </c>
      <c r="F519" s="106">
        <v>17516</v>
      </c>
      <c r="G519" s="106">
        <f t="shared" si="42"/>
        <v>700640</v>
      </c>
      <c r="H519" s="27">
        <v>10</v>
      </c>
      <c r="I519" s="199">
        <v>17516</v>
      </c>
      <c r="J519" s="199">
        <f t="shared" si="43"/>
        <v>175160</v>
      </c>
      <c r="K519" s="23"/>
      <c r="L519" s="241">
        <v>17516</v>
      </c>
      <c r="M519" s="241">
        <f t="shared" si="44"/>
        <v>0</v>
      </c>
    </row>
    <row r="520" spans="1:13" ht="18" thickBot="1" x14ac:dyDescent="0.25">
      <c r="A520" s="9" t="s">
        <v>240</v>
      </c>
      <c r="B520" s="75" t="s">
        <v>881</v>
      </c>
      <c r="C520" s="9" t="s">
        <v>36</v>
      </c>
      <c r="D520" s="9" t="s">
        <v>169</v>
      </c>
      <c r="E520" s="9">
        <v>40</v>
      </c>
      <c r="F520" s="106">
        <v>10904</v>
      </c>
      <c r="G520" s="106">
        <f t="shared" si="42"/>
        <v>436160</v>
      </c>
      <c r="H520" s="27">
        <v>10</v>
      </c>
      <c r="I520" s="199">
        <v>10904</v>
      </c>
      <c r="J520" s="199">
        <f t="shared" si="43"/>
        <v>109040</v>
      </c>
      <c r="K520" s="23">
        <v>12</v>
      </c>
      <c r="L520" s="241">
        <v>10904</v>
      </c>
      <c r="M520" s="241">
        <f t="shared" si="44"/>
        <v>130848</v>
      </c>
    </row>
    <row r="521" spans="1:13" ht="18" thickBot="1" x14ac:dyDescent="0.25">
      <c r="A521" s="9" t="s">
        <v>239</v>
      </c>
      <c r="B521" s="75" t="s">
        <v>892</v>
      </c>
      <c r="C521" s="9" t="s">
        <v>36</v>
      </c>
      <c r="D521" s="9" t="s">
        <v>80</v>
      </c>
      <c r="E521" s="9">
        <v>40</v>
      </c>
      <c r="F521" s="106">
        <v>4872</v>
      </c>
      <c r="G521" s="106">
        <f t="shared" si="42"/>
        <v>194880</v>
      </c>
      <c r="H521" s="27"/>
      <c r="I521" s="199">
        <v>4872</v>
      </c>
      <c r="J521" s="199">
        <f t="shared" si="43"/>
        <v>0</v>
      </c>
      <c r="K521" s="23">
        <v>20</v>
      </c>
      <c r="L521" s="241">
        <v>4872</v>
      </c>
      <c r="M521" s="241">
        <f t="shared" si="44"/>
        <v>97440</v>
      </c>
    </row>
    <row r="522" spans="1:13" ht="18" thickBot="1" x14ac:dyDescent="0.25">
      <c r="A522" s="9" t="s">
        <v>242</v>
      </c>
      <c r="B522" s="75" t="s">
        <v>904</v>
      </c>
      <c r="C522" s="9" t="s">
        <v>36</v>
      </c>
      <c r="D522" s="9" t="s">
        <v>794</v>
      </c>
      <c r="E522" s="9">
        <v>50</v>
      </c>
      <c r="F522" s="106">
        <v>14500</v>
      </c>
      <c r="G522" s="106">
        <f t="shared" si="42"/>
        <v>725000</v>
      </c>
      <c r="H522" s="27">
        <v>18</v>
      </c>
      <c r="I522" s="199">
        <v>14500</v>
      </c>
      <c r="J522" s="199">
        <f t="shared" si="43"/>
        <v>261000</v>
      </c>
      <c r="K522" s="23">
        <v>16</v>
      </c>
      <c r="L522" s="241">
        <v>14500</v>
      </c>
      <c r="M522" s="241">
        <f t="shared" si="44"/>
        <v>232000</v>
      </c>
    </row>
    <row r="523" spans="1:13" ht="18" thickBot="1" x14ac:dyDescent="0.25">
      <c r="A523" s="9" t="s">
        <v>243</v>
      </c>
      <c r="B523" s="75" t="s">
        <v>843</v>
      </c>
      <c r="C523" s="9" t="s">
        <v>36</v>
      </c>
      <c r="D523" s="9" t="s">
        <v>246</v>
      </c>
      <c r="E523" s="9">
        <v>40</v>
      </c>
      <c r="F523" s="106">
        <v>9860</v>
      </c>
      <c r="G523" s="106">
        <f t="shared" si="42"/>
        <v>394400</v>
      </c>
      <c r="H523" s="27"/>
      <c r="I523" s="199">
        <v>9860</v>
      </c>
      <c r="J523" s="199">
        <f t="shared" si="43"/>
        <v>0</v>
      </c>
      <c r="K523" s="23">
        <v>18</v>
      </c>
      <c r="L523" s="241">
        <v>9860</v>
      </c>
      <c r="M523" s="241">
        <f t="shared" si="44"/>
        <v>177480</v>
      </c>
    </row>
    <row r="524" spans="1:13" ht="18" thickBot="1" x14ac:dyDescent="0.25">
      <c r="A524" s="9" t="s">
        <v>243</v>
      </c>
      <c r="B524" s="75" t="s">
        <v>884</v>
      </c>
      <c r="C524" s="9" t="s">
        <v>36</v>
      </c>
      <c r="D524" s="9" t="s">
        <v>125</v>
      </c>
      <c r="E524" s="9">
        <v>60</v>
      </c>
      <c r="F524" s="106">
        <v>7772</v>
      </c>
      <c r="G524" s="106">
        <f t="shared" si="42"/>
        <v>466320</v>
      </c>
      <c r="H524" s="27"/>
      <c r="I524" s="199">
        <v>7772</v>
      </c>
      <c r="J524" s="199">
        <f t="shared" si="43"/>
        <v>0</v>
      </c>
      <c r="K524" s="23">
        <v>18</v>
      </c>
      <c r="L524" s="241">
        <v>7772</v>
      </c>
      <c r="M524" s="241">
        <f t="shared" si="44"/>
        <v>139896</v>
      </c>
    </row>
    <row r="525" spans="1:13" ht="18" thickBot="1" x14ac:dyDescent="0.25">
      <c r="A525" s="9" t="s">
        <v>45</v>
      </c>
      <c r="B525" s="75" t="s">
        <v>841</v>
      </c>
      <c r="C525" s="9" t="s">
        <v>36</v>
      </c>
      <c r="D525" s="9" t="s">
        <v>295</v>
      </c>
      <c r="E525" s="9">
        <v>40</v>
      </c>
      <c r="F525" s="106">
        <v>11484</v>
      </c>
      <c r="G525" s="106">
        <f t="shared" si="42"/>
        <v>459360</v>
      </c>
      <c r="H525" s="27"/>
      <c r="I525" s="199">
        <v>11484</v>
      </c>
      <c r="J525" s="199">
        <f t="shared" si="43"/>
        <v>0</v>
      </c>
      <c r="K525" s="23">
        <v>18</v>
      </c>
      <c r="L525" s="241">
        <v>11484</v>
      </c>
      <c r="M525" s="241">
        <f t="shared" si="44"/>
        <v>206712</v>
      </c>
    </row>
    <row r="526" spans="1:13" ht="18" thickBot="1" x14ac:dyDescent="0.25">
      <c r="A526" s="9" t="s">
        <v>240</v>
      </c>
      <c r="B526" s="75" t="s">
        <v>845</v>
      </c>
      <c r="C526" s="9" t="s">
        <v>36</v>
      </c>
      <c r="D526" s="9" t="s">
        <v>205</v>
      </c>
      <c r="E526" s="9">
        <v>40</v>
      </c>
      <c r="F526" s="106">
        <v>11832</v>
      </c>
      <c r="G526" s="106">
        <f t="shared" si="42"/>
        <v>473280</v>
      </c>
      <c r="H526" s="27">
        <v>10</v>
      </c>
      <c r="I526" s="199">
        <v>11832</v>
      </c>
      <c r="J526" s="199">
        <f t="shared" si="43"/>
        <v>118320</v>
      </c>
      <c r="K526" s="23">
        <v>12</v>
      </c>
      <c r="L526" s="241">
        <v>11832</v>
      </c>
      <c r="M526" s="241">
        <f t="shared" si="44"/>
        <v>141984</v>
      </c>
    </row>
    <row r="527" spans="1:13" ht="18" thickBot="1" x14ac:dyDescent="0.25">
      <c r="A527" s="9" t="s">
        <v>1186</v>
      </c>
      <c r="B527" s="75" t="s">
        <v>2144</v>
      </c>
      <c r="C527" s="9" t="s">
        <v>36</v>
      </c>
      <c r="D527" s="9" t="s">
        <v>414</v>
      </c>
      <c r="E527" s="9">
        <v>40</v>
      </c>
      <c r="F527" s="106">
        <v>12064</v>
      </c>
      <c r="G527" s="106">
        <f t="shared" si="42"/>
        <v>482560</v>
      </c>
      <c r="H527" s="27"/>
      <c r="I527" s="199">
        <v>12064</v>
      </c>
      <c r="J527" s="199">
        <f t="shared" si="43"/>
        <v>0</v>
      </c>
      <c r="K527" s="23">
        <v>18</v>
      </c>
      <c r="L527" s="241">
        <v>12064</v>
      </c>
      <c r="M527" s="241">
        <f t="shared" si="44"/>
        <v>217152</v>
      </c>
    </row>
    <row r="528" spans="1:13" ht="18" thickBot="1" x14ac:dyDescent="0.25">
      <c r="A528" s="9" t="s">
        <v>45</v>
      </c>
      <c r="B528" s="75" t="s">
        <v>876</v>
      </c>
      <c r="C528" s="9" t="s">
        <v>36</v>
      </c>
      <c r="D528" s="9" t="s">
        <v>39</v>
      </c>
      <c r="E528" s="9">
        <v>40</v>
      </c>
      <c r="F528" s="106">
        <v>15080</v>
      </c>
      <c r="G528" s="106">
        <f t="shared" si="42"/>
        <v>603200</v>
      </c>
      <c r="H528" s="27"/>
      <c r="I528" s="199">
        <v>15080</v>
      </c>
      <c r="J528" s="199">
        <f t="shared" si="43"/>
        <v>0</v>
      </c>
      <c r="K528" s="23">
        <v>20</v>
      </c>
      <c r="L528" s="241">
        <v>15080</v>
      </c>
      <c r="M528" s="241">
        <f t="shared" si="44"/>
        <v>301600</v>
      </c>
    </row>
    <row r="529" spans="1:13" ht="18" thickBot="1" x14ac:dyDescent="0.25">
      <c r="A529" s="9" t="s">
        <v>1146</v>
      </c>
      <c r="B529" s="75" t="s">
        <v>878</v>
      </c>
      <c r="C529" s="9" t="s">
        <v>36</v>
      </c>
      <c r="D529" s="9" t="s">
        <v>244</v>
      </c>
      <c r="E529" s="9">
        <v>40</v>
      </c>
      <c r="F529" s="106">
        <v>17400</v>
      </c>
      <c r="G529" s="106">
        <f t="shared" si="42"/>
        <v>696000</v>
      </c>
      <c r="H529" s="27"/>
      <c r="I529" s="199">
        <v>17400</v>
      </c>
      <c r="J529" s="199">
        <f t="shared" si="43"/>
        <v>0</v>
      </c>
      <c r="K529" s="23">
        <v>12</v>
      </c>
      <c r="L529" s="241">
        <v>17400</v>
      </c>
      <c r="M529" s="241">
        <f t="shared" si="44"/>
        <v>208800</v>
      </c>
    </row>
    <row r="530" spans="1:13" ht="18" thickBot="1" x14ac:dyDescent="0.25">
      <c r="A530" s="9" t="s">
        <v>1185</v>
      </c>
      <c r="B530" s="75" t="s">
        <v>846</v>
      </c>
      <c r="C530" s="9" t="s">
        <v>36</v>
      </c>
      <c r="D530" s="9" t="s">
        <v>41</v>
      </c>
      <c r="E530" s="9">
        <v>60</v>
      </c>
      <c r="F530" s="106">
        <v>17400</v>
      </c>
      <c r="G530" s="106">
        <f t="shared" si="42"/>
        <v>1044000</v>
      </c>
      <c r="H530" s="27"/>
      <c r="I530" s="199">
        <v>17400</v>
      </c>
      <c r="J530" s="199">
        <f t="shared" si="43"/>
        <v>0</v>
      </c>
      <c r="K530" s="23">
        <v>12</v>
      </c>
      <c r="L530" s="241">
        <v>17400</v>
      </c>
      <c r="M530" s="241">
        <f t="shared" si="44"/>
        <v>208800</v>
      </c>
    </row>
    <row r="531" spans="1:13" ht="18" thickBot="1" x14ac:dyDescent="0.25">
      <c r="A531" s="9" t="s">
        <v>239</v>
      </c>
      <c r="B531" s="75" t="s">
        <v>1346</v>
      </c>
      <c r="C531" s="9" t="s">
        <v>36</v>
      </c>
      <c r="D531" s="9" t="s">
        <v>393</v>
      </c>
      <c r="E531" s="9">
        <v>60</v>
      </c>
      <c r="F531" s="106">
        <v>4872</v>
      </c>
      <c r="G531" s="106">
        <f t="shared" si="42"/>
        <v>292320</v>
      </c>
      <c r="H531" s="27"/>
      <c r="I531" s="199">
        <v>4872</v>
      </c>
      <c r="J531" s="199">
        <f t="shared" si="43"/>
        <v>0</v>
      </c>
      <c r="K531" s="23">
        <v>24</v>
      </c>
      <c r="L531" s="241">
        <v>4872</v>
      </c>
      <c r="M531" s="241">
        <f t="shared" si="44"/>
        <v>116928</v>
      </c>
    </row>
    <row r="532" spans="1:13" ht="18" thickBot="1" x14ac:dyDescent="0.25">
      <c r="A532" s="9" t="s">
        <v>292</v>
      </c>
      <c r="B532" s="75" t="s">
        <v>1361</v>
      </c>
      <c r="C532" s="9" t="s">
        <v>36</v>
      </c>
      <c r="D532" s="9" t="s">
        <v>312</v>
      </c>
      <c r="E532" s="9">
        <v>40</v>
      </c>
      <c r="F532" s="106">
        <v>3886</v>
      </c>
      <c r="G532" s="106">
        <f t="shared" si="42"/>
        <v>155440</v>
      </c>
      <c r="H532" s="27"/>
      <c r="I532" s="199">
        <v>3886</v>
      </c>
      <c r="J532" s="199">
        <f t="shared" si="43"/>
        <v>0</v>
      </c>
      <c r="K532" s="23">
        <v>18</v>
      </c>
      <c r="L532" s="241">
        <v>3886</v>
      </c>
      <c r="M532" s="241">
        <f t="shared" si="44"/>
        <v>69948</v>
      </c>
    </row>
    <row r="533" spans="1:13" ht="18" thickBot="1" x14ac:dyDescent="0.25">
      <c r="A533" s="9" t="s">
        <v>239</v>
      </c>
      <c r="B533" s="75" t="s">
        <v>854</v>
      </c>
      <c r="C533" s="9" t="s">
        <v>36</v>
      </c>
      <c r="D533" s="9" t="s">
        <v>163</v>
      </c>
      <c r="E533" s="9">
        <v>40</v>
      </c>
      <c r="F533" s="106">
        <v>5452</v>
      </c>
      <c r="G533" s="106">
        <f t="shared" si="42"/>
        <v>218080</v>
      </c>
      <c r="H533" s="27"/>
      <c r="I533" s="199">
        <v>5452</v>
      </c>
      <c r="J533" s="199">
        <f t="shared" si="43"/>
        <v>0</v>
      </c>
      <c r="K533" s="23">
        <v>20</v>
      </c>
      <c r="L533" s="241">
        <v>5452</v>
      </c>
      <c r="M533" s="241">
        <f t="shared" si="44"/>
        <v>109040</v>
      </c>
    </row>
    <row r="534" spans="1:13" ht="18" thickBot="1" x14ac:dyDescent="0.25">
      <c r="A534" s="9" t="s">
        <v>58</v>
      </c>
      <c r="B534" s="75" t="s">
        <v>911</v>
      </c>
      <c r="C534" s="9" t="s">
        <v>36</v>
      </c>
      <c r="D534" s="9" t="s">
        <v>1184</v>
      </c>
      <c r="E534" s="9">
        <v>72</v>
      </c>
      <c r="F534" s="106">
        <v>136764</v>
      </c>
      <c r="G534" s="106">
        <f t="shared" si="42"/>
        <v>9847008</v>
      </c>
      <c r="H534" s="27"/>
      <c r="I534" s="199">
        <v>136764</v>
      </c>
      <c r="J534" s="199">
        <f t="shared" si="43"/>
        <v>0</v>
      </c>
      <c r="K534" s="23">
        <v>36</v>
      </c>
      <c r="L534" s="241">
        <v>136764</v>
      </c>
      <c r="M534" s="241">
        <f t="shared" si="44"/>
        <v>4923504</v>
      </c>
    </row>
    <row r="535" spans="1:13" ht="18" thickBot="1" x14ac:dyDescent="0.25">
      <c r="A535" s="9" t="s">
        <v>290</v>
      </c>
      <c r="B535" s="75" t="s">
        <v>1564</v>
      </c>
      <c r="C535" s="9" t="s">
        <v>36</v>
      </c>
      <c r="D535" s="9" t="s">
        <v>119</v>
      </c>
      <c r="E535" s="9">
        <v>100</v>
      </c>
      <c r="F535" s="106">
        <v>4872</v>
      </c>
      <c r="G535" s="106">
        <f t="shared" si="42"/>
        <v>487200</v>
      </c>
      <c r="H535" s="27"/>
      <c r="I535" s="199">
        <v>4872</v>
      </c>
      <c r="J535" s="199">
        <f t="shared" si="43"/>
        <v>0</v>
      </c>
      <c r="K535" s="23">
        <v>48</v>
      </c>
      <c r="L535" s="241">
        <v>4872</v>
      </c>
      <c r="M535" s="241">
        <f t="shared" si="44"/>
        <v>233856</v>
      </c>
    </row>
    <row r="536" spans="1:13" ht="17" thickBot="1" x14ac:dyDescent="0.25">
      <c r="A536" s="2"/>
      <c r="F536" s="2"/>
      <c r="G536" s="103">
        <f>SUM(G516:G535)</f>
        <v>28464776</v>
      </c>
      <c r="H536" s="2"/>
      <c r="I536" s="2"/>
      <c r="J536" s="150">
        <f>SUM(J516:J535)</f>
        <v>3236632</v>
      </c>
      <c r="K536" s="2"/>
      <c r="L536" s="2"/>
      <c r="M536" s="244">
        <f>SUM(M516:M535)</f>
        <v>7694164</v>
      </c>
    </row>
    <row r="538" spans="1:13" ht="18" thickBot="1" x14ac:dyDescent="0.25">
      <c r="A538" s="7" t="s">
        <v>378</v>
      </c>
      <c r="B538" s="80"/>
      <c r="C538" s="2" t="s">
        <v>33</v>
      </c>
      <c r="D538" s="2" t="s">
        <v>34</v>
      </c>
    </row>
    <row r="539" spans="1:13" ht="18" thickBot="1" x14ac:dyDescent="0.25">
      <c r="A539" s="8" t="s">
        <v>35</v>
      </c>
      <c r="B539" s="75" t="s">
        <v>876</v>
      </c>
      <c r="C539" s="9" t="s">
        <v>36</v>
      </c>
      <c r="D539" s="9" t="s">
        <v>39</v>
      </c>
      <c r="E539" s="9">
        <v>20</v>
      </c>
      <c r="F539" s="10">
        <v>13572</v>
      </c>
      <c r="G539" s="10">
        <f>E539*F539</f>
        <v>271440</v>
      </c>
      <c r="H539" s="39">
        <v>5</v>
      </c>
      <c r="I539" s="24">
        <v>13572</v>
      </c>
      <c r="J539" s="24">
        <f>H539*I539</f>
        <v>67860</v>
      </c>
      <c r="K539" s="92"/>
      <c r="L539" s="93">
        <v>13572</v>
      </c>
      <c r="M539" s="93">
        <f>K539*L539</f>
        <v>0</v>
      </c>
    </row>
    <row r="540" spans="1:13" ht="18" thickBot="1" x14ac:dyDescent="0.25">
      <c r="A540" s="8" t="s">
        <v>37</v>
      </c>
      <c r="B540" s="75" t="s">
        <v>877</v>
      </c>
      <c r="C540" s="9" t="s">
        <v>36</v>
      </c>
      <c r="D540" s="9" t="s">
        <v>40</v>
      </c>
      <c r="E540" s="9">
        <v>50</v>
      </c>
      <c r="F540" s="10">
        <v>858.4</v>
      </c>
      <c r="G540" s="10">
        <f>E540*F540</f>
        <v>42920</v>
      </c>
      <c r="H540" s="39">
        <v>10</v>
      </c>
      <c r="I540" s="24">
        <v>858.4</v>
      </c>
      <c r="J540" s="24">
        <f>H540*I540</f>
        <v>8584</v>
      </c>
      <c r="K540" s="92"/>
      <c r="L540" s="93">
        <v>858.4</v>
      </c>
      <c r="M540" s="93">
        <f>K540*L540</f>
        <v>0</v>
      </c>
    </row>
    <row r="541" spans="1:13" ht="18" thickBot="1" x14ac:dyDescent="0.25">
      <c r="A541" s="8" t="s">
        <v>38</v>
      </c>
      <c r="B541" s="75" t="s">
        <v>846</v>
      </c>
      <c r="C541" s="9" t="s">
        <v>36</v>
      </c>
      <c r="D541" s="9" t="s">
        <v>41</v>
      </c>
      <c r="E541" s="9">
        <v>20</v>
      </c>
      <c r="F541" s="10">
        <v>20868.400000000001</v>
      </c>
      <c r="G541" s="10">
        <f>E541*F541</f>
        <v>417368</v>
      </c>
      <c r="H541" s="39"/>
      <c r="I541" s="24">
        <v>20868.400000000001</v>
      </c>
      <c r="J541" s="24">
        <f>H541*I541</f>
        <v>0</v>
      </c>
      <c r="K541" s="92">
        <v>20</v>
      </c>
      <c r="L541" s="93">
        <v>20868.400000000001</v>
      </c>
      <c r="M541" s="93">
        <f>K541*L541</f>
        <v>417368</v>
      </c>
    </row>
    <row r="542" spans="1:13" ht="17" thickBot="1" x14ac:dyDescent="0.25">
      <c r="G542" s="12">
        <f>SUM(G539:G541)</f>
        <v>731728</v>
      </c>
      <c r="J542" s="26">
        <f>SUM(J539:J541)</f>
        <v>76444</v>
      </c>
      <c r="K542" s="2"/>
      <c r="L542" s="3"/>
      <c r="M542" s="94">
        <f>SUM(M539:M541)</f>
        <v>417368</v>
      </c>
    </row>
    <row r="543" spans="1:13" x14ac:dyDescent="0.2">
      <c r="G543" s="33"/>
    </row>
    <row r="544" spans="1:13" ht="18" thickBot="1" x14ac:dyDescent="0.25">
      <c r="A544" s="7" t="s">
        <v>265</v>
      </c>
      <c r="B544" s="80"/>
      <c r="G544" s="33"/>
      <c r="K544" s="36">
        <v>46191</v>
      </c>
    </row>
    <row r="545" spans="1:22" ht="18" thickBot="1" x14ac:dyDescent="0.25">
      <c r="A545" s="8" t="s">
        <v>238</v>
      </c>
      <c r="B545" s="75" t="s">
        <v>878</v>
      </c>
      <c r="C545" s="9" t="s">
        <v>36</v>
      </c>
      <c r="D545" s="9" t="s">
        <v>263</v>
      </c>
      <c r="E545" s="9">
        <v>20</v>
      </c>
      <c r="F545" s="10">
        <v>18676</v>
      </c>
      <c r="G545" s="10">
        <f>F545*E545</f>
        <v>373520</v>
      </c>
      <c r="H545" s="39"/>
      <c r="I545" s="24">
        <v>18676</v>
      </c>
      <c r="J545" s="24">
        <f>I545*H545</f>
        <v>0</v>
      </c>
      <c r="K545" s="92">
        <v>20</v>
      </c>
      <c r="L545" s="93">
        <v>18676</v>
      </c>
      <c r="M545" s="93">
        <f>L545*K545</f>
        <v>373520</v>
      </c>
    </row>
    <row r="546" spans="1:22" ht="18" thickBot="1" x14ac:dyDescent="0.25">
      <c r="A546" s="8" t="s">
        <v>58</v>
      </c>
      <c r="B546" s="75" t="s">
        <v>879</v>
      </c>
      <c r="C546" s="9" t="s">
        <v>262</v>
      </c>
      <c r="D546" s="9" t="s">
        <v>264</v>
      </c>
      <c r="E546" s="9">
        <v>145</v>
      </c>
      <c r="F546" s="10">
        <v>116000</v>
      </c>
      <c r="G546" s="10">
        <f>F546*E546</f>
        <v>16820000</v>
      </c>
      <c r="H546" s="39">
        <v>38</v>
      </c>
      <c r="I546" s="24">
        <v>116000</v>
      </c>
      <c r="J546" s="24">
        <f>I546*H546</f>
        <v>4408000</v>
      </c>
      <c r="K546" s="92">
        <v>36</v>
      </c>
      <c r="L546" s="93">
        <v>116000</v>
      </c>
      <c r="M546" s="93">
        <f>L546*K546</f>
        <v>4176000</v>
      </c>
    </row>
    <row r="547" spans="1:22" ht="18" thickBot="1" x14ac:dyDescent="0.25">
      <c r="A547" s="8" t="s">
        <v>45</v>
      </c>
      <c r="B547" s="75" t="s">
        <v>877</v>
      </c>
      <c r="C547" s="9" t="s">
        <v>36</v>
      </c>
      <c r="D547" s="9" t="s">
        <v>40</v>
      </c>
      <c r="E547" s="9">
        <v>50</v>
      </c>
      <c r="F547" s="10">
        <v>916.4</v>
      </c>
      <c r="G547" s="10">
        <f>F547*E547</f>
        <v>45820</v>
      </c>
      <c r="H547" s="39"/>
      <c r="I547" s="24">
        <v>916.4</v>
      </c>
      <c r="J547" s="24">
        <f>I547*H547</f>
        <v>0</v>
      </c>
      <c r="K547" s="92"/>
      <c r="L547" s="93">
        <v>916.4</v>
      </c>
      <c r="M547" s="93">
        <f>L547*K547</f>
        <v>0</v>
      </c>
    </row>
    <row r="548" spans="1:22" ht="17" thickBot="1" x14ac:dyDescent="0.25">
      <c r="G548" s="12">
        <f>SUM(G545:G547)</f>
        <v>17239340</v>
      </c>
      <c r="J548" s="26">
        <f>SUM(J545:J547)</f>
        <v>4408000</v>
      </c>
      <c r="K548" s="2"/>
      <c r="L548" s="3"/>
      <c r="M548" s="94">
        <f>SUM(M545:M547)</f>
        <v>4549520</v>
      </c>
    </row>
    <row r="549" spans="1:22" ht="18" thickBot="1" x14ac:dyDescent="0.25">
      <c r="A549" s="7" t="s">
        <v>266</v>
      </c>
      <c r="B549" s="80"/>
      <c r="G549" s="33"/>
      <c r="K549" s="36">
        <v>46191</v>
      </c>
    </row>
    <row r="550" spans="1:22" ht="18" thickBot="1" x14ac:dyDescent="0.25">
      <c r="A550" s="8" t="s">
        <v>38</v>
      </c>
      <c r="B550" s="75" t="s">
        <v>846</v>
      </c>
      <c r="C550" s="9" t="s">
        <v>36</v>
      </c>
      <c r="D550" s="9" t="s">
        <v>41</v>
      </c>
      <c r="E550" s="9">
        <v>20</v>
      </c>
      <c r="F550" s="10">
        <v>17516</v>
      </c>
      <c r="G550" s="10">
        <f>F550*E550</f>
        <v>350320</v>
      </c>
      <c r="H550" s="23">
        <v>10</v>
      </c>
      <c r="I550" s="24">
        <v>17516</v>
      </c>
      <c r="J550" s="24">
        <f>I550*H550</f>
        <v>175160</v>
      </c>
      <c r="K550" s="92"/>
      <c r="L550" s="93">
        <v>17516</v>
      </c>
      <c r="M550" s="93">
        <f>L550*K550</f>
        <v>0</v>
      </c>
    </row>
    <row r="551" spans="1:22" ht="18" thickBot="1" x14ac:dyDescent="0.25">
      <c r="A551" s="8" t="s">
        <v>267</v>
      </c>
      <c r="B551" s="75" t="s">
        <v>878</v>
      </c>
      <c r="C551" s="9" t="s">
        <v>36</v>
      </c>
      <c r="D551" s="9" t="s">
        <v>244</v>
      </c>
      <c r="E551" s="9">
        <v>20</v>
      </c>
      <c r="F551" s="10">
        <v>17400</v>
      </c>
      <c r="G551" s="10">
        <f>F551*E551</f>
        <v>348000</v>
      </c>
      <c r="H551" s="23">
        <v>15</v>
      </c>
      <c r="I551" s="24">
        <v>17400</v>
      </c>
      <c r="J551" s="24">
        <f>I551*H551</f>
        <v>261000</v>
      </c>
      <c r="K551" s="92">
        <v>5</v>
      </c>
      <c r="L551" s="93">
        <v>17400</v>
      </c>
      <c r="M551" s="93">
        <f>L551*K551</f>
        <v>87000</v>
      </c>
    </row>
    <row r="552" spans="1:22" ht="18" thickBot="1" x14ac:dyDescent="0.25">
      <c r="A552" s="8" t="s">
        <v>37</v>
      </c>
      <c r="B552" s="75" t="s">
        <v>877</v>
      </c>
      <c r="C552" s="9" t="s">
        <v>36</v>
      </c>
      <c r="D552" s="9" t="s">
        <v>40</v>
      </c>
      <c r="E552" s="9">
        <v>50</v>
      </c>
      <c r="F552" s="10">
        <v>916.4</v>
      </c>
      <c r="G552" s="10">
        <f>F552*E552</f>
        <v>45820</v>
      </c>
      <c r="H552" s="23"/>
      <c r="I552" s="24">
        <v>916.4</v>
      </c>
      <c r="J552" s="24">
        <f>I552*H552</f>
        <v>0</v>
      </c>
      <c r="K552" s="92"/>
      <c r="L552" s="93">
        <v>916.4</v>
      </c>
      <c r="M552" s="93">
        <f>L552*K552</f>
        <v>0</v>
      </c>
    </row>
    <row r="553" spans="1:22" ht="17" thickBot="1" x14ac:dyDescent="0.25">
      <c r="G553" s="12">
        <f>SUM(G550:G552)</f>
        <v>744140</v>
      </c>
      <c r="H553" s="2"/>
      <c r="J553" s="26">
        <f>SUM(J550:J552)</f>
        <v>436160</v>
      </c>
      <c r="K553" s="2"/>
      <c r="L553" s="3"/>
      <c r="M553" s="94">
        <f>SUM(M550:M552)</f>
        <v>87000</v>
      </c>
    </row>
    <row r="554" spans="1:22" x14ac:dyDescent="0.2">
      <c r="G554" s="33"/>
      <c r="H554" s="2"/>
      <c r="J554" s="33"/>
    </row>
    <row r="555" spans="1:22" x14ac:dyDescent="0.2">
      <c r="G555" s="33"/>
    </row>
    <row r="556" spans="1:22" ht="18" thickBot="1" x14ac:dyDescent="0.25">
      <c r="A556" s="7" t="s">
        <v>247</v>
      </c>
      <c r="B556" s="80"/>
      <c r="G556" s="33"/>
      <c r="Q556" s="36">
        <v>46181</v>
      </c>
      <c r="T556" s="36">
        <v>46191</v>
      </c>
    </row>
    <row r="557" spans="1:22" ht="18" thickBot="1" x14ac:dyDescent="0.25">
      <c r="A557" s="8" t="s">
        <v>238</v>
      </c>
      <c r="B557" s="75" t="s">
        <v>878</v>
      </c>
      <c r="C557" s="9" t="s">
        <v>36</v>
      </c>
      <c r="D557" s="9" t="s">
        <v>244</v>
      </c>
      <c r="E557" s="9">
        <v>20</v>
      </c>
      <c r="F557" s="10">
        <v>18676</v>
      </c>
      <c r="G557" s="10">
        <f>F557*E557</f>
        <v>373520</v>
      </c>
      <c r="H557" s="39">
        <v>5</v>
      </c>
      <c r="I557" s="24">
        <v>18676</v>
      </c>
      <c r="J557" s="24">
        <f>I557*H557</f>
        <v>93380</v>
      </c>
      <c r="K557" s="27"/>
      <c r="L557" s="28">
        <v>18676</v>
      </c>
      <c r="M557" s="28">
        <f>L557*K557</f>
        <v>0</v>
      </c>
      <c r="N557" s="23"/>
      <c r="O557" s="24">
        <v>18676</v>
      </c>
      <c r="P557" s="24">
        <f>O557*N557</f>
        <v>0</v>
      </c>
      <c r="Q557" s="92"/>
      <c r="R557" s="93">
        <v>18676</v>
      </c>
      <c r="S557" s="93">
        <f>R557*Q557</f>
        <v>0</v>
      </c>
      <c r="T557" s="23"/>
      <c r="U557" s="24">
        <v>18676</v>
      </c>
      <c r="V557" s="24">
        <f>U557*T557</f>
        <v>0</v>
      </c>
    </row>
    <row r="558" spans="1:22" ht="18" thickBot="1" x14ac:dyDescent="0.25">
      <c r="A558" s="8" t="s">
        <v>239</v>
      </c>
      <c r="B558" s="75" t="s">
        <v>857</v>
      </c>
      <c r="C558" s="9" t="s">
        <v>36</v>
      </c>
      <c r="D558" s="9" t="s">
        <v>163</v>
      </c>
      <c r="E558" s="9">
        <v>40</v>
      </c>
      <c r="F558" s="10">
        <v>6612</v>
      </c>
      <c r="G558" s="10">
        <f t="shared" ref="G558:G566" si="45">F558*E558</f>
        <v>264480</v>
      </c>
      <c r="H558" s="39">
        <v>10</v>
      </c>
      <c r="I558" s="24">
        <v>6612</v>
      </c>
      <c r="J558" s="24">
        <f t="shared" ref="J558:J566" si="46">I558*H558</f>
        <v>66120</v>
      </c>
      <c r="K558" s="27"/>
      <c r="L558" s="28">
        <v>6612</v>
      </c>
      <c r="M558" s="28">
        <f t="shared" ref="M558:M566" si="47">L558*K558</f>
        <v>0</v>
      </c>
      <c r="N558" s="23"/>
      <c r="O558" s="24">
        <v>6612</v>
      </c>
      <c r="P558" s="24">
        <f t="shared" ref="P558:P566" si="48">O558*N558</f>
        <v>0</v>
      </c>
      <c r="Q558" s="92"/>
      <c r="R558" s="93">
        <v>6612</v>
      </c>
      <c r="S558" s="93">
        <f t="shared" ref="S558:S566" si="49">R558*Q558</f>
        <v>0</v>
      </c>
      <c r="T558" s="23">
        <v>10</v>
      </c>
      <c r="U558" s="24">
        <v>6612</v>
      </c>
      <c r="V558" s="24">
        <f t="shared" ref="V558:V566" si="50">U558*T558</f>
        <v>66120</v>
      </c>
    </row>
    <row r="559" spans="1:22" ht="18" thickBot="1" x14ac:dyDescent="0.25">
      <c r="A559" s="8" t="s">
        <v>35</v>
      </c>
      <c r="B559" s="75" t="s">
        <v>880</v>
      </c>
      <c r="C559" s="9" t="s">
        <v>36</v>
      </c>
      <c r="D559" s="9" t="s">
        <v>198</v>
      </c>
      <c r="E559" s="9">
        <v>20</v>
      </c>
      <c r="F559" s="10">
        <v>11895.8</v>
      </c>
      <c r="G559" s="10">
        <f t="shared" si="45"/>
        <v>237916</v>
      </c>
      <c r="H559" s="39">
        <v>5</v>
      </c>
      <c r="I559" s="24">
        <v>11895.8</v>
      </c>
      <c r="J559" s="24">
        <f t="shared" si="46"/>
        <v>59479</v>
      </c>
      <c r="K559" s="27"/>
      <c r="L559" s="28">
        <v>11895.8</v>
      </c>
      <c r="M559" s="28">
        <f t="shared" si="47"/>
        <v>0</v>
      </c>
      <c r="N559" s="23"/>
      <c r="O559" s="24">
        <v>11895.8</v>
      </c>
      <c r="P559" s="24">
        <f t="shared" si="48"/>
        <v>0</v>
      </c>
      <c r="Q559" s="92"/>
      <c r="R559" s="93">
        <v>11895.8</v>
      </c>
      <c r="S559" s="93">
        <f t="shared" si="49"/>
        <v>0</v>
      </c>
      <c r="T559" s="23"/>
      <c r="U559" s="24">
        <v>11895.8</v>
      </c>
      <c r="V559" s="24">
        <f t="shared" si="50"/>
        <v>0</v>
      </c>
    </row>
    <row r="560" spans="1:22" ht="18" thickBot="1" x14ac:dyDescent="0.25">
      <c r="A560" s="8" t="s">
        <v>240</v>
      </c>
      <c r="B560" s="75" t="s">
        <v>881</v>
      </c>
      <c r="C560" s="9" t="s">
        <v>36</v>
      </c>
      <c r="D560" s="9" t="s">
        <v>169</v>
      </c>
      <c r="E560" s="9">
        <v>20</v>
      </c>
      <c r="F560" s="10">
        <v>11484</v>
      </c>
      <c r="G560" s="10">
        <f t="shared" si="45"/>
        <v>229680</v>
      </c>
      <c r="H560" s="39">
        <v>10</v>
      </c>
      <c r="I560" s="24">
        <v>11484</v>
      </c>
      <c r="J560" s="24">
        <f t="shared" si="46"/>
        <v>114840</v>
      </c>
      <c r="K560" s="27"/>
      <c r="L560" s="28">
        <v>11484</v>
      </c>
      <c r="M560" s="28">
        <f t="shared" si="47"/>
        <v>0</v>
      </c>
      <c r="N560" s="23"/>
      <c r="O560" s="24">
        <v>11484</v>
      </c>
      <c r="P560" s="24">
        <f t="shared" si="48"/>
        <v>0</v>
      </c>
      <c r="Q560" s="92"/>
      <c r="R560" s="93">
        <v>11484</v>
      </c>
      <c r="S560" s="93">
        <f t="shared" si="49"/>
        <v>0</v>
      </c>
      <c r="T560" s="23"/>
      <c r="U560" s="24">
        <v>11484</v>
      </c>
      <c r="V560" s="24">
        <f t="shared" si="50"/>
        <v>0</v>
      </c>
    </row>
    <row r="561" spans="1:22" ht="18" thickBot="1" x14ac:dyDescent="0.25">
      <c r="A561" s="8" t="s">
        <v>241</v>
      </c>
      <c r="B561" s="75" t="s">
        <v>839</v>
      </c>
      <c r="C561" s="9" t="s">
        <v>36</v>
      </c>
      <c r="D561" s="9" t="s">
        <v>80</v>
      </c>
      <c r="E561" s="9">
        <v>40</v>
      </c>
      <c r="F561" s="10">
        <v>5088.3999999999996</v>
      </c>
      <c r="G561" s="10">
        <f t="shared" si="45"/>
        <v>203536</v>
      </c>
      <c r="H561" s="39">
        <v>5</v>
      </c>
      <c r="I561" s="24">
        <v>5088.3999999999996</v>
      </c>
      <c r="J561" s="24">
        <f t="shared" si="46"/>
        <v>25442</v>
      </c>
      <c r="K561" s="27">
        <v>6</v>
      </c>
      <c r="L561" s="28">
        <v>5088.3999999999996</v>
      </c>
      <c r="M561" s="28">
        <f t="shared" si="47"/>
        <v>30530.399999999998</v>
      </c>
      <c r="N561" s="23"/>
      <c r="O561" s="24">
        <v>5088.3999999999996</v>
      </c>
      <c r="P561" s="24">
        <f t="shared" si="48"/>
        <v>0</v>
      </c>
      <c r="Q561" s="92"/>
      <c r="R561" s="93">
        <v>5088.3999999999996</v>
      </c>
      <c r="S561" s="93">
        <f t="shared" si="49"/>
        <v>0</v>
      </c>
      <c r="T561" s="23">
        <v>16</v>
      </c>
      <c r="U561" s="24">
        <v>5088.3999999999996</v>
      </c>
      <c r="V561" s="24">
        <f t="shared" si="50"/>
        <v>81414.399999999994</v>
      </c>
    </row>
    <row r="562" spans="1:22" ht="18" thickBot="1" x14ac:dyDescent="0.25">
      <c r="A562" s="8" t="s">
        <v>58</v>
      </c>
      <c r="B562" s="75" t="s">
        <v>849</v>
      </c>
      <c r="C562" s="9" t="s">
        <v>36</v>
      </c>
      <c r="D562" s="9" t="s">
        <v>122</v>
      </c>
      <c r="E562" s="9">
        <v>385</v>
      </c>
      <c r="F562" s="10">
        <v>4640</v>
      </c>
      <c r="G562" s="10">
        <f t="shared" si="45"/>
        <v>1786400</v>
      </c>
      <c r="H562" s="39">
        <v>20</v>
      </c>
      <c r="I562" s="24">
        <v>4640</v>
      </c>
      <c r="J562" s="24">
        <f t="shared" si="46"/>
        <v>92800</v>
      </c>
      <c r="K562" s="27">
        <v>81</v>
      </c>
      <c r="L562" s="28">
        <v>4640</v>
      </c>
      <c r="M562" s="28">
        <f t="shared" si="47"/>
        <v>375840</v>
      </c>
      <c r="N562" s="23">
        <v>40</v>
      </c>
      <c r="O562" s="24">
        <v>4640</v>
      </c>
      <c r="P562" s="24">
        <f t="shared" si="48"/>
        <v>185600</v>
      </c>
      <c r="Q562" s="92"/>
      <c r="R562" s="93">
        <v>4640</v>
      </c>
      <c r="S562" s="93">
        <f t="shared" si="49"/>
        <v>0</v>
      </c>
      <c r="T562" s="23">
        <v>40</v>
      </c>
      <c r="U562" s="24">
        <v>4640</v>
      </c>
      <c r="V562" s="24">
        <f t="shared" si="50"/>
        <v>185600</v>
      </c>
    </row>
    <row r="563" spans="1:22" ht="18" thickBot="1" x14ac:dyDescent="0.25">
      <c r="A563" s="8" t="s">
        <v>242</v>
      </c>
      <c r="B563" s="75" t="s">
        <v>882</v>
      </c>
      <c r="C563" s="9" t="s">
        <v>36</v>
      </c>
      <c r="D563" s="9" t="s">
        <v>245</v>
      </c>
      <c r="E563" s="9">
        <v>40</v>
      </c>
      <c r="F563" s="10">
        <v>14964</v>
      </c>
      <c r="G563" s="10">
        <f t="shared" si="45"/>
        <v>598560</v>
      </c>
      <c r="H563" s="39">
        <v>10</v>
      </c>
      <c r="I563" s="24">
        <v>14964</v>
      </c>
      <c r="J563" s="24">
        <f t="shared" si="46"/>
        <v>149640</v>
      </c>
      <c r="K563" s="27"/>
      <c r="L563" s="28">
        <v>14964</v>
      </c>
      <c r="M563" s="28">
        <f t="shared" si="47"/>
        <v>0</v>
      </c>
      <c r="N563" s="23"/>
      <c r="O563" s="24">
        <v>14964</v>
      </c>
      <c r="P563" s="24">
        <f t="shared" si="48"/>
        <v>0</v>
      </c>
      <c r="Q563" s="92">
        <v>10</v>
      </c>
      <c r="R563" s="93">
        <v>14964</v>
      </c>
      <c r="S563" s="93">
        <f t="shared" si="49"/>
        <v>149640</v>
      </c>
      <c r="T563" s="23">
        <v>16</v>
      </c>
      <c r="U563" s="24">
        <v>14964</v>
      </c>
      <c r="V563" s="24">
        <f t="shared" si="50"/>
        <v>239424</v>
      </c>
    </row>
    <row r="564" spans="1:22" ht="18" thickBot="1" x14ac:dyDescent="0.25">
      <c r="A564" s="8" t="s">
        <v>240</v>
      </c>
      <c r="B564" s="75" t="s">
        <v>883</v>
      </c>
      <c r="C564" s="9" t="s">
        <v>36</v>
      </c>
      <c r="D564" s="9" t="s">
        <v>66</v>
      </c>
      <c r="E564" s="9">
        <v>40</v>
      </c>
      <c r="F564" s="10">
        <v>6264</v>
      </c>
      <c r="G564" s="10">
        <f t="shared" si="45"/>
        <v>250560</v>
      </c>
      <c r="H564" s="39">
        <v>15</v>
      </c>
      <c r="I564" s="24">
        <v>6264</v>
      </c>
      <c r="J564" s="24">
        <f t="shared" si="46"/>
        <v>93960</v>
      </c>
      <c r="K564" s="27"/>
      <c r="L564" s="28">
        <v>6264</v>
      </c>
      <c r="M564" s="28">
        <f t="shared" si="47"/>
        <v>0</v>
      </c>
      <c r="N564" s="23">
        <v>15</v>
      </c>
      <c r="O564" s="24">
        <v>6264</v>
      </c>
      <c r="P564" s="24">
        <f t="shared" si="48"/>
        <v>93960</v>
      </c>
      <c r="Q564" s="92"/>
      <c r="R564" s="93">
        <v>6264</v>
      </c>
      <c r="S564" s="93">
        <f t="shared" si="49"/>
        <v>0</v>
      </c>
      <c r="T564" s="23"/>
      <c r="U564" s="24">
        <v>6264</v>
      </c>
      <c r="V564" s="24">
        <f t="shared" si="50"/>
        <v>0</v>
      </c>
    </row>
    <row r="565" spans="1:22" ht="18" thickBot="1" x14ac:dyDescent="0.25">
      <c r="A565" s="8" t="s">
        <v>243</v>
      </c>
      <c r="B565" s="75" t="s">
        <v>884</v>
      </c>
      <c r="C565" s="9" t="s">
        <v>36</v>
      </c>
      <c r="D565" s="9" t="s">
        <v>125</v>
      </c>
      <c r="E565" s="9">
        <v>20</v>
      </c>
      <c r="F565" s="10">
        <v>8336.5300000000007</v>
      </c>
      <c r="G565" s="10">
        <f t="shared" si="45"/>
        <v>166730.6</v>
      </c>
      <c r="H565" s="39">
        <v>5</v>
      </c>
      <c r="I565" s="24">
        <v>8336.5300000000007</v>
      </c>
      <c r="J565" s="24">
        <f t="shared" si="46"/>
        <v>41682.65</v>
      </c>
      <c r="K565" s="27"/>
      <c r="L565" s="28">
        <v>8336.5300000000007</v>
      </c>
      <c r="M565" s="28">
        <f t="shared" si="47"/>
        <v>0</v>
      </c>
      <c r="N565" s="23">
        <v>8</v>
      </c>
      <c r="O565" s="24">
        <v>8336.5300000000007</v>
      </c>
      <c r="P565" s="24">
        <f t="shared" si="48"/>
        <v>66692.240000000005</v>
      </c>
      <c r="Q565" s="92"/>
      <c r="R565" s="93">
        <v>8336.5300000000007</v>
      </c>
      <c r="S565" s="93">
        <f t="shared" si="49"/>
        <v>0</v>
      </c>
      <c r="T565" s="23">
        <v>7</v>
      </c>
      <c r="U565" s="24">
        <v>8336.5300000000007</v>
      </c>
      <c r="V565" s="24">
        <f t="shared" si="50"/>
        <v>58355.710000000006</v>
      </c>
    </row>
    <row r="566" spans="1:22" ht="18" thickBot="1" x14ac:dyDescent="0.25">
      <c r="A566" s="8" t="s">
        <v>243</v>
      </c>
      <c r="B566" s="75" t="s">
        <v>843</v>
      </c>
      <c r="C566" s="9" t="s">
        <v>36</v>
      </c>
      <c r="D566" s="9" t="s">
        <v>246</v>
      </c>
      <c r="E566" s="9">
        <v>20</v>
      </c>
      <c r="F566" s="10">
        <v>8584</v>
      </c>
      <c r="G566" s="10">
        <f t="shared" si="45"/>
        <v>171680</v>
      </c>
      <c r="H566" s="39">
        <v>10</v>
      </c>
      <c r="I566" s="24">
        <v>8584</v>
      </c>
      <c r="J566" s="24">
        <f t="shared" si="46"/>
        <v>85840</v>
      </c>
      <c r="K566" s="27"/>
      <c r="L566" s="28">
        <v>8584</v>
      </c>
      <c r="M566" s="28">
        <f t="shared" si="47"/>
        <v>0</v>
      </c>
      <c r="N566" s="23">
        <v>8</v>
      </c>
      <c r="O566" s="24">
        <v>8584</v>
      </c>
      <c r="P566" s="24">
        <f t="shared" si="48"/>
        <v>68672</v>
      </c>
      <c r="Q566" s="92">
        <v>2</v>
      </c>
      <c r="R566" s="93">
        <v>8584</v>
      </c>
      <c r="S566" s="93">
        <f t="shared" si="49"/>
        <v>17168</v>
      </c>
      <c r="T566" s="23"/>
      <c r="U566" s="24">
        <v>8584</v>
      </c>
      <c r="V566" s="24">
        <f t="shared" si="50"/>
        <v>0</v>
      </c>
    </row>
    <row r="567" spans="1:22" ht="17" thickBot="1" x14ac:dyDescent="0.25">
      <c r="G567" s="12">
        <f>SUM(G557:G566)</f>
        <v>4283062.5999999996</v>
      </c>
      <c r="J567" s="26">
        <f>SUM(J557:J566)</f>
        <v>823183.65</v>
      </c>
      <c r="K567" s="2"/>
      <c r="L567" s="3"/>
      <c r="M567" s="148">
        <f>SUM(M557:M566)</f>
        <v>406370.4</v>
      </c>
      <c r="N567" s="2"/>
      <c r="O567" s="3"/>
      <c r="P567" s="26">
        <f>SUM(P557:P566)</f>
        <v>414924.24</v>
      </c>
      <c r="Q567" s="2"/>
      <c r="R567" s="3"/>
      <c r="S567" s="94">
        <f>SUM(S557:S566)</f>
        <v>166808</v>
      </c>
      <c r="T567" s="2"/>
      <c r="U567" s="3"/>
      <c r="V567" s="26">
        <f>SUM(V557:V566)</f>
        <v>630914.11</v>
      </c>
    </row>
    <row r="569" spans="1:22" ht="18" thickBot="1" x14ac:dyDescent="0.25">
      <c r="A569" s="7" t="s">
        <v>1780</v>
      </c>
      <c r="B569" s="80"/>
      <c r="C569" s="2" t="s">
        <v>424</v>
      </c>
      <c r="D569" s="2" t="s">
        <v>425</v>
      </c>
    </row>
    <row r="570" spans="1:22" ht="18" thickBot="1" x14ac:dyDescent="0.25">
      <c r="A570" s="8" t="s">
        <v>426</v>
      </c>
      <c r="B570" s="75" t="s">
        <v>947</v>
      </c>
      <c r="C570" s="9" t="s">
        <v>36</v>
      </c>
      <c r="D570" s="9" t="s">
        <v>427</v>
      </c>
      <c r="E570" s="9">
        <v>12</v>
      </c>
      <c r="F570" s="10">
        <v>2169.1999999999998</v>
      </c>
      <c r="G570" s="10">
        <f>E570*F570</f>
        <v>26030.399999999998</v>
      </c>
      <c r="H570" s="18">
        <v>6</v>
      </c>
      <c r="I570" s="19">
        <v>2169.1999999999998</v>
      </c>
      <c r="J570" s="19">
        <f>H570*I570</f>
        <v>13015.199999999999</v>
      </c>
    </row>
    <row r="571" spans="1:22" ht="18" thickBot="1" x14ac:dyDescent="0.25">
      <c r="A571" s="8" t="s">
        <v>118</v>
      </c>
      <c r="B571" s="75" t="s">
        <v>1332</v>
      </c>
      <c r="C571" s="9" t="s">
        <v>4</v>
      </c>
      <c r="D571" s="9" t="s">
        <v>428</v>
      </c>
      <c r="E571" s="9">
        <v>138</v>
      </c>
      <c r="F571" s="10">
        <v>3828</v>
      </c>
      <c r="G571" s="10">
        <f t="shared" ref="G571:G628" si="51">E571*F571</f>
        <v>528264</v>
      </c>
      <c r="H571" s="18">
        <v>69</v>
      </c>
      <c r="I571" s="19">
        <v>3828</v>
      </c>
      <c r="J571" s="19">
        <f t="shared" ref="J571:J628" si="52">H571*I571</f>
        <v>264132</v>
      </c>
    </row>
    <row r="572" spans="1:22" ht="18" thickBot="1" x14ac:dyDescent="0.25">
      <c r="A572" s="8" t="s">
        <v>51</v>
      </c>
      <c r="B572" s="75" t="s">
        <v>975</v>
      </c>
      <c r="C572" s="9" t="s">
        <v>4</v>
      </c>
      <c r="D572" s="9" t="s">
        <v>429</v>
      </c>
      <c r="E572" s="9">
        <v>84</v>
      </c>
      <c r="F572" s="10">
        <v>3480</v>
      </c>
      <c r="G572" s="10">
        <f t="shared" si="51"/>
        <v>292320</v>
      </c>
      <c r="H572" s="18">
        <v>42</v>
      </c>
      <c r="I572" s="19">
        <v>3480</v>
      </c>
      <c r="J572" s="19">
        <f t="shared" si="52"/>
        <v>146160</v>
      </c>
    </row>
    <row r="573" spans="1:22" ht="18" thickBot="1" x14ac:dyDescent="0.25">
      <c r="A573" s="8" t="s">
        <v>51</v>
      </c>
      <c r="B573" s="75" t="s">
        <v>915</v>
      </c>
      <c r="C573" s="9" t="s">
        <v>4</v>
      </c>
      <c r="D573" s="9" t="s">
        <v>430</v>
      </c>
      <c r="E573" s="9">
        <v>84</v>
      </c>
      <c r="F573" s="10">
        <v>3712</v>
      </c>
      <c r="G573" s="10">
        <f t="shared" si="51"/>
        <v>311808</v>
      </c>
      <c r="H573" s="18"/>
      <c r="I573" s="19">
        <v>3712</v>
      </c>
      <c r="J573" s="19">
        <f t="shared" si="52"/>
        <v>0</v>
      </c>
    </row>
    <row r="574" spans="1:22" ht="18" thickBot="1" x14ac:dyDescent="0.25">
      <c r="A574" s="8" t="s">
        <v>431</v>
      </c>
      <c r="B574" s="75" t="s">
        <v>861</v>
      </c>
      <c r="C574" s="9" t="s">
        <v>4</v>
      </c>
      <c r="D574" s="9" t="s">
        <v>432</v>
      </c>
      <c r="E574" s="9">
        <v>24</v>
      </c>
      <c r="F574" s="10">
        <v>1160</v>
      </c>
      <c r="G574" s="10">
        <f t="shared" si="51"/>
        <v>27840</v>
      </c>
      <c r="H574" s="18"/>
      <c r="I574" s="19">
        <v>1160</v>
      </c>
      <c r="J574" s="19">
        <f t="shared" si="52"/>
        <v>0</v>
      </c>
    </row>
    <row r="575" spans="1:22" ht="18" thickBot="1" x14ac:dyDescent="0.25">
      <c r="A575" s="8" t="s">
        <v>433</v>
      </c>
      <c r="B575" s="75" t="s">
        <v>861</v>
      </c>
      <c r="C575" s="9" t="s">
        <v>4</v>
      </c>
      <c r="D575" s="9" t="s">
        <v>434</v>
      </c>
      <c r="E575" s="9">
        <v>24</v>
      </c>
      <c r="F575" s="10">
        <v>1160</v>
      </c>
      <c r="G575" s="10">
        <f t="shared" si="51"/>
        <v>27840</v>
      </c>
      <c r="H575" s="18"/>
      <c r="I575" s="19">
        <v>1160</v>
      </c>
      <c r="J575" s="19">
        <f t="shared" si="52"/>
        <v>0</v>
      </c>
    </row>
    <row r="576" spans="1:22" ht="18" thickBot="1" x14ac:dyDescent="0.25">
      <c r="A576" s="8" t="s">
        <v>435</v>
      </c>
      <c r="B576" s="75" t="s">
        <v>971</v>
      </c>
      <c r="C576" s="9" t="s">
        <v>4</v>
      </c>
      <c r="D576" s="9" t="s">
        <v>436</v>
      </c>
      <c r="E576" s="9">
        <v>90</v>
      </c>
      <c r="F576" s="10">
        <v>4872</v>
      </c>
      <c r="G576" s="10">
        <f t="shared" si="51"/>
        <v>438480</v>
      </c>
      <c r="H576" s="18">
        <v>45</v>
      </c>
      <c r="I576" s="19">
        <v>4872</v>
      </c>
      <c r="J576" s="19">
        <f t="shared" si="52"/>
        <v>219240</v>
      </c>
    </row>
    <row r="577" spans="1:10" ht="18" thickBot="1" x14ac:dyDescent="0.25">
      <c r="A577" s="8" t="s">
        <v>437</v>
      </c>
      <c r="B577" s="75" t="s">
        <v>1768</v>
      </c>
      <c r="C577" s="9" t="s">
        <v>4</v>
      </c>
      <c r="D577" s="9" t="s">
        <v>438</v>
      </c>
      <c r="E577" s="9">
        <v>12</v>
      </c>
      <c r="F577" s="10">
        <v>1647.2</v>
      </c>
      <c r="G577" s="10">
        <f t="shared" si="51"/>
        <v>19766.400000000001</v>
      </c>
      <c r="H577" s="18">
        <v>6</v>
      </c>
      <c r="I577" s="19">
        <v>1647.2</v>
      </c>
      <c r="J577" s="19">
        <f t="shared" si="52"/>
        <v>9883.2000000000007</v>
      </c>
    </row>
    <row r="578" spans="1:10" ht="18" thickBot="1" x14ac:dyDescent="0.25">
      <c r="A578" s="8" t="s">
        <v>439</v>
      </c>
      <c r="B578" s="75" t="s">
        <v>1769</v>
      </c>
      <c r="C578" s="9" t="s">
        <v>4</v>
      </c>
      <c r="D578" s="9" t="s">
        <v>440</v>
      </c>
      <c r="E578" s="9">
        <v>54</v>
      </c>
      <c r="F578" s="10">
        <v>1160</v>
      </c>
      <c r="G578" s="10">
        <f t="shared" si="51"/>
        <v>62640</v>
      </c>
      <c r="H578" s="18">
        <v>27</v>
      </c>
      <c r="I578" s="19">
        <v>1160</v>
      </c>
      <c r="J578" s="19">
        <f t="shared" si="52"/>
        <v>31320</v>
      </c>
    </row>
    <row r="579" spans="1:10" ht="18" thickBot="1" x14ac:dyDescent="0.25">
      <c r="A579" s="8" t="s">
        <v>59</v>
      </c>
      <c r="B579" s="75" t="s">
        <v>955</v>
      </c>
      <c r="C579" s="9" t="s">
        <v>4</v>
      </c>
      <c r="D579" s="9" t="s">
        <v>441</v>
      </c>
      <c r="E579" s="9">
        <v>116</v>
      </c>
      <c r="F579" s="10">
        <v>1392</v>
      </c>
      <c r="G579" s="10">
        <f t="shared" si="51"/>
        <v>161472</v>
      </c>
      <c r="H579" s="18">
        <v>58</v>
      </c>
      <c r="I579" s="19">
        <v>1392</v>
      </c>
      <c r="J579" s="19">
        <f t="shared" si="52"/>
        <v>80736</v>
      </c>
    </row>
    <row r="580" spans="1:10" ht="18" thickBot="1" x14ac:dyDescent="0.25">
      <c r="A580" s="8" t="s">
        <v>439</v>
      </c>
      <c r="B580" s="75" t="s">
        <v>1770</v>
      </c>
      <c r="C580" s="9" t="s">
        <v>4</v>
      </c>
      <c r="D580" s="9" t="s">
        <v>442</v>
      </c>
      <c r="E580" s="9">
        <v>48</v>
      </c>
      <c r="F580" s="10">
        <v>1160</v>
      </c>
      <c r="G580" s="10">
        <f t="shared" si="51"/>
        <v>55680</v>
      </c>
      <c r="H580" s="18">
        <v>24</v>
      </c>
      <c r="I580" s="19">
        <v>1160</v>
      </c>
      <c r="J580" s="19">
        <f t="shared" si="52"/>
        <v>27840</v>
      </c>
    </row>
    <row r="581" spans="1:10" ht="18" thickBot="1" x14ac:dyDescent="0.25">
      <c r="A581" s="8" t="s">
        <v>443</v>
      </c>
      <c r="B581" s="75" t="s">
        <v>861</v>
      </c>
      <c r="C581" s="9" t="s">
        <v>4</v>
      </c>
      <c r="D581" s="9" t="s">
        <v>444</v>
      </c>
      <c r="E581" s="9">
        <v>24</v>
      </c>
      <c r="F581" s="10">
        <v>1160</v>
      </c>
      <c r="G581" s="10">
        <f t="shared" si="51"/>
        <v>27840</v>
      </c>
      <c r="H581" s="18"/>
      <c r="I581" s="19">
        <v>1160</v>
      </c>
      <c r="J581" s="19">
        <f t="shared" si="52"/>
        <v>0</v>
      </c>
    </row>
    <row r="582" spans="1:10" ht="18" thickBot="1" x14ac:dyDescent="0.25">
      <c r="A582" s="8" t="s">
        <v>445</v>
      </c>
      <c r="B582" s="75" t="s">
        <v>842</v>
      </c>
      <c r="C582" s="9" t="s">
        <v>4</v>
      </c>
      <c r="D582" s="9" t="s">
        <v>446</v>
      </c>
      <c r="E582" s="9">
        <v>72</v>
      </c>
      <c r="F582" s="10">
        <v>17052</v>
      </c>
      <c r="G582" s="10">
        <f t="shared" si="51"/>
        <v>1227744</v>
      </c>
      <c r="H582" s="18">
        <v>36</v>
      </c>
      <c r="I582" s="19">
        <v>17052</v>
      </c>
      <c r="J582" s="19">
        <f t="shared" si="52"/>
        <v>613872</v>
      </c>
    </row>
    <row r="583" spans="1:10" ht="18" thickBot="1" x14ac:dyDescent="0.25">
      <c r="A583" s="8" t="s">
        <v>447</v>
      </c>
      <c r="B583" s="75" t="s">
        <v>1579</v>
      </c>
      <c r="C583" s="9" t="s">
        <v>4</v>
      </c>
      <c r="D583" s="9" t="s">
        <v>448</v>
      </c>
      <c r="E583" s="9">
        <v>1</v>
      </c>
      <c r="F583" s="10">
        <v>11600</v>
      </c>
      <c r="G583" s="10">
        <f t="shared" si="51"/>
        <v>11600</v>
      </c>
      <c r="H583" s="18">
        <v>1</v>
      </c>
      <c r="I583" s="19">
        <v>11600</v>
      </c>
      <c r="J583" s="19">
        <f t="shared" si="52"/>
        <v>11600</v>
      </c>
    </row>
    <row r="584" spans="1:10" ht="18" thickBot="1" x14ac:dyDescent="0.25">
      <c r="A584" s="8" t="s">
        <v>449</v>
      </c>
      <c r="B584" s="75" t="s">
        <v>984</v>
      </c>
      <c r="C584" s="9" t="s">
        <v>4</v>
      </c>
      <c r="D584" s="9" t="s">
        <v>450</v>
      </c>
      <c r="E584" s="9">
        <v>24</v>
      </c>
      <c r="F584" s="10">
        <v>1160</v>
      </c>
      <c r="G584" s="10">
        <f t="shared" si="51"/>
        <v>27840</v>
      </c>
      <c r="H584" s="18">
        <v>12</v>
      </c>
      <c r="I584" s="19">
        <v>1160</v>
      </c>
      <c r="J584" s="19">
        <f t="shared" si="52"/>
        <v>13920</v>
      </c>
    </row>
    <row r="585" spans="1:10" ht="18" thickBot="1" x14ac:dyDescent="0.25">
      <c r="A585" s="8" t="s">
        <v>155</v>
      </c>
      <c r="B585" s="75" t="s">
        <v>914</v>
      </c>
      <c r="C585" s="9" t="s">
        <v>4</v>
      </c>
      <c r="D585" s="9" t="s">
        <v>451</v>
      </c>
      <c r="E585" s="9">
        <v>36</v>
      </c>
      <c r="F585" s="10">
        <v>7540</v>
      </c>
      <c r="G585" s="10">
        <f t="shared" si="51"/>
        <v>271440</v>
      </c>
      <c r="H585" s="18"/>
      <c r="I585" s="19">
        <v>7540</v>
      </c>
      <c r="J585" s="19">
        <f t="shared" si="52"/>
        <v>0</v>
      </c>
    </row>
    <row r="586" spans="1:10" ht="18" thickBot="1" x14ac:dyDescent="0.25">
      <c r="A586" s="8" t="s">
        <v>447</v>
      </c>
      <c r="B586" s="75" t="s">
        <v>913</v>
      </c>
      <c r="C586" s="9" t="s">
        <v>4</v>
      </c>
      <c r="D586" s="9" t="s">
        <v>452</v>
      </c>
      <c r="E586" s="9">
        <v>2</v>
      </c>
      <c r="F586" s="10">
        <v>10440</v>
      </c>
      <c r="G586" s="10">
        <f t="shared" si="51"/>
        <v>20880</v>
      </c>
      <c r="H586" s="18">
        <v>1</v>
      </c>
      <c r="I586" s="19">
        <v>10440</v>
      </c>
      <c r="J586" s="19">
        <f t="shared" si="52"/>
        <v>10440</v>
      </c>
    </row>
    <row r="587" spans="1:10" ht="18" thickBot="1" x14ac:dyDescent="0.25">
      <c r="A587" s="8" t="s">
        <v>443</v>
      </c>
      <c r="B587" s="75" t="s">
        <v>861</v>
      </c>
      <c r="C587" s="9" t="s">
        <v>4</v>
      </c>
      <c r="D587" s="9" t="s">
        <v>453</v>
      </c>
      <c r="E587" s="9">
        <v>24</v>
      </c>
      <c r="F587" s="10">
        <v>1044</v>
      </c>
      <c r="G587" s="10">
        <f t="shared" si="51"/>
        <v>25056</v>
      </c>
      <c r="H587" s="18"/>
      <c r="I587" s="19">
        <v>1044</v>
      </c>
      <c r="J587" s="19">
        <f t="shared" si="52"/>
        <v>0</v>
      </c>
    </row>
    <row r="588" spans="1:10" ht="18" thickBot="1" x14ac:dyDescent="0.25">
      <c r="A588" s="8" t="s">
        <v>435</v>
      </c>
      <c r="B588" s="75" t="s">
        <v>852</v>
      </c>
      <c r="C588" s="9" t="s">
        <v>4</v>
      </c>
      <c r="D588" s="9" t="s">
        <v>454</v>
      </c>
      <c r="E588" s="9">
        <v>80</v>
      </c>
      <c r="F588" s="10">
        <v>4408</v>
      </c>
      <c r="G588" s="10">
        <f t="shared" si="51"/>
        <v>352640</v>
      </c>
      <c r="H588" s="18">
        <v>40</v>
      </c>
      <c r="I588" s="19">
        <v>4408</v>
      </c>
      <c r="J588" s="19">
        <f t="shared" si="52"/>
        <v>176320</v>
      </c>
    </row>
    <row r="589" spans="1:10" ht="18" thickBot="1" x14ac:dyDescent="0.25">
      <c r="A589" s="8" t="s">
        <v>447</v>
      </c>
      <c r="B589" s="75" t="s">
        <v>1582</v>
      </c>
      <c r="C589" s="9" t="s">
        <v>4</v>
      </c>
      <c r="D589" s="9" t="s">
        <v>455</v>
      </c>
      <c r="E589" s="9">
        <v>48</v>
      </c>
      <c r="F589" s="10">
        <v>4640</v>
      </c>
      <c r="G589" s="10">
        <f t="shared" si="51"/>
        <v>222720</v>
      </c>
      <c r="H589" s="18">
        <v>24</v>
      </c>
      <c r="I589" s="19">
        <v>4640</v>
      </c>
      <c r="J589" s="19">
        <f t="shared" si="52"/>
        <v>111360</v>
      </c>
    </row>
    <row r="590" spans="1:10" ht="18" thickBot="1" x14ac:dyDescent="0.25">
      <c r="A590" s="8" t="s">
        <v>456</v>
      </c>
      <c r="B590" s="75" t="s">
        <v>1771</v>
      </c>
      <c r="C590" s="9" t="s">
        <v>4</v>
      </c>
      <c r="D590" s="43" t="s">
        <v>457</v>
      </c>
      <c r="E590" s="9">
        <v>56</v>
      </c>
      <c r="F590" s="10">
        <v>1740</v>
      </c>
      <c r="G590" s="10">
        <f t="shared" si="51"/>
        <v>97440</v>
      </c>
      <c r="H590" s="18">
        <v>28</v>
      </c>
      <c r="I590" s="19">
        <v>1740</v>
      </c>
      <c r="J590" s="19">
        <f t="shared" si="52"/>
        <v>48720</v>
      </c>
    </row>
    <row r="591" spans="1:10" ht="18" thickBot="1" x14ac:dyDescent="0.25">
      <c r="A591" s="8" t="s">
        <v>439</v>
      </c>
      <c r="B591" s="75" t="s">
        <v>1769</v>
      </c>
      <c r="C591" s="9" t="s">
        <v>4</v>
      </c>
      <c r="D591" s="9" t="s">
        <v>458</v>
      </c>
      <c r="E591" s="9">
        <v>54</v>
      </c>
      <c r="F591" s="10">
        <v>1160</v>
      </c>
      <c r="G591" s="10">
        <f t="shared" si="51"/>
        <v>62640</v>
      </c>
      <c r="H591" s="18">
        <v>27</v>
      </c>
      <c r="I591" s="19">
        <v>1160</v>
      </c>
      <c r="J591" s="177">
        <f t="shared" si="52"/>
        <v>31320</v>
      </c>
    </row>
    <row r="592" spans="1:10" ht="18" thickBot="1" x14ac:dyDescent="0.25">
      <c r="A592" s="8" t="s">
        <v>162</v>
      </c>
      <c r="B592" s="75" t="s">
        <v>952</v>
      </c>
      <c r="C592" s="9" t="s">
        <v>4</v>
      </c>
      <c r="D592" s="9" t="s">
        <v>459</v>
      </c>
      <c r="E592" s="9">
        <v>84</v>
      </c>
      <c r="F592" s="10">
        <v>3712</v>
      </c>
      <c r="G592" s="10">
        <f t="shared" si="51"/>
        <v>311808</v>
      </c>
      <c r="H592" s="18">
        <v>24</v>
      </c>
      <c r="I592" s="19">
        <v>3712</v>
      </c>
      <c r="J592" s="177">
        <f t="shared" si="52"/>
        <v>89088</v>
      </c>
    </row>
    <row r="593" spans="1:10" ht="18" thickBot="1" x14ac:dyDescent="0.25">
      <c r="A593" s="8" t="s">
        <v>449</v>
      </c>
      <c r="B593" s="75" t="s">
        <v>974</v>
      </c>
      <c r="C593" s="9" t="s">
        <v>4</v>
      </c>
      <c r="D593" s="9" t="s">
        <v>460</v>
      </c>
      <c r="E593" s="9">
        <v>60</v>
      </c>
      <c r="F593" s="10">
        <v>3480</v>
      </c>
      <c r="G593" s="10">
        <f t="shared" si="51"/>
        <v>208800</v>
      </c>
      <c r="H593" s="18">
        <v>30</v>
      </c>
      <c r="I593" s="19">
        <v>3480</v>
      </c>
      <c r="J593" s="177">
        <f t="shared" si="52"/>
        <v>104400</v>
      </c>
    </row>
    <row r="594" spans="1:10" ht="18" thickBot="1" x14ac:dyDescent="0.25">
      <c r="A594" s="8" t="s">
        <v>439</v>
      </c>
      <c r="B594" s="75" t="s">
        <v>1769</v>
      </c>
      <c r="C594" s="9" t="s">
        <v>4</v>
      </c>
      <c r="D594" s="9" t="s">
        <v>461</v>
      </c>
      <c r="E594" s="9">
        <v>54</v>
      </c>
      <c r="F594" s="10">
        <v>1160</v>
      </c>
      <c r="G594" s="10">
        <f t="shared" si="51"/>
        <v>62640</v>
      </c>
      <c r="H594" s="18">
        <v>27</v>
      </c>
      <c r="I594" s="19">
        <v>1160</v>
      </c>
      <c r="J594" s="19">
        <f t="shared" si="52"/>
        <v>31320</v>
      </c>
    </row>
    <row r="595" spans="1:10" ht="18" thickBot="1" x14ac:dyDescent="0.25">
      <c r="A595" s="8" t="s">
        <v>461</v>
      </c>
      <c r="B595" s="75" t="s">
        <v>1767</v>
      </c>
      <c r="C595" s="9" t="s">
        <v>4</v>
      </c>
      <c r="D595" s="9" t="s">
        <v>1765</v>
      </c>
      <c r="E595" s="9">
        <v>72</v>
      </c>
      <c r="F595" s="10">
        <v>3712</v>
      </c>
      <c r="G595" s="10">
        <f t="shared" si="51"/>
        <v>267264</v>
      </c>
      <c r="H595" s="18"/>
      <c r="I595" s="19">
        <v>3712</v>
      </c>
      <c r="J595" s="19">
        <f t="shared" si="52"/>
        <v>0</v>
      </c>
    </row>
    <row r="596" spans="1:10" ht="18" thickBot="1" x14ac:dyDescent="0.25">
      <c r="A596" s="8" t="s">
        <v>447</v>
      </c>
      <c r="B596" s="75" t="s">
        <v>981</v>
      </c>
      <c r="C596" s="9" t="s">
        <v>4</v>
      </c>
      <c r="D596" s="9" t="s">
        <v>462</v>
      </c>
      <c r="E596" s="9">
        <v>36</v>
      </c>
      <c r="F596" s="10">
        <v>5220</v>
      </c>
      <c r="G596" s="10">
        <f t="shared" si="51"/>
        <v>187920</v>
      </c>
      <c r="H596" s="18">
        <v>18</v>
      </c>
      <c r="I596" s="19">
        <v>5220</v>
      </c>
      <c r="J596" s="19">
        <f t="shared" si="52"/>
        <v>93960</v>
      </c>
    </row>
    <row r="597" spans="1:10" ht="18" thickBot="1" x14ac:dyDescent="0.25">
      <c r="A597" s="8" t="s">
        <v>51</v>
      </c>
      <c r="B597" s="75" t="s">
        <v>1574</v>
      </c>
      <c r="C597" s="9" t="s">
        <v>4</v>
      </c>
      <c r="D597" s="9" t="s">
        <v>463</v>
      </c>
      <c r="E597" s="9">
        <v>24</v>
      </c>
      <c r="F597" s="10">
        <v>1160</v>
      </c>
      <c r="G597" s="10">
        <f t="shared" si="51"/>
        <v>27840</v>
      </c>
      <c r="H597" s="18">
        <v>12</v>
      </c>
      <c r="I597" s="19">
        <v>1160</v>
      </c>
      <c r="J597" s="19">
        <f t="shared" si="52"/>
        <v>13920</v>
      </c>
    </row>
    <row r="598" spans="1:10" ht="18" thickBot="1" x14ac:dyDescent="0.25">
      <c r="A598" s="8" t="s">
        <v>464</v>
      </c>
      <c r="B598" s="75" t="s">
        <v>1772</v>
      </c>
      <c r="C598" s="9" t="s">
        <v>4</v>
      </c>
      <c r="D598" s="9" t="s">
        <v>465</v>
      </c>
      <c r="E598" s="9">
        <v>24</v>
      </c>
      <c r="F598" s="10">
        <v>1740</v>
      </c>
      <c r="G598" s="10">
        <f t="shared" si="51"/>
        <v>41760</v>
      </c>
      <c r="H598" s="18">
        <v>12</v>
      </c>
      <c r="I598" s="19">
        <v>1740</v>
      </c>
      <c r="J598" s="19">
        <f t="shared" si="52"/>
        <v>20880</v>
      </c>
    </row>
    <row r="599" spans="1:10" ht="18" thickBot="1" x14ac:dyDescent="0.25">
      <c r="A599" s="8" t="s">
        <v>445</v>
      </c>
      <c r="B599" s="75" t="s">
        <v>983</v>
      </c>
      <c r="C599" s="9" t="s">
        <v>4</v>
      </c>
      <c r="D599" s="9" t="s">
        <v>466</v>
      </c>
      <c r="E599" s="9">
        <v>72</v>
      </c>
      <c r="F599" s="10">
        <v>12180</v>
      </c>
      <c r="G599" s="10">
        <f t="shared" si="51"/>
        <v>876960</v>
      </c>
      <c r="H599" s="18">
        <v>36</v>
      </c>
      <c r="I599" s="19">
        <v>12180</v>
      </c>
      <c r="J599" s="19">
        <f t="shared" si="52"/>
        <v>438480</v>
      </c>
    </row>
    <row r="600" spans="1:10" ht="18" thickBot="1" x14ac:dyDescent="0.25">
      <c r="A600" s="8" t="s">
        <v>467</v>
      </c>
      <c r="B600" s="75" t="s">
        <v>917</v>
      </c>
      <c r="C600" s="9" t="s">
        <v>4</v>
      </c>
      <c r="D600" s="9" t="s">
        <v>468</v>
      </c>
      <c r="E600" s="9">
        <v>104</v>
      </c>
      <c r="F600" s="10">
        <v>3712</v>
      </c>
      <c r="G600" s="10">
        <f t="shared" si="51"/>
        <v>386048</v>
      </c>
      <c r="H600" s="18">
        <v>52</v>
      </c>
      <c r="I600" s="19">
        <v>3712</v>
      </c>
      <c r="J600" s="19">
        <f t="shared" si="52"/>
        <v>193024</v>
      </c>
    </row>
    <row r="601" spans="1:10" ht="18" thickBot="1" x14ac:dyDescent="0.25">
      <c r="A601" s="8" t="s">
        <v>469</v>
      </c>
      <c r="B601" s="75" t="s">
        <v>1769</v>
      </c>
      <c r="C601" s="9" t="s">
        <v>4</v>
      </c>
      <c r="D601" s="9" t="s">
        <v>470</v>
      </c>
      <c r="E601" s="9">
        <v>48</v>
      </c>
      <c r="F601" s="10">
        <v>1160</v>
      </c>
      <c r="G601" s="10">
        <f t="shared" si="51"/>
        <v>55680</v>
      </c>
      <c r="H601" s="18">
        <v>24</v>
      </c>
      <c r="I601" s="19">
        <v>1160</v>
      </c>
      <c r="J601" s="19">
        <f t="shared" si="52"/>
        <v>27840</v>
      </c>
    </row>
    <row r="602" spans="1:10" ht="18" thickBot="1" x14ac:dyDescent="0.25">
      <c r="A602" s="8" t="s">
        <v>51</v>
      </c>
      <c r="B602" s="75" t="s">
        <v>894</v>
      </c>
      <c r="C602" s="9" t="s">
        <v>4</v>
      </c>
      <c r="D602" s="9" t="s">
        <v>471</v>
      </c>
      <c r="E602" s="9">
        <v>60</v>
      </c>
      <c r="F602" s="10">
        <v>3712</v>
      </c>
      <c r="G602" s="10">
        <f t="shared" si="51"/>
        <v>222720</v>
      </c>
      <c r="H602" s="18"/>
      <c r="I602" s="19">
        <v>3712</v>
      </c>
      <c r="J602" s="19">
        <f t="shared" si="52"/>
        <v>0</v>
      </c>
    </row>
    <row r="603" spans="1:10" ht="18" thickBot="1" x14ac:dyDescent="0.25">
      <c r="A603" s="8" t="s">
        <v>445</v>
      </c>
      <c r="B603" s="75" t="s">
        <v>982</v>
      </c>
      <c r="C603" s="9" t="s">
        <v>4</v>
      </c>
      <c r="D603" s="9" t="s">
        <v>472</v>
      </c>
      <c r="E603" s="9">
        <v>72</v>
      </c>
      <c r="F603" s="10">
        <v>1740</v>
      </c>
      <c r="G603" s="10">
        <f t="shared" si="51"/>
        <v>125280</v>
      </c>
      <c r="H603" s="18">
        <v>36</v>
      </c>
      <c r="I603" s="19">
        <v>1740</v>
      </c>
      <c r="J603" s="19">
        <f t="shared" si="52"/>
        <v>62640</v>
      </c>
    </row>
    <row r="604" spans="1:10" ht="18" thickBot="1" x14ac:dyDescent="0.25">
      <c r="A604" s="8" t="s">
        <v>51</v>
      </c>
      <c r="B604" s="75" t="s">
        <v>1575</v>
      </c>
      <c r="C604" s="9" t="s">
        <v>4</v>
      </c>
      <c r="D604" s="9" t="s">
        <v>473</v>
      </c>
      <c r="E604" s="9">
        <v>48</v>
      </c>
      <c r="F604" s="10">
        <v>1136.8</v>
      </c>
      <c r="G604" s="10">
        <f t="shared" si="51"/>
        <v>54566.399999999994</v>
      </c>
      <c r="H604" s="18">
        <v>24</v>
      </c>
      <c r="I604" s="19">
        <v>1136.8</v>
      </c>
      <c r="J604" s="19">
        <f t="shared" si="52"/>
        <v>27283.199999999997</v>
      </c>
    </row>
    <row r="605" spans="1:10" ht="18" thickBot="1" x14ac:dyDescent="0.25">
      <c r="A605" s="8" t="s">
        <v>449</v>
      </c>
      <c r="B605" s="75" t="s">
        <v>980</v>
      </c>
      <c r="C605" s="9" t="s">
        <v>4</v>
      </c>
      <c r="D605" s="9" t="s">
        <v>474</v>
      </c>
      <c r="E605" s="9">
        <v>92</v>
      </c>
      <c r="F605" s="10">
        <v>5452</v>
      </c>
      <c r="G605" s="10">
        <f t="shared" si="51"/>
        <v>501584</v>
      </c>
      <c r="H605" s="18">
        <v>18</v>
      </c>
      <c r="I605" s="19">
        <v>5452</v>
      </c>
      <c r="J605" s="19">
        <f t="shared" si="52"/>
        <v>98136</v>
      </c>
    </row>
    <row r="606" spans="1:10" ht="18" thickBot="1" x14ac:dyDescent="0.25">
      <c r="A606" s="8" t="s">
        <v>445</v>
      </c>
      <c r="B606" s="75" t="s">
        <v>1773</v>
      </c>
      <c r="C606" s="9" t="s">
        <v>4</v>
      </c>
      <c r="D606" s="9" t="s">
        <v>475</v>
      </c>
      <c r="E606" s="9">
        <v>6</v>
      </c>
      <c r="F606" s="10">
        <v>2320</v>
      </c>
      <c r="G606" s="10">
        <f t="shared" si="51"/>
        <v>13920</v>
      </c>
      <c r="H606" s="18"/>
      <c r="I606" s="19">
        <v>2320</v>
      </c>
      <c r="J606" s="19">
        <f t="shared" si="52"/>
        <v>0</v>
      </c>
    </row>
    <row r="607" spans="1:10" ht="18" thickBot="1" x14ac:dyDescent="0.25">
      <c r="A607" s="8" t="s">
        <v>51</v>
      </c>
      <c r="B607" s="75" t="s">
        <v>1766</v>
      </c>
      <c r="C607" s="9" t="s">
        <v>4</v>
      </c>
      <c r="D607" s="9" t="s">
        <v>476</v>
      </c>
      <c r="E607" s="9">
        <v>72</v>
      </c>
      <c r="F607" s="10">
        <v>3480</v>
      </c>
      <c r="G607" s="10">
        <f t="shared" si="51"/>
        <v>250560</v>
      </c>
      <c r="H607" s="18">
        <v>36</v>
      </c>
      <c r="I607" s="19">
        <v>3480</v>
      </c>
      <c r="J607" s="19">
        <f t="shared" si="52"/>
        <v>125280</v>
      </c>
    </row>
    <row r="608" spans="1:10" ht="18" thickBot="1" x14ac:dyDescent="0.25">
      <c r="A608" s="8" t="s">
        <v>51</v>
      </c>
      <c r="B608" s="75" t="s">
        <v>1774</v>
      </c>
      <c r="C608" s="9" t="s">
        <v>4</v>
      </c>
      <c r="D608" s="9" t="s">
        <v>477</v>
      </c>
      <c r="E608" s="9">
        <v>48</v>
      </c>
      <c r="F608" s="10">
        <v>6728</v>
      </c>
      <c r="G608" s="10">
        <f t="shared" si="51"/>
        <v>322944</v>
      </c>
      <c r="H608" s="18">
        <v>24</v>
      </c>
      <c r="I608" s="19">
        <v>6728</v>
      </c>
      <c r="J608" s="19">
        <f t="shared" si="52"/>
        <v>161472</v>
      </c>
    </row>
    <row r="609" spans="1:10" ht="18" thickBot="1" x14ac:dyDescent="0.25">
      <c r="A609" s="8" t="s">
        <v>155</v>
      </c>
      <c r="B609" s="75" t="s">
        <v>1775</v>
      </c>
      <c r="C609" s="9" t="s">
        <v>4</v>
      </c>
      <c r="D609" s="9" t="s">
        <v>478</v>
      </c>
      <c r="E609" s="9">
        <v>24</v>
      </c>
      <c r="F609" s="10">
        <v>2169.1999999999998</v>
      </c>
      <c r="G609" s="10">
        <f t="shared" si="51"/>
        <v>52060.799999999996</v>
      </c>
      <c r="H609" s="18"/>
      <c r="I609" s="19">
        <v>2169.1999999999998</v>
      </c>
      <c r="J609" s="19">
        <f t="shared" si="52"/>
        <v>0</v>
      </c>
    </row>
    <row r="610" spans="1:10" ht="18" thickBot="1" x14ac:dyDescent="0.25">
      <c r="A610" s="8" t="s">
        <v>479</v>
      </c>
      <c r="B610" s="75" t="s">
        <v>1578</v>
      </c>
      <c r="C610" s="9" t="s">
        <v>4</v>
      </c>
      <c r="D610" s="9" t="s">
        <v>480</v>
      </c>
      <c r="E610" s="9">
        <v>54</v>
      </c>
      <c r="F610" s="10">
        <v>4872</v>
      </c>
      <c r="G610" s="10">
        <f t="shared" si="51"/>
        <v>263088</v>
      </c>
      <c r="H610" s="18">
        <v>27</v>
      </c>
      <c r="I610" s="19">
        <v>4872</v>
      </c>
      <c r="J610" s="19">
        <f t="shared" si="52"/>
        <v>131544</v>
      </c>
    </row>
    <row r="611" spans="1:10" ht="18" thickBot="1" x14ac:dyDescent="0.25">
      <c r="A611" s="8" t="s">
        <v>447</v>
      </c>
      <c r="B611" s="75" t="s">
        <v>1776</v>
      </c>
      <c r="C611" s="9" t="s">
        <v>4</v>
      </c>
      <c r="D611" s="9" t="s">
        <v>481</v>
      </c>
      <c r="E611" s="9">
        <v>12</v>
      </c>
      <c r="F611" s="10">
        <v>5800</v>
      </c>
      <c r="G611" s="10">
        <f t="shared" si="51"/>
        <v>69600</v>
      </c>
      <c r="H611" s="18">
        <v>6</v>
      </c>
      <c r="I611" s="19">
        <v>5800</v>
      </c>
      <c r="J611" s="19">
        <f t="shared" si="52"/>
        <v>34800</v>
      </c>
    </row>
    <row r="612" spans="1:10" ht="18" thickBot="1" x14ac:dyDescent="0.25">
      <c r="A612" s="8" t="s">
        <v>482</v>
      </c>
      <c r="B612" s="75" t="s">
        <v>858</v>
      </c>
      <c r="C612" s="9" t="s">
        <v>4</v>
      </c>
      <c r="D612" s="9" t="s">
        <v>483</v>
      </c>
      <c r="E612" s="9">
        <v>62</v>
      </c>
      <c r="F612" s="10">
        <v>3712</v>
      </c>
      <c r="G612" s="10">
        <f t="shared" si="51"/>
        <v>230144</v>
      </c>
      <c r="H612" s="18">
        <v>31</v>
      </c>
      <c r="I612" s="19">
        <v>3712</v>
      </c>
      <c r="J612" s="19">
        <f t="shared" si="52"/>
        <v>115072</v>
      </c>
    </row>
    <row r="613" spans="1:10" ht="18" thickBot="1" x14ac:dyDescent="0.25">
      <c r="A613" s="8" t="s">
        <v>447</v>
      </c>
      <c r="B613" s="75" t="s">
        <v>977</v>
      </c>
      <c r="C613" s="9" t="s">
        <v>4</v>
      </c>
      <c r="D613" s="9" t="s">
        <v>484</v>
      </c>
      <c r="E613" s="9">
        <v>54</v>
      </c>
      <c r="F613" s="10">
        <v>3480</v>
      </c>
      <c r="G613" s="10">
        <f t="shared" si="51"/>
        <v>187920</v>
      </c>
      <c r="H613" s="18">
        <v>27</v>
      </c>
      <c r="I613" s="19">
        <v>3480</v>
      </c>
      <c r="J613" s="19">
        <f t="shared" si="52"/>
        <v>93960</v>
      </c>
    </row>
    <row r="614" spans="1:10" ht="18" thickBot="1" x14ac:dyDescent="0.25">
      <c r="A614" s="8" t="s">
        <v>447</v>
      </c>
      <c r="B614" s="75" t="s">
        <v>946</v>
      </c>
      <c r="C614" s="9" t="s">
        <v>4</v>
      </c>
      <c r="D614" s="9" t="s">
        <v>485</v>
      </c>
      <c r="E614" s="9">
        <v>48</v>
      </c>
      <c r="F614" s="10">
        <v>4640</v>
      </c>
      <c r="G614" s="10">
        <f t="shared" si="51"/>
        <v>222720</v>
      </c>
      <c r="H614" s="18"/>
      <c r="I614" s="19">
        <v>4640</v>
      </c>
      <c r="J614" s="19">
        <f t="shared" si="52"/>
        <v>0</v>
      </c>
    </row>
    <row r="615" spans="1:10" ht="18" thickBot="1" x14ac:dyDescent="0.25">
      <c r="A615" s="8" t="s">
        <v>486</v>
      </c>
      <c r="B615" s="75" t="s">
        <v>1769</v>
      </c>
      <c r="C615" s="9" t="s">
        <v>4</v>
      </c>
      <c r="D615" s="9" t="s">
        <v>487</v>
      </c>
      <c r="E615" s="9">
        <v>60</v>
      </c>
      <c r="F615" s="10">
        <v>3480</v>
      </c>
      <c r="G615" s="10">
        <f t="shared" si="51"/>
        <v>208800</v>
      </c>
      <c r="H615" s="18">
        <v>30</v>
      </c>
      <c r="I615" s="19">
        <v>3480</v>
      </c>
      <c r="J615" s="19">
        <f t="shared" si="52"/>
        <v>104400</v>
      </c>
    </row>
    <row r="616" spans="1:10" ht="18" thickBot="1" x14ac:dyDescent="0.25">
      <c r="A616" s="8" t="s">
        <v>60</v>
      </c>
      <c r="B616" s="75" t="s">
        <v>925</v>
      </c>
      <c r="C616" s="9" t="s">
        <v>332</v>
      </c>
      <c r="D616" s="9" t="s">
        <v>488</v>
      </c>
      <c r="E616" s="9">
        <v>60</v>
      </c>
      <c r="F616" s="10">
        <v>14500</v>
      </c>
      <c r="G616" s="10">
        <f t="shared" si="51"/>
        <v>870000</v>
      </c>
      <c r="H616" s="18">
        <v>30</v>
      </c>
      <c r="I616" s="19">
        <v>14500</v>
      </c>
      <c r="J616" s="19">
        <f t="shared" si="52"/>
        <v>435000</v>
      </c>
    </row>
    <row r="617" spans="1:10" ht="18" thickBot="1" x14ac:dyDescent="0.25">
      <c r="A617" s="8" t="s">
        <v>447</v>
      </c>
      <c r="B617" s="75" t="s">
        <v>909</v>
      </c>
      <c r="C617" s="9" t="s">
        <v>4</v>
      </c>
      <c r="D617" s="9" t="s">
        <v>489</v>
      </c>
      <c r="E617" s="9">
        <v>2</v>
      </c>
      <c r="F617" s="10">
        <v>9280</v>
      </c>
      <c r="G617" s="10">
        <f t="shared" si="51"/>
        <v>18560</v>
      </c>
      <c r="H617" s="18">
        <v>1</v>
      </c>
      <c r="I617" s="19">
        <v>9280</v>
      </c>
      <c r="J617" s="19">
        <f t="shared" si="52"/>
        <v>9280</v>
      </c>
    </row>
    <row r="618" spans="1:10" ht="18" thickBot="1" x14ac:dyDescent="0.25">
      <c r="A618" s="8" t="s">
        <v>447</v>
      </c>
      <c r="B618" s="75" t="s">
        <v>910</v>
      </c>
      <c r="C618" s="9" t="s">
        <v>4</v>
      </c>
      <c r="D618" s="9" t="s">
        <v>490</v>
      </c>
      <c r="E618" s="9">
        <v>6</v>
      </c>
      <c r="F618" s="10">
        <v>11020</v>
      </c>
      <c r="G618" s="10">
        <f t="shared" si="51"/>
        <v>66120</v>
      </c>
      <c r="H618" s="18">
        <v>3</v>
      </c>
      <c r="I618" s="19">
        <v>11020</v>
      </c>
      <c r="J618" s="19">
        <f t="shared" si="52"/>
        <v>33060</v>
      </c>
    </row>
    <row r="619" spans="1:10" ht="18" thickBot="1" x14ac:dyDescent="0.25">
      <c r="A619" s="8" t="s">
        <v>491</v>
      </c>
      <c r="B619" s="75" t="s">
        <v>950</v>
      </c>
      <c r="C619" s="9" t="s">
        <v>4</v>
      </c>
      <c r="D619" s="9" t="s">
        <v>492</v>
      </c>
      <c r="E619" s="9">
        <v>92</v>
      </c>
      <c r="F619" s="10">
        <v>3944</v>
      </c>
      <c r="G619" s="10">
        <f t="shared" si="51"/>
        <v>362848</v>
      </c>
      <c r="H619" s="18">
        <v>46</v>
      </c>
      <c r="I619" s="19">
        <v>3944</v>
      </c>
      <c r="J619" s="19">
        <f t="shared" si="52"/>
        <v>181424</v>
      </c>
    </row>
    <row r="620" spans="1:10" ht="18" thickBot="1" x14ac:dyDescent="0.25">
      <c r="A620" s="8" t="s">
        <v>469</v>
      </c>
      <c r="B620" s="75" t="s">
        <v>1769</v>
      </c>
      <c r="C620" s="9" t="s">
        <v>4</v>
      </c>
      <c r="D620" s="9" t="s">
        <v>493</v>
      </c>
      <c r="E620" s="9">
        <v>54</v>
      </c>
      <c r="F620" s="10">
        <v>1160</v>
      </c>
      <c r="G620" s="10">
        <f t="shared" si="51"/>
        <v>62640</v>
      </c>
      <c r="H620" s="18">
        <v>27</v>
      </c>
      <c r="I620" s="19">
        <v>1160</v>
      </c>
      <c r="J620" s="19">
        <f t="shared" si="52"/>
        <v>31320</v>
      </c>
    </row>
    <row r="621" spans="1:10" ht="18" thickBot="1" x14ac:dyDescent="0.25">
      <c r="A621" s="8" t="s">
        <v>51</v>
      </c>
      <c r="B621" s="75" t="s">
        <v>859</v>
      </c>
      <c r="C621" s="9" t="s">
        <v>4</v>
      </c>
      <c r="D621" s="9" t="s">
        <v>494</v>
      </c>
      <c r="E621" s="9">
        <v>12</v>
      </c>
      <c r="F621" s="10">
        <v>1160</v>
      </c>
      <c r="G621" s="10">
        <f t="shared" si="51"/>
        <v>13920</v>
      </c>
      <c r="H621" s="18">
        <v>6</v>
      </c>
      <c r="I621" s="19">
        <v>1160</v>
      </c>
      <c r="J621" s="19">
        <f t="shared" si="52"/>
        <v>6960</v>
      </c>
    </row>
    <row r="622" spans="1:10" ht="18" thickBot="1" x14ac:dyDescent="0.25">
      <c r="A622" s="8" t="s">
        <v>159</v>
      </c>
      <c r="B622" s="75" t="s">
        <v>1333</v>
      </c>
      <c r="C622" s="9" t="s">
        <v>4</v>
      </c>
      <c r="D622" s="9" t="s">
        <v>495</v>
      </c>
      <c r="E622" s="9">
        <v>12</v>
      </c>
      <c r="F622" s="10">
        <v>3480</v>
      </c>
      <c r="G622" s="10">
        <f t="shared" si="51"/>
        <v>41760</v>
      </c>
      <c r="H622" s="18">
        <v>6</v>
      </c>
      <c r="I622" s="19">
        <v>3480</v>
      </c>
      <c r="J622" s="19">
        <f t="shared" si="52"/>
        <v>20880</v>
      </c>
    </row>
    <row r="623" spans="1:10" ht="18" thickBot="1" x14ac:dyDescent="0.25">
      <c r="A623" s="8" t="s">
        <v>162</v>
      </c>
      <c r="B623" s="75" t="s">
        <v>860</v>
      </c>
      <c r="C623" s="9" t="s">
        <v>4</v>
      </c>
      <c r="D623" s="9" t="s">
        <v>496</v>
      </c>
      <c r="E623" s="9">
        <v>108</v>
      </c>
      <c r="F623" s="10">
        <v>3596</v>
      </c>
      <c r="G623" s="10">
        <f t="shared" si="51"/>
        <v>388368</v>
      </c>
      <c r="H623" s="18">
        <v>48</v>
      </c>
      <c r="I623" s="19">
        <v>3596</v>
      </c>
      <c r="J623" s="19">
        <f t="shared" si="52"/>
        <v>172608</v>
      </c>
    </row>
    <row r="624" spans="1:10" ht="18" thickBot="1" x14ac:dyDescent="0.25">
      <c r="A624" s="44" t="s">
        <v>447</v>
      </c>
      <c r="B624" s="75" t="s">
        <v>979</v>
      </c>
      <c r="C624" s="9" t="s">
        <v>4</v>
      </c>
      <c r="D624" s="9" t="s">
        <v>497</v>
      </c>
      <c r="E624" s="9">
        <v>60</v>
      </c>
      <c r="F624" s="10">
        <v>4408</v>
      </c>
      <c r="G624" s="10">
        <f t="shared" si="51"/>
        <v>264480</v>
      </c>
      <c r="H624" s="18"/>
      <c r="I624" s="19">
        <v>4408</v>
      </c>
      <c r="J624" s="19">
        <f t="shared" si="52"/>
        <v>0</v>
      </c>
    </row>
    <row r="625" spans="1:10" ht="18" thickBot="1" x14ac:dyDescent="0.25">
      <c r="A625" s="8" t="s">
        <v>447</v>
      </c>
      <c r="B625" s="75" t="s">
        <v>908</v>
      </c>
      <c r="C625" s="9" t="s">
        <v>4</v>
      </c>
      <c r="D625" s="9" t="s">
        <v>498</v>
      </c>
      <c r="E625" s="9">
        <v>1</v>
      </c>
      <c r="F625" s="10">
        <v>9512</v>
      </c>
      <c r="G625" s="10">
        <f t="shared" si="51"/>
        <v>9512</v>
      </c>
      <c r="H625" s="18">
        <v>1</v>
      </c>
      <c r="I625" s="19">
        <v>9512</v>
      </c>
      <c r="J625" s="19">
        <f t="shared" si="52"/>
        <v>9512</v>
      </c>
    </row>
    <row r="626" spans="1:10" ht="18" thickBot="1" x14ac:dyDescent="0.25">
      <c r="A626" s="8" t="s">
        <v>401</v>
      </c>
      <c r="B626" s="75" t="s">
        <v>1571</v>
      </c>
      <c r="C626" s="9" t="s">
        <v>4</v>
      </c>
      <c r="D626" s="9" t="s">
        <v>499</v>
      </c>
      <c r="E626" s="9">
        <v>12</v>
      </c>
      <c r="F626" s="10">
        <v>3596</v>
      </c>
      <c r="G626" s="10">
        <f t="shared" si="51"/>
        <v>43152</v>
      </c>
      <c r="H626" s="18">
        <v>6</v>
      </c>
      <c r="I626" s="19">
        <v>3596</v>
      </c>
      <c r="J626" s="19">
        <f t="shared" si="52"/>
        <v>21576</v>
      </c>
    </row>
    <row r="627" spans="1:10" ht="18" thickBot="1" x14ac:dyDescent="0.25">
      <c r="A627" s="8" t="s">
        <v>59</v>
      </c>
      <c r="B627" s="75" t="s">
        <v>957</v>
      </c>
      <c r="C627" s="9" t="s">
        <v>4</v>
      </c>
      <c r="D627" s="9" t="s">
        <v>500</v>
      </c>
      <c r="E627" s="9">
        <v>86</v>
      </c>
      <c r="F627" s="10">
        <v>3712</v>
      </c>
      <c r="G627" s="10">
        <f t="shared" si="51"/>
        <v>319232</v>
      </c>
      <c r="H627" s="18"/>
      <c r="I627" s="19">
        <v>3712</v>
      </c>
      <c r="J627" s="19">
        <f t="shared" si="52"/>
        <v>0</v>
      </c>
    </row>
    <row r="628" spans="1:10" ht="18" thickBot="1" x14ac:dyDescent="0.25">
      <c r="A628" s="8" t="s">
        <v>155</v>
      </c>
      <c r="B628" s="75" t="s">
        <v>959</v>
      </c>
      <c r="C628" s="9" t="s">
        <v>4</v>
      </c>
      <c r="D628" s="9" t="s">
        <v>501</v>
      </c>
      <c r="E628" s="9">
        <v>66</v>
      </c>
      <c r="F628" s="10">
        <v>4640</v>
      </c>
      <c r="G628" s="10">
        <f t="shared" si="51"/>
        <v>306240</v>
      </c>
      <c r="H628" s="18">
        <v>33</v>
      </c>
      <c r="I628" s="19">
        <v>4640</v>
      </c>
      <c r="J628" s="19">
        <f t="shared" si="52"/>
        <v>153120</v>
      </c>
    </row>
    <row r="629" spans="1:10" ht="17" thickBot="1" x14ac:dyDescent="0.25">
      <c r="G629" s="37">
        <f>SUM(G570:G628)</f>
        <v>12219440</v>
      </c>
      <c r="H629" s="2"/>
      <c r="J629" s="110">
        <f>SUM(J570:J628)</f>
        <v>4852117.5999999996</v>
      </c>
    </row>
    <row r="630" spans="1:10" ht="17" thickBot="1" x14ac:dyDescent="0.25">
      <c r="A630" s="30" t="s">
        <v>803</v>
      </c>
      <c r="B630" s="74"/>
      <c r="C630" s="2" t="s">
        <v>786</v>
      </c>
      <c r="D630" s="2" t="s">
        <v>787</v>
      </c>
    </row>
    <row r="631" spans="1:10" ht="17" thickBot="1" x14ac:dyDescent="0.25">
      <c r="A631" s="9" t="s">
        <v>238</v>
      </c>
      <c r="B631" s="76" t="s">
        <v>1565</v>
      </c>
      <c r="C631" s="9" t="s">
        <v>36</v>
      </c>
      <c r="D631" s="9" t="s">
        <v>788</v>
      </c>
      <c r="E631" s="9">
        <v>10</v>
      </c>
      <c r="F631" s="10">
        <v>14152</v>
      </c>
      <c r="G631" s="10">
        <f>F631*E631</f>
        <v>141520</v>
      </c>
      <c r="H631" s="18">
        <v>5</v>
      </c>
      <c r="I631" s="19">
        <v>14152</v>
      </c>
      <c r="J631" s="19">
        <f>I631*H631</f>
        <v>70760</v>
      </c>
    </row>
    <row r="632" spans="1:10" ht="17" thickBot="1" x14ac:dyDescent="0.25">
      <c r="A632" s="9" t="s">
        <v>242</v>
      </c>
      <c r="B632" s="76" t="s">
        <v>1361</v>
      </c>
      <c r="C632" s="9" t="s">
        <v>36</v>
      </c>
      <c r="D632" s="9" t="s">
        <v>312</v>
      </c>
      <c r="E632" s="9">
        <v>35</v>
      </c>
      <c r="F632" s="10">
        <v>17400</v>
      </c>
      <c r="G632" s="10">
        <f t="shared" ref="G632:G666" si="53">F632*E632</f>
        <v>609000</v>
      </c>
      <c r="H632" s="18">
        <v>18</v>
      </c>
      <c r="I632" s="19">
        <v>17400</v>
      </c>
      <c r="J632" s="19">
        <f t="shared" ref="J632:J666" si="54">I632*H632</f>
        <v>313200</v>
      </c>
    </row>
    <row r="633" spans="1:10" ht="17" thickBot="1" x14ac:dyDescent="0.25">
      <c r="A633" s="9" t="s">
        <v>46</v>
      </c>
      <c r="B633" s="76" t="s">
        <v>1338</v>
      </c>
      <c r="C633" s="9" t="s">
        <v>36</v>
      </c>
      <c r="D633" s="9" t="s">
        <v>54</v>
      </c>
      <c r="E633" s="9">
        <v>30</v>
      </c>
      <c r="F633" s="10">
        <v>12412</v>
      </c>
      <c r="G633" s="10">
        <f t="shared" si="53"/>
        <v>372360</v>
      </c>
      <c r="H633" s="18">
        <v>15</v>
      </c>
      <c r="I633" s="19">
        <v>12412</v>
      </c>
      <c r="J633" s="19">
        <f t="shared" si="54"/>
        <v>186180</v>
      </c>
    </row>
    <row r="634" spans="1:10" ht="17" thickBot="1" x14ac:dyDescent="0.25">
      <c r="A634" s="9" t="s">
        <v>45</v>
      </c>
      <c r="B634" s="76" t="s">
        <v>914</v>
      </c>
      <c r="C634" s="9" t="s">
        <v>36</v>
      </c>
      <c r="D634" s="9" t="s">
        <v>780</v>
      </c>
      <c r="E634" s="9">
        <v>20</v>
      </c>
      <c r="F634" s="10">
        <v>11948</v>
      </c>
      <c r="G634" s="10">
        <f t="shared" si="53"/>
        <v>238960</v>
      </c>
      <c r="H634" s="18"/>
      <c r="I634" s="19">
        <v>11948</v>
      </c>
      <c r="J634" s="19">
        <f t="shared" si="54"/>
        <v>0</v>
      </c>
    </row>
    <row r="635" spans="1:10" ht="17" thickBot="1" x14ac:dyDescent="0.25">
      <c r="A635" s="9" t="s">
        <v>58</v>
      </c>
      <c r="B635" s="76" t="s">
        <v>899</v>
      </c>
      <c r="C635" s="9" t="s">
        <v>36</v>
      </c>
      <c r="D635" s="9" t="s">
        <v>343</v>
      </c>
      <c r="E635" s="9">
        <v>170</v>
      </c>
      <c r="F635" s="10">
        <v>65284.800000000003</v>
      </c>
      <c r="G635" s="10">
        <f t="shared" si="53"/>
        <v>11098416</v>
      </c>
      <c r="H635" s="18"/>
      <c r="I635" s="19">
        <v>65284.800000000003</v>
      </c>
      <c r="J635" s="19">
        <f t="shared" si="54"/>
        <v>0</v>
      </c>
    </row>
    <row r="636" spans="1:10" ht="17" thickBot="1" x14ac:dyDescent="0.25">
      <c r="A636" s="9" t="s">
        <v>58</v>
      </c>
      <c r="B636" s="76" t="s">
        <v>849</v>
      </c>
      <c r="C636" s="9" t="s">
        <v>36</v>
      </c>
      <c r="D636" s="9" t="s">
        <v>122</v>
      </c>
      <c r="E636" s="9">
        <v>25</v>
      </c>
      <c r="F636" s="10">
        <v>5568</v>
      </c>
      <c r="G636" s="10">
        <f t="shared" si="53"/>
        <v>139200</v>
      </c>
      <c r="H636" s="18">
        <v>12</v>
      </c>
      <c r="I636" s="19">
        <v>5568</v>
      </c>
      <c r="J636" s="19">
        <f t="shared" si="54"/>
        <v>66816</v>
      </c>
    </row>
    <row r="637" spans="1:10" ht="17" thickBot="1" x14ac:dyDescent="0.25">
      <c r="A637" s="9" t="s">
        <v>140</v>
      </c>
      <c r="B637" s="76" t="s">
        <v>862</v>
      </c>
      <c r="C637" s="9" t="s">
        <v>36</v>
      </c>
      <c r="D637" s="9" t="s">
        <v>408</v>
      </c>
      <c r="E637" s="9">
        <v>20</v>
      </c>
      <c r="F637" s="10">
        <v>9976</v>
      </c>
      <c r="G637" s="10">
        <f t="shared" si="53"/>
        <v>199520</v>
      </c>
      <c r="H637" s="18">
        <v>10</v>
      </c>
      <c r="I637" s="19">
        <v>9976</v>
      </c>
      <c r="J637" s="19">
        <f t="shared" si="54"/>
        <v>99760</v>
      </c>
    </row>
    <row r="638" spans="1:10" ht="17" thickBot="1" x14ac:dyDescent="0.25">
      <c r="A638" s="9" t="s">
        <v>241</v>
      </c>
      <c r="B638" s="76" t="s">
        <v>1346</v>
      </c>
      <c r="C638" s="9" t="s">
        <v>36</v>
      </c>
      <c r="D638" s="9" t="s">
        <v>789</v>
      </c>
      <c r="E638" s="9">
        <v>15</v>
      </c>
      <c r="F638" s="10">
        <v>6844</v>
      </c>
      <c r="G638" s="10">
        <f t="shared" si="53"/>
        <v>102660</v>
      </c>
      <c r="H638" s="18">
        <v>8</v>
      </c>
      <c r="I638" s="19">
        <v>6844</v>
      </c>
      <c r="J638" s="19">
        <f t="shared" si="54"/>
        <v>54752</v>
      </c>
    </row>
    <row r="639" spans="1:10" ht="17" thickBot="1" x14ac:dyDescent="0.25">
      <c r="A639" s="9" t="s">
        <v>45</v>
      </c>
      <c r="B639" s="76" t="s">
        <v>1334</v>
      </c>
      <c r="C639" s="9" t="s">
        <v>36</v>
      </c>
      <c r="D639" s="9" t="s">
        <v>120</v>
      </c>
      <c r="E639" s="9">
        <v>10</v>
      </c>
      <c r="F639" s="10">
        <v>17284</v>
      </c>
      <c r="G639" s="10">
        <f t="shared" si="53"/>
        <v>172840</v>
      </c>
      <c r="H639" s="18"/>
      <c r="I639" s="19">
        <v>17284</v>
      </c>
      <c r="J639" s="19">
        <f t="shared" si="54"/>
        <v>0</v>
      </c>
    </row>
    <row r="640" spans="1:10" ht="17" thickBot="1" x14ac:dyDescent="0.25">
      <c r="A640" s="9" t="s">
        <v>238</v>
      </c>
      <c r="B640" s="76" t="s">
        <v>878</v>
      </c>
      <c r="C640" s="9" t="s">
        <v>36</v>
      </c>
      <c r="D640" s="9" t="s">
        <v>244</v>
      </c>
      <c r="E640" s="9">
        <v>10</v>
      </c>
      <c r="F640" s="10">
        <v>17400</v>
      </c>
      <c r="G640" s="10">
        <f t="shared" si="53"/>
        <v>174000</v>
      </c>
      <c r="H640" s="18">
        <v>5</v>
      </c>
      <c r="I640" s="19">
        <v>17400</v>
      </c>
      <c r="J640" s="19">
        <f t="shared" si="54"/>
        <v>87000</v>
      </c>
    </row>
    <row r="641" spans="1:10" ht="17" thickBot="1" x14ac:dyDescent="0.25">
      <c r="A641" s="9" t="s">
        <v>37</v>
      </c>
      <c r="B641" s="76" t="s">
        <v>910</v>
      </c>
      <c r="C641" s="9" t="s">
        <v>36</v>
      </c>
      <c r="D641" s="9" t="s">
        <v>790</v>
      </c>
      <c r="E641" s="9">
        <v>10</v>
      </c>
      <c r="F641" s="10">
        <v>17516</v>
      </c>
      <c r="G641" s="10">
        <f t="shared" si="53"/>
        <v>175160</v>
      </c>
      <c r="H641" s="18"/>
      <c r="I641" s="19">
        <v>17516</v>
      </c>
      <c r="J641" s="19">
        <f t="shared" si="54"/>
        <v>0</v>
      </c>
    </row>
    <row r="642" spans="1:10" ht="17" thickBot="1" x14ac:dyDescent="0.25">
      <c r="A642" s="9" t="s">
        <v>283</v>
      </c>
      <c r="B642" s="76" t="s">
        <v>830</v>
      </c>
      <c r="C642" s="9" t="s">
        <v>36</v>
      </c>
      <c r="D642" s="9" t="s">
        <v>78</v>
      </c>
      <c r="E642" s="9">
        <v>60</v>
      </c>
      <c r="F642" s="10">
        <v>12644</v>
      </c>
      <c r="G642" s="10">
        <f t="shared" si="53"/>
        <v>758640</v>
      </c>
      <c r="H642" s="18"/>
      <c r="I642" s="19">
        <v>12644</v>
      </c>
      <c r="J642" s="19">
        <f t="shared" si="54"/>
        <v>0</v>
      </c>
    </row>
    <row r="643" spans="1:10" ht="17" thickBot="1" x14ac:dyDescent="0.25">
      <c r="A643" s="9" t="s">
        <v>240</v>
      </c>
      <c r="B643" s="76" t="s">
        <v>2040</v>
      </c>
      <c r="C643" s="9" t="s">
        <v>36</v>
      </c>
      <c r="D643" s="9" t="s">
        <v>791</v>
      </c>
      <c r="E643" s="9">
        <v>30</v>
      </c>
      <c r="F643" s="10">
        <v>11716</v>
      </c>
      <c r="G643" s="10">
        <f t="shared" si="53"/>
        <v>351480</v>
      </c>
      <c r="H643" s="18">
        <v>15</v>
      </c>
      <c r="I643" s="19">
        <v>11716</v>
      </c>
      <c r="J643" s="19">
        <f t="shared" si="54"/>
        <v>175740</v>
      </c>
    </row>
    <row r="644" spans="1:10" ht="17" thickBot="1" x14ac:dyDescent="0.25">
      <c r="A644" s="9" t="s">
        <v>792</v>
      </c>
      <c r="B644" s="76" t="s">
        <v>876</v>
      </c>
      <c r="C644" s="9" t="s">
        <v>36</v>
      </c>
      <c r="D644" s="9" t="s">
        <v>39</v>
      </c>
      <c r="E644" s="9">
        <v>12</v>
      </c>
      <c r="F644" s="10">
        <v>17516</v>
      </c>
      <c r="G644" s="10">
        <f t="shared" si="53"/>
        <v>210192</v>
      </c>
      <c r="H644" s="18">
        <v>6</v>
      </c>
      <c r="I644" s="19">
        <v>17516</v>
      </c>
      <c r="J644" s="19">
        <f t="shared" si="54"/>
        <v>105096</v>
      </c>
    </row>
    <row r="645" spans="1:10" ht="17" thickBot="1" x14ac:dyDescent="0.25">
      <c r="A645" s="9" t="s">
        <v>793</v>
      </c>
      <c r="B645" s="76" t="s">
        <v>882</v>
      </c>
      <c r="C645" s="9" t="s">
        <v>36</v>
      </c>
      <c r="D645" s="9" t="s">
        <v>794</v>
      </c>
      <c r="E645" s="9">
        <v>20</v>
      </c>
      <c r="F645" s="10">
        <v>14500</v>
      </c>
      <c r="G645" s="10">
        <f t="shared" si="53"/>
        <v>290000</v>
      </c>
      <c r="H645" s="18">
        <v>10</v>
      </c>
      <c r="I645" s="19">
        <v>14500</v>
      </c>
      <c r="J645" s="19">
        <f t="shared" si="54"/>
        <v>145000</v>
      </c>
    </row>
    <row r="646" spans="1:10" ht="17" thickBot="1" x14ac:dyDescent="0.25">
      <c r="A646" s="9" t="s">
        <v>140</v>
      </c>
      <c r="B646" s="76" t="s">
        <v>970</v>
      </c>
      <c r="C646" s="9" t="s">
        <v>36</v>
      </c>
      <c r="D646" s="9" t="s">
        <v>398</v>
      </c>
      <c r="E646" s="9">
        <v>40</v>
      </c>
      <c r="F646" s="10">
        <v>14500</v>
      </c>
      <c r="G646" s="10">
        <f t="shared" si="53"/>
        <v>580000</v>
      </c>
      <c r="H646" s="18">
        <v>20</v>
      </c>
      <c r="I646" s="19">
        <v>14500</v>
      </c>
      <c r="J646" s="19">
        <f t="shared" si="54"/>
        <v>290000</v>
      </c>
    </row>
    <row r="647" spans="1:10" ht="17" thickBot="1" x14ac:dyDescent="0.25">
      <c r="A647" s="9" t="s">
        <v>795</v>
      </c>
      <c r="B647" s="76" t="s">
        <v>1340</v>
      </c>
      <c r="C647" s="9" t="s">
        <v>36</v>
      </c>
      <c r="D647" s="9" t="s">
        <v>123</v>
      </c>
      <c r="E647" s="9">
        <v>26</v>
      </c>
      <c r="F647" s="10">
        <v>14268</v>
      </c>
      <c r="G647" s="10">
        <f t="shared" si="53"/>
        <v>370968</v>
      </c>
      <c r="H647" s="18">
        <v>13</v>
      </c>
      <c r="I647" s="19">
        <v>14268</v>
      </c>
      <c r="J647" s="19">
        <f t="shared" si="54"/>
        <v>185484</v>
      </c>
    </row>
    <row r="648" spans="1:10" ht="17" thickBot="1" x14ac:dyDescent="0.25">
      <c r="A648" s="9" t="s">
        <v>290</v>
      </c>
      <c r="B648" s="76" t="s">
        <v>833</v>
      </c>
      <c r="C648" s="9" t="s">
        <v>36</v>
      </c>
      <c r="D648" s="9" t="s">
        <v>307</v>
      </c>
      <c r="E648" s="9">
        <v>50</v>
      </c>
      <c r="F648" s="10">
        <v>2726</v>
      </c>
      <c r="G648" s="10">
        <f t="shared" si="53"/>
        <v>136300</v>
      </c>
      <c r="H648" s="18">
        <v>25</v>
      </c>
      <c r="I648" s="19">
        <v>2726</v>
      </c>
      <c r="J648" s="19">
        <f t="shared" si="54"/>
        <v>68150</v>
      </c>
    </row>
    <row r="649" spans="1:10" ht="17" thickBot="1" x14ac:dyDescent="0.25">
      <c r="A649" s="9" t="s">
        <v>45</v>
      </c>
      <c r="B649" s="76" t="s">
        <v>908</v>
      </c>
      <c r="C649" s="9" t="s">
        <v>36</v>
      </c>
      <c r="D649" s="9" t="s">
        <v>113</v>
      </c>
      <c r="E649" s="9">
        <v>10</v>
      </c>
      <c r="F649" s="10">
        <v>17516</v>
      </c>
      <c r="G649" s="10">
        <f t="shared" si="53"/>
        <v>175160</v>
      </c>
      <c r="H649" s="18"/>
      <c r="I649" s="19">
        <v>17516</v>
      </c>
      <c r="J649" s="19">
        <f t="shared" si="54"/>
        <v>0</v>
      </c>
    </row>
    <row r="650" spans="1:10" ht="17" thickBot="1" x14ac:dyDescent="0.25">
      <c r="A650" s="9" t="s">
        <v>37</v>
      </c>
      <c r="B650" s="76" t="s">
        <v>1339</v>
      </c>
      <c r="C650" s="9" t="s">
        <v>36</v>
      </c>
      <c r="D650" s="9" t="s">
        <v>790</v>
      </c>
      <c r="E650" s="9">
        <v>10</v>
      </c>
      <c r="F650" s="10">
        <v>17516</v>
      </c>
      <c r="G650" s="10">
        <f t="shared" si="53"/>
        <v>175160</v>
      </c>
      <c r="H650" s="18"/>
      <c r="I650" s="19">
        <v>17516</v>
      </c>
      <c r="J650" s="19">
        <f t="shared" si="54"/>
        <v>0</v>
      </c>
    </row>
    <row r="651" spans="1:10" ht="17" thickBot="1" x14ac:dyDescent="0.25">
      <c r="A651" s="9" t="s">
        <v>58</v>
      </c>
      <c r="B651" s="76" t="s">
        <v>897</v>
      </c>
      <c r="C651" s="9" t="s">
        <v>36</v>
      </c>
      <c r="D651" s="9" t="s">
        <v>336</v>
      </c>
      <c r="E651" s="9">
        <v>15</v>
      </c>
      <c r="F651" s="10">
        <v>9048</v>
      </c>
      <c r="G651" s="10">
        <f t="shared" si="53"/>
        <v>135720</v>
      </c>
      <c r="H651" s="18">
        <v>8</v>
      </c>
      <c r="I651" s="19">
        <v>9048</v>
      </c>
      <c r="J651" s="19">
        <f t="shared" si="54"/>
        <v>72384</v>
      </c>
    </row>
    <row r="652" spans="1:10" ht="17" thickBot="1" x14ac:dyDescent="0.25">
      <c r="A652" s="9" t="s">
        <v>285</v>
      </c>
      <c r="B652" s="76" t="s">
        <v>1340</v>
      </c>
      <c r="C652" s="9" t="s">
        <v>36</v>
      </c>
      <c r="D652" s="9" t="s">
        <v>53</v>
      </c>
      <c r="E652" s="9">
        <v>35</v>
      </c>
      <c r="F652" s="10">
        <v>10904</v>
      </c>
      <c r="G652" s="10">
        <f t="shared" si="53"/>
        <v>381640</v>
      </c>
      <c r="H652" s="18">
        <v>9</v>
      </c>
      <c r="I652" s="19">
        <v>10904</v>
      </c>
      <c r="J652" s="19">
        <f t="shared" si="54"/>
        <v>98136</v>
      </c>
    </row>
    <row r="653" spans="1:10" ht="17" thickBot="1" x14ac:dyDescent="0.25">
      <c r="A653" s="9" t="s">
        <v>240</v>
      </c>
      <c r="B653" s="76" t="s">
        <v>906</v>
      </c>
      <c r="C653" s="9" t="s">
        <v>36</v>
      </c>
      <c r="D653" s="9" t="s">
        <v>796</v>
      </c>
      <c r="E653" s="9">
        <v>26</v>
      </c>
      <c r="F653" s="10">
        <v>11948</v>
      </c>
      <c r="G653" s="10">
        <f t="shared" si="53"/>
        <v>310648</v>
      </c>
      <c r="H653" s="18">
        <v>13</v>
      </c>
      <c r="I653" s="19">
        <v>11948</v>
      </c>
      <c r="J653" s="19">
        <f t="shared" si="54"/>
        <v>155324</v>
      </c>
    </row>
    <row r="654" spans="1:10" ht="17" thickBot="1" x14ac:dyDescent="0.25">
      <c r="A654" s="9" t="s">
        <v>241</v>
      </c>
      <c r="B654" s="76" t="s">
        <v>1346</v>
      </c>
      <c r="C654" s="9" t="s">
        <v>36</v>
      </c>
      <c r="D654" s="9" t="s">
        <v>80</v>
      </c>
      <c r="E654" s="9">
        <v>20</v>
      </c>
      <c r="F654" s="10">
        <v>6844</v>
      </c>
      <c r="G654" s="10">
        <f t="shared" si="53"/>
        <v>136880</v>
      </c>
      <c r="H654" s="18">
        <v>10</v>
      </c>
      <c r="I654" s="19">
        <v>6844</v>
      </c>
      <c r="J654" s="19">
        <f t="shared" si="54"/>
        <v>68440</v>
      </c>
    </row>
    <row r="655" spans="1:10" ht="17" thickBot="1" x14ac:dyDescent="0.25">
      <c r="A655" s="9" t="s">
        <v>797</v>
      </c>
      <c r="B655" s="76" t="s">
        <v>2053</v>
      </c>
      <c r="C655" s="9" t="s">
        <v>36</v>
      </c>
      <c r="D655" s="9" t="s">
        <v>411</v>
      </c>
      <c r="E655" s="9">
        <v>32</v>
      </c>
      <c r="F655" s="10">
        <v>2900</v>
      </c>
      <c r="G655" s="10">
        <f t="shared" si="53"/>
        <v>92800</v>
      </c>
      <c r="H655" s="18"/>
      <c r="I655" s="19">
        <v>2900</v>
      </c>
      <c r="J655" s="19">
        <f t="shared" si="54"/>
        <v>0</v>
      </c>
    </row>
    <row r="656" spans="1:10" ht="17" thickBot="1" x14ac:dyDescent="0.25">
      <c r="A656" s="9" t="s">
        <v>239</v>
      </c>
      <c r="B656" s="76" t="s">
        <v>1271</v>
      </c>
      <c r="C656" s="9" t="s">
        <v>36</v>
      </c>
      <c r="D656" s="9" t="s">
        <v>798</v>
      </c>
      <c r="E656" s="9">
        <v>40</v>
      </c>
      <c r="F656" s="10">
        <v>8816</v>
      </c>
      <c r="G656" s="10">
        <f t="shared" si="53"/>
        <v>352640</v>
      </c>
      <c r="H656" s="18">
        <v>20</v>
      </c>
      <c r="I656" s="19">
        <v>8816</v>
      </c>
      <c r="J656" s="19">
        <f t="shared" si="54"/>
        <v>176320</v>
      </c>
    </row>
    <row r="657" spans="1:16" ht="17" thickBot="1" x14ac:dyDescent="0.25">
      <c r="A657" s="9" t="s">
        <v>242</v>
      </c>
      <c r="B657" s="76" t="s">
        <v>904</v>
      </c>
      <c r="C657" s="9" t="s">
        <v>36</v>
      </c>
      <c r="D657" s="9" t="s">
        <v>293</v>
      </c>
      <c r="E657" s="9">
        <v>20</v>
      </c>
      <c r="F657" s="10">
        <v>12412</v>
      </c>
      <c r="G657" s="10">
        <f t="shared" si="53"/>
        <v>248240</v>
      </c>
      <c r="H657" s="18">
        <v>10</v>
      </c>
      <c r="I657" s="19">
        <v>12412</v>
      </c>
      <c r="J657" s="19">
        <f t="shared" si="54"/>
        <v>124120</v>
      </c>
    </row>
    <row r="658" spans="1:16" ht="17" thickBot="1" x14ac:dyDescent="0.25">
      <c r="A658" s="9" t="s">
        <v>45</v>
      </c>
      <c r="B658" s="76" t="s">
        <v>1277</v>
      </c>
      <c r="C658" s="9" t="s">
        <v>36</v>
      </c>
      <c r="D658" s="9" t="s">
        <v>319</v>
      </c>
      <c r="E658" s="9">
        <v>5</v>
      </c>
      <c r="F658" s="10">
        <v>12992</v>
      </c>
      <c r="G658" s="10">
        <f t="shared" si="53"/>
        <v>64960</v>
      </c>
      <c r="H658" s="18">
        <v>5</v>
      </c>
      <c r="I658" s="19">
        <v>12992</v>
      </c>
      <c r="J658" s="19">
        <f t="shared" si="54"/>
        <v>64960</v>
      </c>
    </row>
    <row r="659" spans="1:16" ht="17" thickBot="1" x14ac:dyDescent="0.25">
      <c r="A659" s="9" t="s">
        <v>283</v>
      </c>
      <c r="B659" s="76" t="s">
        <v>1277</v>
      </c>
      <c r="C659" s="9" t="s">
        <v>36</v>
      </c>
      <c r="D659" s="9" t="s">
        <v>799</v>
      </c>
      <c r="E659" s="9">
        <v>10</v>
      </c>
      <c r="F659" s="10">
        <v>3944</v>
      </c>
      <c r="G659" s="10">
        <f t="shared" si="53"/>
        <v>39440</v>
      </c>
      <c r="H659" s="18">
        <v>5</v>
      </c>
      <c r="I659" s="19">
        <v>3944</v>
      </c>
      <c r="J659" s="19">
        <f t="shared" si="54"/>
        <v>19720</v>
      </c>
    </row>
    <row r="660" spans="1:16" ht="17" thickBot="1" x14ac:dyDescent="0.25">
      <c r="A660" s="9" t="s">
        <v>58</v>
      </c>
      <c r="B660" s="76" t="s">
        <v>847</v>
      </c>
      <c r="C660" s="9" t="s">
        <v>36</v>
      </c>
      <c r="D660" s="9" t="s">
        <v>648</v>
      </c>
      <c r="E660" s="9">
        <v>5</v>
      </c>
      <c r="F660" s="10">
        <v>18676</v>
      </c>
      <c r="G660" s="10">
        <f t="shared" si="53"/>
        <v>93380</v>
      </c>
      <c r="H660" s="18">
        <v>2</v>
      </c>
      <c r="I660" s="19">
        <v>18676</v>
      </c>
      <c r="J660" s="19">
        <f t="shared" si="54"/>
        <v>37352</v>
      </c>
    </row>
    <row r="661" spans="1:16" ht="17" thickBot="1" x14ac:dyDescent="0.25">
      <c r="A661" s="9" t="s">
        <v>37</v>
      </c>
      <c r="B661" s="76" t="s">
        <v>908</v>
      </c>
      <c r="C661" s="9" t="s">
        <v>36</v>
      </c>
      <c r="D661" s="9" t="s">
        <v>116</v>
      </c>
      <c r="E661" s="9">
        <v>10</v>
      </c>
      <c r="F661" s="10">
        <v>17516</v>
      </c>
      <c r="G661" s="10">
        <f t="shared" si="53"/>
        <v>175160</v>
      </c>
      <c r="H661" s="18">
        <v>5</v>
      </c>
      <c r="I661" s="19">
        <v>17516</v>
      </c>
      <c r="J661" s="19">
        <f t="shared" si="54"/>
        <v>87580</v>
      </c>
    </row>
    <row r="662" spans="1:16" ht="17" thickBot="1" x14ac:dyDescent="0.25">
      <c r="A662" s="9" t="s">
        <v>200</v>
      </c>
      <c r="B662" s="76" t="s">
        <v>920</v>
      </c>
      <c r="C662" s="9" t="s">
        <v>36</v>
      </c>
      <c r="D662" s="9" t="s">
        <v>800</v>
      </c>
      <c r="E662" s="9">
        <v>10</v>
      </c>
      <c r="F662" s="10">
        <v>17400</v>
      </c>
      <c r="G662" s="10">
        <f t="shared" si="53"/>
        <v>174000</v>
      </c>
      <c r="H662" s="18">
        <v>5</v>
      </c>
      <c r="I662" s="19">
        <v>17400</v>
      </c>
      <c r="J662" s="19">
        <f t="shared" si="54"/>
        <v>87000</v>
      </c>
    </row>
    <row r="663" spans="1:16" ht="17" thickBot="1" x14ac:dyDescent="0.25">
      <c r="A663" s="9" t="s">
        <v>45</v>
      </c>
      <c r="B663" s="76" t="s">
        <v>896</v>
      </c>
      <c r="C663" s="9" t="s">
        <v>36</v>
      </c>
      <c r="D663" s="9" t="s">
        <v>111</v>
      </c>
      <c r="E663" s="9">
        <v>21</v>
      </c>
      <c r="F663" s="10">
        <v>10440</v>
      </c>
      <c r="G663" s="10">
        <f t="shared" si="53"/>
        <v>219240</v>
      </c>
      <c r="H663" s="18">
        <v>10</v>
      </c>
      <c r="I663" s="19">
        <v>10440</v>
      </c>
      <c r="J663" s="19">
        <f t="shared" si="54"/>
        <v>104400</v>
      </c>
    </row>
    <row r="664" spans="1:16" ht="17" thickBot="1" x14ac:dyDescent="0.25">
      <c r="A664" s="9" t="s">
        <v>801</v>
      </c>
      <c r="B664" s="76" t="s">
        <v>1362</v>
      </c>
      <c r="C664" s="9" t="s">
        <v>36</v>
      </c>
      <c r="D664" s="9" t="s">
        <v>298</v>
      </c>
      <c r="E664" s="9">
        <v>10</v>
      </c>
      <c r="F664" s="10">
        <v>16124</v>
      </c>
      <c r="G664" s="10">
        <f t="shared" si="53"/>
        <v>161240</v>
      </c>
      <c r="H664" s="18">
        <v>5</v>
      </c>
      <c r="I664" s="19">
        <v>16124</v>
      </c>
      <c r="J664" s="19">
        <f t="shared" si="54"/>
        <v>80620</v>
      </c>
    </row>
    <row r="665" spans="1:16" ht="17" thickBot="1" x14ac:dyDescent="0.25">
      <c r="A665" s="9" t="s">
        <v>285</v>
      </c>
      <c r="B665" s="76" t="s">
        <v>887</v>
      </c>
      <c r="C665" s="9" t="s">
        <v>36</v>
      </c>
      <c r="D665" s="9" t="s">
        <v>802</v>
      </c>
      <c r="E665" s="9">
        <v>40</v>
      </c>
      <c r="F665" s="10">
        <v>20532</v>
      </c>
      <c r="G665" s="10">
        <f t="shared" si="53"/>
        <v>821280</v>
      </c>
      <c r="H665" s="18"/>
      <c r="I665" s="19">
        <v>20532</v>
      </c>
      <c r="J665" s="19">
        <f t="shared" si="54"/>
        <v>0</v>
      </c>
    </row>
    <row r="666" spans="1:16" ht="17" thickBot="1" x14ac:dyDescent="0.25">
      <c r="A666" s="9" t="s">
        <v>663</v>
      </c>
      <c r="B666" s="76" t="s">
        <v>845</v>
      </c>
      <c r="C666" s="9" t="s">
        <v>36</v>
      </c>
      <c r="D666" s="9" t="s">
        <v>205</v>
      </c>
      <c r="E666" s="9">
        <v>16</v>
      </c>
      <c r="F666" s="10">
        <v>11832</v>
      </c>
      <c r="G666" s="10">
        <f t="shared" si="53"/>
        <v>189312</v>
      </c>
      <c r="H666" s="18">
        <v>8</v>
      </c>
      <c r="I666" s="19">
        <v>11832</v>
      </c>
      <c r="J666" s="19">
        <f t="shared" si="54"/>
        <v>94656</v>
      </c>
    </row>
    <row r="667" spans="1:16" ht="17" thickBot="1" x14ac:dyDescent="0.25">
      <c r="A667" s="2"/>
      <c r="B667" s="77"/>
      <c r="G667" s="12">
        <f>SUM(G631:G666)</f>
        <v>20068116</v>
      </c>
      <c r="H667" s="2"/>
      <c r="J667" s="34">
        <f>SUM(J631:J666)</f>
        <v>3118950</v>
      </c>
    </row>
    <row r="668" spans="1:16" ht="17" thickBot="1" x14ac:dyDescent="0.25">
      <c r="A668" s="30" t="s">
        <v>1167</v>
      </c>
      <c r="B668" s="77"/>
      <c r="C668" s="2" t="s">
        <v>786</v>
      </c>
      <c r="D668" s="2" t="s">
        <v>787</v>
      </c>
    </row>
    <row r="669" spans="1:16" ht="17" thickBot="1" x14ac:dyDescent="0.25">
      <c r="A669" s="9" t="s">
        <v>240</v>
      </c>
      <c r="B669" s="76"/>
      <c r="C669" s="9" t="s">
        <v>36</v>
      </c>
      <c r="D669" s="9"/>
      <c r="E669" s="9">
        <v>30</v>
      </c>
      <c r="F669" s="10">
        <v>14384</v>
      </c>
      <c r="G669" s="12">
        <f>F669*E669</f>
        <v>431520</v>
      </c>
      <c r="H669" s="23">
        <v>15</v>
      </c>
      <c r="I669" s="24">
        <v>14384</v>
      </c>
      <c r="J669" s="26">
        <f>I669*H669</f>
        <v>215760</v>
      </c>
    </row>
    <row r="671" spans="1:16" ht="19" thickBot="1" x14ac:dyDescent="0.25">
      <c r="A671" s="7" t="s">
        <v>2045</v>
      </c>
      <c r="B671" s="82"/>
      <c r="H671" s="38" t="s">
        <v>2305</v>
      </c>
      <c r="K671" t="s">
        <v>2143</v>
      </c>
      <c r="N671" t="s">
        <v>2143</v>
      </c>
      <c r="P671" s="36">
        <v>46199</v>
      </c>
    </row>
    <row r="672" spans="1:16" ht="18" thickBot="1" x14ac:dyDescent="0.25">
      <c r="A672" s="8" t="s">
        <v>282</v>
      </c>
      <c r="B672" s="75" t="s">
        <v>839</v>
      </c>
      <c r="C672" s="9" t="s">
        <v>4</v>
      </c>
      <c r="D672" s="9" t="s">
        <v>80</v>
      </c>
      <c r="E672" s="9">
        <v>200</v>
      </c>
      <c r="F672" s="10">
        <v>5904.4</v>
      </c>
      <c r="G672" s="10">
        <f>E672*F672</f>
        <v>1180880</v>
      </c>
      <c r="H672" s="18"/>
      <c r="I672" s="19">
        <v>5904.4</v>
      </c>
      <c r="J672" s="19">
        <f>H672*I672</f>
        <v>0</v>
      </c>
      <c r="K672" s="92"/>
      <c r="L672" s="93">
        <v>5904.4</v>
      </c>
      <c r="M672" s="93">
        <f>K672*L672</f>
        <v>0</v>
      </c>
      <c r="N672" s="23">
        <v>48</v>
      </c>
      <c r="O672" s="24">
        <v>5904.4</v>
      </c>
      <c r="P672" s="24">
        <f>N672*O672</f>
        <v>283411.19999999995</v>
      </c>
    </row>
    <row r="673" spans="1:16" ht="18" thickBot="1" x14ac:dyDescent="0.25">
      <c r="A673" s="8" t="s">
        <v>242</v>
      </c>
      <c r="B673" s="75" t="s">
        <v>904</v>
      </c>
      <c r="C673" s="9" t="s">
        <v>4</v>
      </c>
      <c r="D673" s="9" t="s">
        <v>293</v>
      </c>
      <c r="E673" s="9">
        <v>100</v>
      </c>
      <c r="F673" s="10">
        <v>15080</v>
      </c>
      <c r="G673" s="10">
        <f t="shared" ref="G673:G709" si="55">E673*F673</f>
        <v>1508000</v>
      </c>
      <c r="H673" s="18"/>
      <c r="I673" s="19">
        <v>15080</v>
      </c>
      <c r="J673" s="19">
        <f t="shared" ref="J673:J709" si="56">H673*I673</f>
        <v>0</v>
      </c>
      <c r="K673" s="92">
        <v>30</v>
      </c>
      <c r="L673" s="93">
        <v>15080</v>
      </c>
      <c r="M673" s="93">
        <f t="shared" ref="M673:M709" si="57">K673*L673</f>
        <v>452400</v>
      </c>
      <c r="N673" s="23"/>
      <c r="O673" s="24">
        <v>15080</v>
      </c>
      <c r="P673" s="24">
        <f t="shared" ref="P673:P709" si="58">N673*O673</f>
        <v>0</v>
      </c>
    </row>
    <row r="674" spans="1:16" ht="18" thickBot="1" x14ac:dyDescent="0.25">
      <c r="A674" s="8" t="s">
        <v>280</v>
      </c>
      <c r="B674" s="75" t="s">
        <v>896</v>
      </c>
      <c r="C674" s="9" t="s">
        <v>4</v>
      </c>
      <c r="D674" s="9" t="s">
        <v>294</v>
      </c>
      <c r="E674" s="9">
        <v>40</v>
      </c>
      <c r="F674" s="10">
        <v>20764</v>
      </c>
      <c r="G674" s="10">
        <f t="shared" si="55"/>
        <v>830560</v>
      </c>
      <c r="H674" s="18">
        <v>16</v>
      </c>
      <c r="I674" s="19">
        <v>20764</v>
      </c>
      <c r="J674" s="19">
        <f t="shared" si="56"/>
        <v>332224</v>
      </c>
      <c r="K674" s="92"/>
      <c r="L674" s="93">
        <v>20764</v>
      </c>
      <c r="M674" s="93">
        <f t="shared" si="57"/>
        <v>0</v>
      </c>
      <c r="N674" s="23"/>
      <c r="O674" s="24">
        <v>20764</v>
      </c>
      <c r="P674" s="24">
        <f t="shared" si="58"/>
        <v>0</v>
      </c>
    </row>
    <row r="675" spans="1:16" ht="18" thickBot="1" x14ac:dyDescent="0.25">
      <c r="A675" s="8" t="s">
        <v>45</v>
      </c>
      <c r="B675" s="75" t="s">
        <v>841</v>
      </c>
      <c r="C675" s="9" t="s">
        <v>4</v>
      </c>
      <c r="D675" s="9" t="s">
        <v>295</v>
      </c>
      <c r="E675" s="9">
        <v>20</v>
      </c>
      <c r="F675" s="10">
        <v>13804</v>
      </c>
      <c r="G675" s="10">
        <f t="shared" si="55"/>
        <v>276080</v>
      </c>
      <c r="H675" s="18">
        <v>8</v>
      </c>
      <c r="I675" s="19">
        <v>13804</v>
      </c>
      <c r="J675" s="19">
        <f t="shared" si="56"/>
        <v>110432</v>
      </c>
      <c r="K675" s="92"/>
      <c r="L675" s="93">
        <v>13804</v>
      </c>
      <c r="M675" s="93">
        <f t="shared" si="57"/>
        <v>0</v>
      </c>
      <c r="N675" s="23"/>
      <c r="O675" s="24">
        <v>13804</v>
      </c>
      <c r="P675" s="24">
        <f t="shared" si="58"/>
        <v>0</v>
      </c>
    </row>
    <row r="676" spans="1:16" ht="18" thickBot="1" x14ac:dyDescent="0.25">
      <c r="A676" s="8" t="s">
        <v>140</v>
      </c>
      <c r="B676" s="75" t="s">
        <v>862</v>
      </c>
      <c r="C676" s="9" t="s">
        <v>36</v>
      </c>
      <c r="D676" s="9" t="s">
        <v>296</v>
      </c>
      <c r="E676" s="9">
        <v>210</v>
      </c>
      <c r="F676" s="10">
        <v>10312.4</v>
      </c>
      <c r="G676" s="10">
        <f t="shared" si="55"/>
        <v>2165604</v>
      </c>
      <c r="H676" s="18">
        <v>50</v>
      </c>
      <c r="I676" s="19">
        <v>10312.4</v>
      </c>
      <c r="J676" s="19">
        <f t="shared" si="56"/>
        <v>515620</v>
      </c>
      <c r="K676" s="92">
        <v>50</v>
      </c>
      <c r="L676" s="93">
        <v>10312.4</v>
      </c>
      <c r="M676" s="93">
        <f t="shared" si="57"/>
        <v>515620</v>
      </c>
      <c r="N676" s="23"/>
      <c r="O676" s="24">
        <v>10312.4</v>
      </c>
      <c r="P676" s="24">
        <f t="shared" si="58"/>
        <v>0</v>
      </c>
    </row>
    <row r="677" spans="1:16" ht="18" thickBot="1" x14ac:dyDescent="0.25">
      <c r="A677" s="8" t="s">
        <v>283</v>
      </c>
      <c r="B677" s="75" t="s">
        <v>835</v>
      </c>
      <c r="C677" s="9" t="s">
        <v>36</v>
      </c>
      <c r="D677" s="9" t="s">
        <v>297</v>
      </c>
      <c r="E677" s="9">
        <v>150</v>
      </c>
      <c r="F677" s="10">
        <v>3317.6</v>
      </c>
      <c r="G677" s="10">
        <f t="shared" si="55"/>
        <v>497640</v>
      </c>
      <c r="H677" s="18"/>
      <c r="I677" s="19">
        <v>3317.6</v>
      </c>
      <c r="J677" s="19">
        <f t="shared" si="56"/>
        <v>0</v>
      </c>
      <c r="K677" s="92"/>
      <c r="L677" s="93">
        <v>3317.6</v>
      </c>
      <c r="M677" s="93">
        <f t="shared" si="57"/>
        <v>0</v>
      </c>
      <c r="N677" s="23">
        <v>60</v>
      </c>
      <c r="O677" s="24">
        <v>3317.6</v>
      </c>
      <c r="P677" s="24">
        <f t="shared" si="58"/>
        <v>199056</v>
      </c>
    </row>
    <row r="678" spans="1:16" ht="18" thickBot="1" x14ac:dyDescent="0.25">
      <c r="A678" s="8" t="s">
        <v>284</v>
      </c>
      <c r="B678" s="75" t="s">
        <v>846</v>
      </c>
      <c r="C678" s="9" t="s">
        <v>36</v>
      </c>
      <c r="D678" s="9" t="s">
        <v>41</v>
      </c>
      <c r="E678" s="9">
        <v>70</v>
      </c>
      <c r="F678" s="10">
        <v>20868.400000000001</v>
      </c>
      <c r="G678" s="10">
        <f t="shared" si="55"/>
        <v>1460788</v>
      </c>
      <c r="H678" s="18"/>
      <c r="I678" s="19">
        <v>20868.400000000001</v>
      </c>
      <c r="J678" s="19">
        <f t="shared" si="56"/>
        <v>0</v>
      </c>
      <c r="K678" s="92"/>
      <c r="L678" s="93">
        <v>20868.400000000001</v>
      </c>
      <c r="M678" s="93">
        <f t="shared" si="57"/>
        <v>0</v>
      </c>
      <c r="N678" s="23"/>
      <c r="O678" s="24">
        <v>20868.400000000001</v>
      </c>
      <c r="P678" s="24">
        <f t="shared" si="58"/>
        <v>0</v>
      </c>
    </row>
    <row r="679" spans="1:16" ht="18" thickBot="1" x14ac:dyDescent="0.25">
      <c r="A679" s="8" t="s">
        <v>285</v>
      </c>
      <c r="B679" s="75" t="s">
        <v>1362</v>
      </c>
      <c r="C679" s="9" t="s">
        <v>36</v>
      </c>
      <c r="D679" s="9" t="s">
        <v>298</v>
      </c>
      <c r="E679" s="9">
        <v>80</v>
      </c>
      <c r="F679" s="10">
        <v>19720</v>
      </c>
      <c r="G679" s="10">
        <f t="shared" si="55"/>
        <v>1577600</v>
      </c>
      <c r="H679" s="18">
        <v>20</v>
      </c>
      <c r="I679" s="19">
        <v>19720</v>
      </c>
      <c r="J679" s="19">
        <f t="shared" si="56"/>
        <v>394400</v>
      </c>
      <c r="K679" s="92"/>
      <c r="L679" s="93">
        <v>19720</v>
      </c>
      <c r="M679" s="93">
        <f t="shared" si="57"/>
        <v>0</v>
      </c>
      <c r="N679" s="23">
        <v>15</v>
      </c>
      <c r="O679" s="24">
        <v>19720</v>
      </c>
      <c r="P679" s="24">
        <f t="shared" si="58"/>
        <v>295800</v>
      </c>
    </row>
    <row r="680" spans="1:16" ht="18" thickBot="1" x14ac:dyDescent="0.25">
      <c r="A680" s="8" t="s">
        <v>45</v>
      </c>
      <c r="B680" s="75" t="s">
        <v>905</v>
      </c>
      <c r="C680" s="9" t="s">
        <v>4</v>
      </c>
      <c r="D680" s="9" t="s">
        <v>111</v>
      </c>
      <c r="E680" s="9">
        <v>50</v>
      </c>
      <c r="F680" s="10">
        <v>14152</v>
      </c>
      <c r="G680" s="10">
        <f t="shared" si="55"/>
        <v>707600</v>
      </c>
      <c r="H680" s="18"/>
      <c r="I680" s="19">
        <v>14152</v>
      </c>
      <c r="J680" s="19">
        <f t="shared" si="56"/>
        <v>0</v>
      </c>
      <c r="K680" s="92"/>
      <c r="L680" s="93">
        <v>14152</v>
      </c>
      <c r="M680" s="93">
        <f t="shared" si="57"/>
        <v>0</v>
      </c>
      <c r="N680" s="23"/>
      <c r="O680" s="24">
        <v>14152</v>
      </c>
      <c r="P680" s="24">
        <f t="shared" si="58"/>
        <v>0</v>
      </c>
    </row>
    <row r="681" spans="1:16" ht="18" thickBot="1" x14ac:dyDescent="0.25">
      <c r="A681" s="8" t="s">
        <v>240</v>
      </c>
      <c r="B681" s="75" t="s">
        <v>881</v>
      </c>
      <c r="C681" s="9" t="s">
        <v>4</v>
      </c>
      <c r="D681" s="9" t="s">
        <v>169</v>
      </c>
      <c r="E681" s="9">
        <v>40</v>
      </c>
      <c r="F681" s="10">
        <v>14152</v>
      </c>
      <c r="G681" s="10">
        <f t="shared" si="55"/>
        <v>566080</v>
      </c>
      <c r="H681" s="18"/>
      <c r="I681" s="19">
        <v>14152</v>
      </c>
      <c r="J681" s="19">
        <f t="shared" si="56"/>
        <v>0</v>
      </c>
      <c r="K681" s="92">
        <v>12</v>
      </c>
      <c r="L681" s="93">
        <v>14152</v>
      </c>
      <c r="M681" s="93">
        <f t="shared" si="57"/>
        <v>169824</v>
      </c>
      <c r="N681" s="23"/>
      <c r="O681" s="24">
        <v>14152</v>
      </c>
      <c r="P681" s="24">
        <f t="shared" si="58"/>
        <v>0</v>
      </c>
    </row>
    <row r="682" spans="1:16" ht="18" thickBot="1" x14ac:dyDescent="0.25">
      <c r="A682" s="8" t="s">
        <v>240</v>
      </c>
      <c r="B682" s="75" t="s">
        <v>906</v>
      </c>
      <c r="C682" s="9" t="s">
        <v>36</v>
      </c>
      <c r="D682" s="9" t="s">
        <v>299</v>
      </c>
      <c r="E682" s="9">
        <v>60</v>
      </c>
      <c r="F682" s="10">
        <v>8108.4</v>
      </c>
      <c r="G682" s="10">
        <f t="shared" si="55"/>
        <v>486504</v>
      </c>
      <c r="H682" s="18"/>
      <c r="I682" s="19">
        <v>8108.4</v>
      </c>
      <c r="J682" s="19">
        <f t="shared" si="56"/>
        <v>0</v>
      </c>
      <c r="K682" s="92">
        <v>24</v>
      </c>
      <c r="L682" s="93">
        <v>8108.4</v>
      </c>
      <c r="M682" s="93">
        <f t="shared" si="57"/>
        <v>194601.59999999998</v>
      </c>
      <c r="N682" s="23"/>
      <c r="O682" s="24">
        <v>8108.4</v>
      </c>
      <c r="P682" s="24">
        <f t="shared" si="58"/>
        <v>0</v>
      </c>
    </row>
    <row r="683" spans="1:16" ht="18" thickBot="1" x14ac:dyDescent="0.25">
      <c r="A683" s="8" t="s">
        <v>286</v>
      </c>
      <c r="B683" s="75" t="s">
        <v>1524</v>
      </c>
      <c r="C683" s="9" t="s">
        <v>4</v>
      </c>
      <c r="D683" s="9" t="s">
        <v>300</v>
      </c>
      <c r="E683" s="9">
        <v>120</v>
      </c>
      <c r="F683" s="10">
        <v>14152</v>
      </c>
      <c r="G683" s="10">
        <f t="shared" si="55"/>
        <v>1698240</v>
      </c>
      <c r="H683" s="18"/>
      <c r="I683" s="19">
        <v>14152</v>
      </c>
      <c r="J683" s="19">
        <f t="shared" si="56"/>
        <v>0</v>
      </c>
      <c r="K683" s="92"/>
      <c r="L683" s="93">
        <v>14152</v>
      </c>
      <c r="M683" s="93">
        <f t="shared" si="57"/>
        <v>0</v>
      </c>
      <c r="N683" s="23"/>
      <c r="O683" s="24">
        <v>14152</v>
      </c>
      <c r="P683" s="24">
        <f t="shared" si="58"/>
        <v>0</v>
      </c>
    </row>
    <row r="684" spans="1:16" ht="18" thickBot="1" x14ac:dyDescent="0.25">
      <c r="A684" s="8" t="s">
        <v>58</v>
      </c>
      <c r="B684" s="75" t="s">
        <v>849</v>
      </c>
      <c r="C684" s="9" t="s">
        <v>36</v>
      </c>
      <c r="D684" s="9" t="s">
        <v>122</v>
      </c>
      <c r="E684" s="9">
        <v>320</v>
      </c>
      <c r="F684" s="10">
        <v>5881.2</v>
      </c>
      <c r="G684" s="10">
        <f t="shared" si="55"/>
        <v>1881984</v>
      </c>
      <c r="H684" s="18"/>
      <c r="I684" s="19">
        <v>5881.2</v>
      </c>
      <c r="J684" s="19">
        <f t="shared" si="56"/>
        <v>0</v>
      </c>
      <c r="K684" s="92">
        <v>108</v>
      </c>
      <c r="L684" s="93">
        <v>5881.2</v>
      </c>
      <c r="M684" s="93">
        <f t="shared" si="57"/>
        <v>635169.6</v>
      </c>
      <c r="N684" s="23"/>
      <c r="O684" s="24">
        <v>5881.2</v>
      </c>
      <c r="P684" s="24">
        <f t="shared" si="58"/>
        <v>0</v>
      </c>
    </row>
    <row r="685" spans="1:16" ht="18" thickBot="1" x14ac:dyDescent="0.25">
      <c r="A685" s="8" t="s">
        <v>45</v>
      </c>
      <c r="B685" s="75" t="s">
        <v>896</v>
      </c>
      <c r="C685" s="9" t="s">
        <v>36</v>
      </c>
      <c r="D685" s="9" t="s">
        <v>52</v>
      </c>
      <c r="E685" s="9">
        <v>90</v>
      </c>
      <c r="F685" s="10">
        <v>7308</v>
      </c>
      <c r="G685" s="10">
        <f t="shared" si="55"/>
        <v>657720</v>
      </c>
      <c r="H685" s="18">
        <v>6</v>
      </c>
      <c r="I685" s="19">
        <v>7308</v>
      </c>
      <c r="J685" s="19">
        <f t="shared" si="56"/>
        <v>43848</v>
      </c>
      <c r="K685" s="92"/>
      <c r="L685" s="93">
        <v>7308</v>
      </c>
      <c r="M685" s="93">
        <f t="shared" si="57"/>
        <v>0</v>
      </c>
      <c r="N685" s="23"/>
      <c r="O685" s="24">
        <v>7308</v>
      </c>
      <c r="P685" s="24">
        <f t="shared" si="58"/>
        <v>0</v>
      </c>
    </row>
    <row r="686" spans="1:16" ht="18" thickBot="1" x14ac:dyDescent="0.25">
      <c r="A686" s="8" t="s">
        <v>287</v>
      </c>
      <c r="B686" s="75" t="s">
        <v>878</v>
      </c>
      <c r="C686" s="9" t="s">
        <v>36</v>
      </c>
      <c r="D686" s="9" t="s">
        <v>244</v>
      </c>
      <c r="E686" s="9">
        <v>130</v>
      </c>
      <c r="F686" s="10">
        <v>20764</v>
      </c>
      <c r="G686" s="10">
        <f t="shared" si="55"/>
        <v>2699320</v>
      </c>
      <c r="H686" s="18"/>
      <c r="I686" s="19">
        <v>20764</v>
      </c>
      <c r="J686" s="19">
        <f t="shared" si="56"/>
        <v>0</v>
      </c>
      <c r="K686" s="92"/>
      <c r="L686" s="93">
        <v>20764</v>
      </c>
      <c r="M686" s="93">
        <f t="shared" si="57"/>
        <v>0</v>
      </c>
      <c r="N686" s="23"/>
      <c r="O686" s="24">
        <v>20764</v>
      </c>
      <c r="P686" s="24">
        <f t="shared" si="58"/>
        <v>0</v>
      </c>
    </row>
    <row r="687" spans="1:16" ht="18" thickBot="1" x14ac:dyDescent="0.25">
      <c r="A687" s="8" t="s">
        <v>58</v>
      </c>
      <c r="B687" s="75" t="s">
        <v>907</v>
      </c>
      <c r="C687" s="9" t="s">
        <v>36</v>
      </c>
      <c r="D687" s="9" t="s">
        <v>117</v>
      </c>
      <c r="E687" s="9">
        <v>90</v>
      </c>
      <c r="F687" s="10">
        <v>91640</v>
      </c>
      <c r="G687" s="10">
        <f t="shared" si="55"/>
        <v>8247600</v>
      </c>
      <c r="H687" s="18">
        <v>48</v>
      </c>
      <c r="I687" s="19">
        <v>91640</v>
      </c>
      <c r="J687" s="19">
        <f t="shared" si="56"/>
        <v>4398720</v>
      </c>
      <c r="K687" s="92"/>
      <c r="L687" s="93">
        <v>91640</v>
      </c>
      <c r="M687" s="93">
        <f t="shared" si="57"/>
        <v>0</v>
      </c>
      <c r="N687" s="23"/>
      <c r="O687" s="24">
        <v>91640</v>
      </c>
      <c r="P687" s="24">
        <f t="shared" si="58"/>
        <v>0</v>
      </c>
    </row>
    <row r="688" spans="1:16" ht="18" thickBot="1" x14ac:dyDescent="0.25">
      <c r="A688" s="8" t="s">
        <v>288</v>
      </c>
      <c r="B688" s="75" t="s">
        <v>908</v>
      </c>
      <c r="C688" s="9" t="s">
        <v>36</v>
      </c>
      <c r="D688" s="9" t="s">
        <v>301</v>
      </c>
      <c r="E688" s="9">
        <v>90</v>
      </c>
      <c r="F688" s="10">
        <v>20764</v>
      </c>
      <c r="G688" s="10">
        <f t="shared" si="55"/>
        <v>1868760</v>
      </c>
      <c r="H688" s="18"/>
      <c r="I688" s="19">
        <v>20764</v>
      </c>
      <c r="J688" s="19">
        <f t="shared" si="56"/>
        <v>0</v>
      </c>
      <c r="K688" s="92"/>
      <c r="L688" s="93">
        <v>20764</v>
      </c>
      <c r="M688" s="93">
        <f t="shared" si="57"/>
        <v>0</v>
      </c>
      <c r="N688" s="23"/>
      <c r="O688" s="24">
        <v>20764</v>
      </c>
      <c r="P688" s="24">
        <f t="shared" si="58"/>
        <v>0</v>
      </c>
    </row>
    <row r="689" spans="1:16" ht="18" thickBot="1" x14ac:dyDescent="0.25">
      <c r="A689" s="8" t="s">
        <v>285</v>
      </c>
      <c r="B689" s="75" t="s">
        <v>887</v>
      </c>
      <c r="C689" s="9" t="s">
        <v>36</v>
      </c>
      <c r="D689" s="9" t="s">
        <v>302</v>
      </c>
      <c r="E689" s="9">
        <v>160</v>
      </c>
      <c r="F689" s="10">
        <v>15538.2</v>
      </c>
      <c r="G689" s="10">
        <f t="shared" si="55"/>
        <v>2486112</v>
      </c>
      <c r="H689" s="18">
        <v>24</v>
      </c>
      <c r="I689" s="19">
        <v>15538.2</v>
      </c>
      <c r="J689" s="19">
        <f t="shared" si="56"/>
        <v>372916.80000000005</v>
      </c>
      <c r="K689" s="92"/>
      <c r="L689" s="93">
        <v>15538.2</v>
      </c>
      <c r="M689" s="93">
        <f t="shared" si="57"/>
        <v>0</v>
      </c>
      <c r="N689" s="23">
        <v>15</v>
      </c>
      <c r="O689" s="24">
        <v>15538.2</v>
      </c>
      <c r="P689" s="24">
        <f t="shared" si="58"/>
        <v>233073</v>
      </c>
    </row>
    <row r="690" spans="1:16" ht="18" thickBot="1" x14ac:dyDescent="0.25">
      <c r="A690" s="8" t="s">
        <v>239</v>
      </c>
      <c r="B690" s="75" t="s">
        <v>854</v>
      </c>
      <c r="C690" s="9" t="s">
        <v>9</v>
      </c>
      <c r="D690" s="9" t="s">
        <v>110</v>
      </c>
      <c r="E690" s="9">
        <v>100</v>
      </c>
      <c r="F690" s="10">
        <v>5568</v>
      </c>
      <c r="G690" s="10">
        <f t="shared" si="55"/>
        <v>556800</v>
      </c>
      <c r="H690" s="18">
        <v>30</v>
      </c>
      <c r="I690" s="19">
        <v>5568</v>
      </c>
      <c r="J690" s="19">
        <f t="shared" si="56"/>
        <v>167040</v>
      </c>
      <c r="K690" s="92"/>
      <c r="L690" s="93">
        <v>5568</v>
      </c>
      <c r="M690" s="93">
        <f t="shared" si="57"/>
        <v>0</v>
      </c>
      <c r="N690" s="23">
        <v>30</v>
      </c>
      <c r="O690" s="24">
        <v>5568</v>
      </c>
      <c r="P690" s="24">
        <f t="shared" si="58"/>
        <v>167040</v>
      </c>
    </row>
    <row r="691" spans="1:16" ht="18" thickBot="1" x14ac:dyDescent="0.25">
      <c r="A691" s="8" t="s">
        <v>240</v>
      </c>
      <c r="B691" s="75" t="s">
        <v>889</v>
      </c>
      <c r="C691" s="9" t="s">
        <v>36</v>
      </c>
      <c r="D691" s="9" t="s">
        <v>303</v>
      </c>
      <c r="E691" s="9">
        <v>130</v>
      </c>
      <c r="F691" s="10">
        <v>6496</v>
      </c>
      <c r="G691" s="10">
        <f t="shared" si="55"/>
        <v>844480</v>
      </c>
      <c r="H691" s="18"/>
      <c r="I691" s="19">
        <v>6496</v>
      </c>
      <c r="J691" s="19">
        <f t="shared" si="56"/>
        <v>0</v>
      </c>
      <c r="K691" s="92">
        <v>30</v>
      </c>
      <c r="L691" s="93">
        <v>6496</v>
      </c>
      <c r="M691" s="93">
        <f t="shared" si="57"/>
        <v>194880</v>
      </c>
      <c r="N691" s="23">
        <v>30</v>
      </c>
      <c r="O691" s="24">
        <v>6496</v>
      </c>
      <c r="P691" s="24">
        <f t="shared" si="58"/>
        <v>194880</v>
      </c>
    </row>
    <row r="692" spans="1:16" ht="18" thickBot="1" x14ac:dyDescent="0.25">
      <c r="A692" s="8" t="s">
        <v>280</v>
      </c>
      <c r="B692" s="75" t="s">
        <v>909</v>
      </c>
      <c r="C692" s="9" t="s">
        <v>36</v>
      </c>
      <c r="D692" s="9" t="s">
        <v>304</v>
      </c>
      <c r="E692" s="9">
        <v>110</v>
      </c>
      <c r="F692" s="10">
        <v>20764</v>
      </c>
      <c r="G692" s="10">
        <f t="shared" si="55"/>
        <v>2284040</v>
      </c>
      <c r="H692" s="18">
        <v>20</v>
      </c>
      <c r="I692" s="19">
        <v>20764</v>
      </c>
      <c r="J692" s="19">
        <f t="shared" si="56"/>
        <v>415280</v>
      </c>
      <c r="K692" s="92"/>
      <c r="L692" s="93">
        <v>20764</v>
      </c>
      <c r="M692" s="93">
        <f t="shared" si="57"/>
        <v>0</v>
      </c>
      <c r="N692" s="23"/>
      <c r="O692" s="24">
        <v>20764</v>
      </c>
      <c r="P692" s="24">
        <f t="shared" si="58"/>
        <v>0</v>
      </c>
    </row>
    <row r="693" spans="1:16" ht="18" thickBot="1" x14ac:dyDescent="0.25">
      <c r="A693" s="8" t="s">
        <v>280</v>
      </c>
      <c r="B693" s="75" t="s">
        <v>910</v>
      </c>
      <c r="C693" s="9" t="s">
        <v>36</v>
      </c>
      <c r="D693" s="9" t="s">
        <v>116</v>
      </c>
      <c r="E693" s="9">
        <v>70</v>
      </c>
      <c r="F693" s="10">
        <v>20764</v>
      </c>
      <c r="G693" s="10">
        <f t="shared" si="55"/>
        <v>1453480</v>
      </c>
      <c r="H693" s="18"/>
      <c r="I693" s="19">
        <v>20764</v>
      </c>
      <c r="J693" s="19">
        <f t="shared" si="56"/>
        <v>0</v>
      </c>
      <c r="K693" s="92"/>
      <c r="L693" s="93">
        <v>20764</v>
      </c>
      <c r="M693" s="93">
        <f t="shared" si="57"/>
        <v>0</v>
      </c>
      <c r="N693" s="23"/>
      <c r="O693" s="24">
        <v>20764</v>
      </c>
      <c r="P693" s="24">
        <f t="shared" si="58"/>
        <v>0</v>
      </c>
    </row>
    <row r="694" spans="1:16" ht="18" thickBot="1" x14ac:dyDescent="0.25">
      <c r="A694" s="8" t="s">
        <v>243</v>
      </c>
      <c r="B694" s="75" t="s">
        <v>884</v>
      </c>
      <c r="C694" s="9" t="s">
        <v>36</v>
      </c>
      <c r="D694" s="9" t="s">
        <v>125</v>
      </c>
      <c r="E694" s="9">
        <v>80</v>
      </c>
      <c r="F694" s="10">
        <v>9164</v>
      </c>
      <c r="G694" s="10">
        <f t="shared" si="55"/>
        <v>733120</v>
      </c>
      <c r="H694" s="18">
        <v>20</v>
      </c>
      <c r="I694" s="19">
        <v>9164</v>
      </c>
      <c r="J694" s="19">
        <f t="shared" si="56"/>
        <v>183280</v>
      </c>
      <c r="K694" s="92"/>
      <c r="L694" s="93">
        <v>9164</v>
      </c>
      <c r="M694" s="93">
        <f t="shared" si="57"/>
        <v>0</v>
      </c>
      <c r="N694" s="23">
        <v>30</v>
      </c>
      <c r="O694" s="24">
        <v>9164</v>
      </c>
      <c r="P694" s="24">
        <f t="shared" si="58"/>
        <v>274920</v>
      </c>
    </row>
    <row r="695" spans="1:16" ht="18" thickBot="1" x14ac:dyDescent="0.25">
      <c r="A695" s="8" t="s">
        <v>289</v>
      </c>
      <c r="B695" s="75" t="s">
        <v>840</v>
      </c>
      <c r="C695" s="9" t="s">
        <v>4</v>
      </c>
      <c r="D695" s="9" t="s">
        <v>305</v>
      </c>
      <c r="E695" s="9">
        <v>40</v>
      </c>
      <c r="F695" s="10">
        <v>11252</v>
      </c>
      <c r="G695" s="10">
        <f t="shared" si="55"/>
        <v>450080</v>
      </c>
      <c r="H695" s="18"/>
      <c r="I695" s="19">
        <v>11252</v>
      </c>
      <c r="J695" s="19">
        <f t="shared" si="56"/>
        <v>0</v>
      </c>
      <c r="K695" s="92">
        <v>12</v>
      </c>
      <c r="L695" s="93">
        <v>11252</v>
      </c>
      <c r="M695" s="93">
        <f t="shared" si="57"/>
        <v>135024</v>
      </c>
      <c r="N695" s="23"/>
      <c r="O695" s="24">
        <v>11252</v>
      </c>
      <c r="P695" s="24">
        <f t="shared" si="58"/>
        <v>0</v>
      </c>
    </row>
    <row r="696" spans="1:16" ht="18" thickBot="1" x14ac:dyDescent="0.25">
      <c r="A696" s="8" t="s">
        <v>285</v>
      </c>
      <c r="B696" s="75" t="s">
        <v>885</v>
      </c>
      <c r="C696" s="9" t="s">
        <v>36</v>
      </c>
      <c r="D696" s="9" t="s">
        <v>53</v>
      </c>
      <c r="E696" s="9">
        <v>130</v>
      </c>
      <c r="F696" s="10">
        <v>11368</v>
      </c>
      <c r="G696" s="10">
        <f t="shared" si="55"/>
        <v>1477840</v>
      </c>
      <c r="H696" s="18">
        <v>30</v>
      </c>
      <c r="I696" s="19">
        <v>11368</v>
      </c>
      <c r="J696" s="19">
        <f t="shared" si="56"/>
        <v>341040</v>
      </c>
      <c r="K696" s="92"/>
      <c r="L696" s="93">
        <v>11368</v>
      </c>
      <c r="M696" s="93">
        <f t="shared" si="57"/>
        <v>0</v>
      </c>
      <c r="N696" s="23"/>
      <c r="O696" s="24">
        <v>11368</v>
      </c>
      <c r="P696" s="24">
        <f t="shared" si="58"/>
        <v>0</v>
      </c>
    </row>
    <row r="697" spans="1:16" ht="18" thickBot="1" x14ac:dyDescent="0.25">
      <c r="A697" s="8" t="s">
        <v>280</v>
      </c>
      <c r="B697" s="75" t="s">
        <v>880</v>
      </c>
      <c r="C697" s="9" t="s">
        <v>36</v>
      </c>
      <c r="D697" s="9" t="s">
        <v>198</v>
      </c>
      <c r="E697" s="9">
        <v>90</v>
      </c>
      <c r="F697" s="10">
        <v>20764</v>
      </c>
      <c r="G697" s="10">
        <f t="shared" si="55"/>
        <v>1868760</v>
      </c>
      <c r="H697" s="18"/>
      <c r="I697" s="19">
        <v>20764</v>
      </c>
      <c r="J697" s="19">
        <f t="shared" si="56"/>
        <v>0</v>
      </c>
      <c r="K697" s="92"/>
      <c r="L697" s="93">
        <v>20764</v>
      </c>
      <c r="M697" s="93">
        <f t="shared" si="57"/>
        <v>0</v>
      </c>
      <c r="N697" s="23"/>
      <c r="O697" s="24">
        <v>20764</v>
      </c>
      <c r="P697" s="24">
        <f t="shared" si="58"/>
        <v>0</v>
      </c>
    </row>
    <row r="698" spans="1:16" ht="18" thickBot="1" x14ac:dyDescent="0.25">
      <c r="A698" s="8" t="s">
        <v>239</v>
      </c>
      <c r="B698" s="75" t="s">
        <v>857</v>
      </c>
      <c r="C698" s="9" t="s">
        <v>9</v>
      </c>
      <c r="D698" s="9" t="s">
        <v>163</v>
      </c>
      <c r="E698" s="9">
        <v>200</v>
      </c>
      <c r="F698" s="10">
        <v>7656</v>
      </c>
      <c r="G698" s="10">
        <f t="shared" si="55"/>
        <v>1531200</v>
      </c>
      <c r="H698" s="18">
        <v>50</v>
      </c>
      <c r="I698" s="19">
        <v>7656</v>
      </c>
      <c r="J698" s="19">
        <f t="shared" si="56"/>
        <v>382800</v>
      </c>
      <c r="K698" s="92"/>
      <c r="L698" s="93">
        <v>7656</v>
      </c>
      <c r="M698" s="93">
        <f t="shared" si="57"/>
        <v>0</v>
      </c>
      <c r="N698" s="23">
        <v>60</v>
      </c>
      <c r="O698" s="24">
        <v>7656</v>
      </c>
      <c r="P698" s="24">
        <f t="shared" si="58"/>
        <v>459360</v>
      </c>
    </row>
    <row r="699" spans="1:16" ht="18" thickBot="1" x14ac:dyDescent="0.25">
      <c r="A699" s="8" t="s">
        <v>193</v>
      </c>
      <c r="B699" s="75" t="s">
        <v>911</v>
      </c>
      <c r="C699" s="9" t="s">
        <v>36</v>
      </c>
      <c r="D699" s="9" t="s">
        <v>306</v>
      </c>
      <c r="E699" s="9">
        <v>135</v>
      </c>
      <c r="F699" s="10">
        <v>96280</v>
      </c>
      <c r="G699" s="10">
        <f t="shared" si="55"/>
        <v>12997800</v>
      </c>
      <c r="H699" s="18">
        <v>108</v>
      </c>
      <c r="I699" s="19">
        <v>96280</v>
      </c>
      <c r="J699" s="19">
        <f t="shared" si="56"/>
        <v>10398240</v>
      </c>
      <c r="K699" s="92"/>
      <c r="L699" s="93">
        <v>96280</v>
      </c>
      <c r="M699" s="93">
        <f t="shared" si="57"/>
        <v>0</v>
      </c>
      <c r="N699" s="23"/>
      <c r="O699" s="24">
        <v>96280</v>
      </c>
      <c r="P699" s="24">
        <f t="shared" si="58"/>
        <v>0</v>
      </c>
    </row>
    <row r="700" spans="1:16" ht="18" thickBot="1" x14ac:dyDescent="0.25">
      <c r="A700" s="8" t="s">
        <v>290</v>
      </c>
      <c r="B700" s="75" t="s">
        <v>833</v>
      </c>
      <c r="C700" s="9" t="s">
        <v>36</v>
      </c>
      <c r="D700" s="9" t="s">
        <v>307</v>
      </c>
      <c r="E700" s="9">
        <v>200</v>
      </c>
      <c r="F700" s="10">
        <v>2900</v>
      </c>
      <c r="G700" s="10">
        <f t="shared" si="55"/>
        <v>580000</v>
      </c>
      <c r="H700" s="18"/>
      <c r="I700" s="19">
        <v>2900</v>
      </c>
      <c r="J700" s="19">
        <f t="shared" si="56"/>
        <v>0</v>
      </c>
      <c r="K700" s="92"/>
      <c r="L700" s="93">
        <v>2900</v>
      </c>
      <c r="M700" s="93">
        <f t="shared" si="57"/>
        <v>0</v>
      </c>
      <c r="N700" s="23">
        <v>60</v>
      </c>
      <c r="O700" s="24">
        <v>2900</v>
      </c>
      <c r="P700" s="24">
        <f t="shared" si="58"/>
        <v>174000</v>
      </c>
    </row>
    <row r="701" spans="1:16" ht="18" thickBot="1" x14ac:dyDescent="0.25">
      <c r="A701" s="8" t="s">
        <v>291</v>
      </c>
      <c r="B701" s="75" t="s">
        <v>848</v>
      </c>
      <c r="C701" s="9" t="s">
        <v>36</v>
      </c>
      <c r="D701" s="9" t="s">
        <v>308</v>
      </c>
      <c r="E701" s="9">
        <v>60</v>
      </c>
      <c r="F701" s="10">
        <v>10057.200000000001</v>
      </c>
      <c r="G701" s="10">
        <f t="shared" si="55"/>
        <v>603432</v>
      </c>
      <c r="H701" s="18">
        <v>24</v>
      </c>
      <c r="I701" s="19">
        <v>10057.200000000001</v>
      </c>
      <c r="J701" s="19">
        <f t="shared" si="56"/>
        <v>241372.80000000002</v>
      </c>
      <c r="K701" s="92">
        <v>24</v>
      </c>
      <c r="L701" s="93">
        <v>10057.200000000001</v>
      </c>
      <c r="M701" s="93">
        <f t="shared" si="57"/>
        <v>241372.80000000002</v>
      </c>
      <c r="N701" s="23"/>
      <c r="O701" s="24">
        <v>10057.200000000001</v>
      </c>
      <c r="P701" s="24">
        <f t="shared" si="58"/>
        <v>0</v>
      </c>
    </row>
    <row r="702" spans="1:16" ht="18" thickBot="1" x14ac:dyDescent="0.25">
      <c r="A702" s="8" t="s">
        <v>46</v>
      </c>
      <c r="B702" s="75" t="s">
        <v>903</v>
      </c>
      <c r="C702" s="9" t="s">
        <v>36</v>
      </c>
      <c r="D702" s="9" t="s">
        <v>54</v>
      </c>
      <c r="E702" s="9">
        <v>140</v>
      </c>
      <c r="F702" s="10">
        <v>8932</v>
      </c>
      <c r="G702" s="10">
        <f t="shared" si="55"/>
        <v>1250480</v>
      </c>
      <c r="H702" s="18"/>
      <c r="I702" s="19">
        <v>8932</v>
      </c>
      <c r="J702" s="19">
        <f t="shared" si="56"/>
        <v>0</v>
      </c>
      <c r="K702" s="92"/>
      <c r="L702" s="93">
        <v>8932</v>
      </c>
      <c r="M702" s="93">
        <f t="shared" si="57"/>
        <v>0</v>
      </c>
      <c r="N702" s="23">
        <v>30</v>
      </c>
      <c r="O702" s="24">
        <v>8932</v>
      </c>
      <c r="P702" s="24">
        <f t="shared" si="58"/>
        <v>267960</v>
      </c>
    </row>
    <row r="703" spans="1:16" ht="18" thickBot="1" x14ac:dyDescent="0.25">
      <c r="A703" s="8" t="s">
        <v>285</v>
      </c>
      <c r="B703" s="75" t="s">
        <v>834</v>
      </c>
      <c r="C703" s="9" t="s">
        <v>36</v>
      </c>
      <c r="D703" s="9" t="s">
        <v>309</v>
      </c>
      <c r="E703" s="9">
        <v>100</v>
      </c>
      <c r="F703" s="10">
        <v>3700.4</v>
      </c>
      <c r="G703" s="10">
        <f t="shared" si="55"/>
        <v>370040</v>
      </c>
      <c r="H703" s="18">
        <v>24</v>
      </c>
      <c r="I703" s="19">
        <v>3700.4</v>
      </c>
      <c r="J703" s="19">
        <f t="shared" si="56"/>
        <v>88809.600000000006</v>
      </c>
      <c r="K703" s="92">
        <v>22</v>
      </c>
      <c r="L703" s="93">
        <v>3700.4</v>
      </c>
      <c r="M703" s="93">
        <f t="shared" si="57"/>
        <v>81408.800000000003</v>
      </c>
      <c r="N703" s="23">
        <v>12</v>
      </c>
      <c r="O703" s="24">
        <v>3700.4</v>
      </c>
      <c r="P703" s="24">
        <f t="shared" si="58"/>
        <v>44404.800000000003</v>
      </c>
    </row>
    <row r="704" spans="1:16" ht="18" thickBot="1" x14ac:dyDescent="0.25">
      <c r="A704" s="8" t="s">
        <v>280</v>
      </c>
      <c r="B704" s="75" t="s">
        <v>912</v>
      </c>
      <c r="C704" s="9" t="s">
        <v>36</v>
      </c>
      <c r="D704" s="9" t="s">
        <v>310</v>
      </c>
      <c r="E704" s="9">
        <v>140</v>
      </c>
      <c r="F704" s="10">
        <v>12992</v>
      </c>
      <c r="G704" s="10">
        <f t="shared" si="55"/>
        <v>1818880</v>
      </c>
      <c r="H704" s="18"/>
      <c r="I704" s="19">
        <v>12992</v>
      </c>
      <c r="J704" s="19">
        <f t="shared" si="56"/>
        <v>0</v>
      </c>
      <c r="K704" s="92"/>
      <c r="L704" s="93">
        <v>12992</v>
      </c>
      <c r="M704" s="93">
        <f t="shared" si="57"/>
        <v>0</v>
      </c>
      <c r="N704" s="23"/>
      <c r="O704" s="24">
        <v>12992</v>
      </c>
      <c r="P704" s="24">
        <f t="shared" si="58"/>
        <v>0</v>
      </c>
    </row>
    <row r="705" spans="1:16" ht="18" thickBot="1" x14ac:dyDescent="0.25">
      <c r="A705" s="8" t="s">
        <v>283</v>
      </c>
      <c r="B705" s="75" t="s">
        <v>842</v>
      </c>
      <c r="C705" s="9" t="s">
        <v>36</v>
      </c>
      <c r="D705" s="9" t="s">
        <v>311</v>
      </c>
      <c r="E705" s="9">
        <v>170</v>
      </c>
      <c r="F705" s="10">
        <v>12876</v>
      </c>
      <c r="G705" s="10">
        <f t="shared" si="55"/>
        <v>2188920</v>
      </c>
      <c r="H705" s="18"/>
      <c r="I705" s="19">
        <v>12876</v>
      </c>
      <c r="J705" s="19">
        <f t="shared" si="56"/>
        <v>0</v>
      </c>
      <c r="K705" s="92"/>
      <c r="L705" s="93">
        <v>12876</v>
      </c>
      <c r="M705" s="93">
        <f t="shared" si="57"/>
        <v>0</v>
      </c>
      <c r="N705" s="23"/>
      <c r="O705" s="24">
        <v>12876</v>
      </c>
      <c r="P705" s="24">
        <f t="shared" si="58"/>
        <v>0</v>
      </c>
    </row>
    <row r="706" spans="1:16" ht="18" thickBot="1" x14ac:dyDescent="0.25">
      <c r="A706" s="8" t="s">
        <v>45</v>
      </c>
      <c r="B706" s="75" t="s">
        <v>876</v>
      </c>
      <c r="C706" s="9" t="s">
        <v>36</v>
      </c>
      <c r="D706" s="9" t="s">
        <v>39</v>
      </c>
      <c r="E706" s="9">
        <v>60</v>
      </c>
      <c r="F706" s="10">
        <v>13572</v>
      </c>
      <c r="G706" s="10">
        <f t="shared" si="55"/>
        <v>814320</v>
      </c>
      <c r="H706" s="18">
        <v>20</v>
      </c>
      <c r="I706" s="19">
        <v>13572</v>
      </c>
      <c r="J706" s="19">
        <f t="shared" si="56"/>
        <v>271440</v>
      </c>
      <c r="K706" s="92"/>
      <c r="L706" s="93">
        <v>13572</v>
      </c>
      <c r="M706" s="93">
        <f t="shared" si="57"/>
        <v>0</v>
      </c>
      <c r="N706" s="23"/>
      <c r="O706" s="24">
        <v>13572</v>
      </c>
      <c r="P706" s="24">
        <f t="shared" si="58"/>
        <v>0</v>
      </c>
    </row>
    <row r="707" spans="1:16" ht="18" thickBot="1" x14ac:dyDescent="0.25">
      <c r="A707" s="8" t="s">
        <v>292</v>
      </c>
      <c r="B707" s="75" t="s">
        <v>1361</v>
      </c>
      <c r="C707" s="9" t="s">
        <v>4</v>
      </c>
      <c r="D707" s="9" t="s">
        <v>312</v>
      </c>
      <c r="E707" s="9">
        <v>110</v>
      </c>
      <c r="F707" s="10">
        <v>19720</v>
      </c>
      <c r="G707" s="10">
        <f t="shared" si="55"/>
        <v>2169200</v>
      </c>
      <c r="H707" s="18">
        <v>24</v>
      </c>
      <c r="I707" s="19">
        <v>19720</v>
      </c>
      <c r="J707" s="19">
        <f t="shared" si="56"/>
        <v>473280</v>
      </c>
      <c r="K707" s="92"/>
      <c r="L707" s="93">
        <v>19720</v>
      </c>
      <c r="M707" s="93">
        <f t="shared" si="57"/>
        <v>0</v>
      </c>
      <c r="N707" s="23">
        <v>48</v>
      </c>
      <c r="O707" s="24">
        <v>19720</v>
      </c>
      <c r="P707" s="24">
        <f t="shared" si="58"/>
        <v>946560</v>
      </c>
    </row>
    <row r="708" spans="1:16" ht="18" thickBot="1" x14ac:dyDescent="0.25">
      <c r="A708" s="8" t="s">
        <v>243</v>
      </c>
      <c r="B708" s="75" t="s">
        <v>843</v>
      </c>
      <c r="C708" s="9" t="s">
        <v>36</v>
      </c>
      <c r="D708" s="9" t="s">
        <v>246</v>
      </c>
      <c r="E708" s="9">
        <v>70</v>
      </c>
      <c r="F708" s="10">
        <v>9860</v>
      </c>
      <c r="G708" s="10">
        <f t="shared" si="55"/>
        <v>690200</v>
      </c>
      <c r="H708" s="18"/>
      <c r="I708" s="19">
        <v>9860</v>
      </c>
      <c r="J708" s="19">
        <f t="shared" si="56"/>
        <v>0</v>
      </c>
      <c r="K708" s="92"/>
      <c r="L708" s="93">
        <v>9860</v>
      </c>
      <c r="M708" s="93">
        <f t="shared" si="57"/>
        <v>0</v>
      </c>
      <c r="N708" s="23"/>
      <c r="O708" s="24">
        <v>9860</v>
      </c>
      <c r="P708" s="24">
        <f t="shared" si="58"/>
        <v>0</v>
      </c>
    </row>
    <row r="709" spans="1:16" ht="18" thickBot="1" x14ac:dyDescent="0.25">
      <c r="A709" s="8" t="s">
        <v>280</v>
      </c>
      <c r="B709" s="75" t="s">
        <v>913</v>
      </c>
      <c r="C709" s="9" t="s">
        <v>36</v>
      </c>
      <c r="D709" s="9" t="s">
        <v>167</v>
      </c>
      <c r="E709" s="9">
        <v>100</v>
      </c>
      <c r="F709" s="10">
        <v>20764</v>
      </c>
      <c r="G709" s="10">
        <f t="shared" si="55"/>
        <v>2076400</v>
      </c>
      <c r="H709" s="18">
        <v>28</v>
      </c>
      <c r="I709" s="19">
        <v>20764</v>
      </c>
      <c r="J709" s="19">
        <f t="shared" si="56"/>
        <v>581392</v>
      </c>
      <c r="K709" s="92"/>
      <c r="L709" s="93">
        <v>20764</v>
      </c>
      <c r="M709" s="93">
        <f t="shared" si="57"/>
        <v>0</v>
      </c>
      <c r="N709" s="23">
        <v>48</v>
      </c>
      <c r="O709" s="24">
        <v>20764</v>
      </c>
      <c r="P709" s="24">
        <f t="shared" si="58"/>
        <v>996672</v>
      </c>
    </row>
    <row r="710" spans="1:16" ht="17" thickBot="1" x14ac:dyDescent="0.25">
      <c r="G710" s="12">
        <f>SUM(G672:G709)</f>
        <v>67556544</v>
      </c>
      <c r="H710" s="2"/>
      <c r="J710" s="34">
        <f>SUM(J672:J709)</f>
        <v>19712135.200000003</v>
      </c>
      <c r="K710" s="2"/>
      <c r="L710" s="3"/>
      <c r="M710" s="94">
        <f>SUM(M672:M709)</f>
        <v>2620300.7999999998</v>
      </c>
      <c r="N710" s="2"/>
      <c r="O710" s="3"/>
      <c r="P710" s="26">
        <f>SUM(P672:P709)</f>
        <v>4537137</v>
      </c>
    </row>
    <row r="711" spans="1:16" ht="17" thickBot="1" x14ac:dyDescent="0.25">
      <c r="A711" s="30" t="s">
        <v>1737</v>
      </c>
      <c r="B711" s="77" t="s">
        <v>281</v>
      </c>
      <c r="C711" s="2" t="s">
        <v>363</v>
      </c>
      <c r="F711" s="2"/>
    </row>
    <row r="712" spans="1:16" ht="17" thickBot="1" x14ac:dyDescent="0.25">
      <c r="A712" s="9" t="s">
        <v>58</v>
      </c>
      <c r="B712" s="75"/>
      <c r="C712" s="9" t="s">
        <v>36</v>
      </c>
      <c r="D712" s="9" t="s">
        <v>1733</v>
      </c>
      <c r="E712" s="9">
        <v>40</v>
      </c>
      <c r="F712" s="10">
        <v>24360</v>
      </c>
      <c r="G712" s="10">
        <f>F712*E712</f>
        <v>974400</v>
      </c>
      <c r="H712" s="23"/>
      <c r="I712" s="24">
        <v>24360</v>
      </c>
      <c r="J712" s="24">
        <f>I712*H712</f>
        <v>0</v>
      </c>
    </row>
    <row r="713" spans="1:16" ht="17" thickBot="1" x14ac:dyDescent="0.25">
      <c r="A713" s="9" t="s">
        <v>58</v>
      </c>
      <c r="B713" s="75"/>
      <c r="C713" s="9" t="s">
        <v>36</v>
      </c>
      <c r="D713" s="9" t="s">
        <v>1734</v>
      </c>
      <c r="E713" s="9">
        <v>50</v>
      </c>
      <c r="F713" s="9">
        <v>17516</v>
      </c>
      <c r="G713" s="10">
        <f>F713*E713</f>
        <v>875800</v>
      </c>
      <c r="H713" s="23"/>
      <c r="I713" s="23">
        <v>17516</v>
      </c>
      <c r="J713" s="24">
        <f>I713*H713</f>
        <v>0</v>
      </c>
    </row>
    <row r="714" spans="1:16" ht="17" thickBot="1" x14ac:dyDescent="0.25">
      <c r="A714" s="9" t="s">
        <v>58</v>
      </c>
      <c r="B714" s="75"/>
      <c r="C714" s="9" t="s">
        <v>36</v>
      </c>
      <c r="D714" s="9" t="s">
        <v>1735</v>
      </c>
      <c r="E714" s="9">
        <v>60</v>
      </c>
      <c r="F714" s="9">
        <v>13664.8</v>
      </c>
      <c r="G714" s="10">
        <f>F714*E714</f>
        <v>819888</v>
      </c>
      <c r="H714" s="23">
        <v>36</v>
      </c>
      <c r="I714" s="23">
        <v>13664.8</v>
      </c>
      <c r="J714" s="24">
        <f>I714*H714</f>
        <v>491932.8</v>
      </c>
    </row>
    <row r="715" spans="1:16" ht="17" thickBot="1" x14ac:dyDescent="0.25">
      <c r="A715" s="9" t="s">
        <v>58</v>
      </c>
      <c r="B715" s="75"/>
      <c r="C715" s="9" t="s">
        <v>36</v>
      </c>
      <c r="D715" s="9" t="s">
        <v>1736</v>
      </c>
      <c r="E715" s="9">
        <v>40</v>
      </c>
      <c r="F715" s="9">
        <v>11020</v>
      </c>
      <c r="G715" s="10">
        <f>F715*E715</f>
        <v>440800</v>
      </c>
      <c r="H715" s="23"/>
      <c r="I715" s="23">
        <v>11020</v>
      </c>
      <c r="J715" s="24">
        <f>I715*H715</f>
        <v>0</v>
      </c>
    </row>
    <row r="716" spans="1:16" ht="17" thickBot="1" x14ac:dyDescent="0.25">
      <c r="A716" s="2"/>
      <c r="F716" s="2"/>
      <c r="G716" s="103">
        <f>SUM(G712:G715)</f>
        <v>3110888</v>
      </c>
      <c r="H716" s="2"/>
      <c r="I716" s="2"/>
      <c r="J716" s="244">
        <f>SUM(J712:J715)</f>
        <v>491932.8</v>
      </c>
    </row>
    <row r="717" spans="1:16" ht="17" thickBot="1" x14ac:dyDescent="0.25">
      <c r="A717" s="30" t="s">
        <v>1744</v>
      </c>
      <c r="B717" s="77" t="s">
        <v>281</v>
      </c>
      <c r="C717" s="2" t="s">
        <v>363</v>
      </c>
      <c r="F717" s="2"/>
      <c r="K717" t="s">
        <v>2143</v>
      </c>
      <c r="M717" s="36">
        <v>46199</v>
      </c>
    </row>
    <row r="718" spans="1:16" ht="18" thickBot="1" x14ac:dyDescent="0.25">
      <c r="A718" s="9" t="s">
        <v>58</v>
      </c>
      <c r="B718" s="75" t="s">
        <v>945</v>
      </c>
      <c r="C718" s="9" t="s">
        <v>36</v>
      </c>
      <c r="D718" s="9" t="s">
        <v>1738</v>
      </c>
      <c r="E718" s="9">
        <v>50</v>
      </c>
      <c r="F718" s="106">
        <v>3712</v>
      </c>
      <c r="G718" s="106">
        <f t="shared" ref="G718:G723" si="59">F718*E718</f>
        <v>185600</v>
      </c>
      <c r="H718" s="23">
        <v>12</v>
      </c>
      <c r="I718" s="241">
        <v>3712</v>
      </c>
      <c r="J718" s="241">
        <f t="shared" ref="J718:J723" si="60">I718*H718</f>
        <v>44544</v>
      </c>
      <c r="K718" s="251">
        <v>30</v>
      </c>
      <c r="L718" s="307">
        <v>3712</v>
      </c>
      <c r="M718" s="307">
        <f t="shared" ref="M718:M723" si="61">L718*K718</f>
        <v>111360</v>
      </c>
    </row>
    <row r="719" spans="1:16" ht="18" thickBot="1" x14ac:dyDescent="0.25">
      <c r="A719" s="9" t="s">
        <v>58</v>
      </c>
      <c r="B719" s="75" t="s">
        <v>830</v>
      </c>
      <c r="C719" s="9" t="s">
        <v>36</v>
      </c>
      <c r="D719" s="9" t="s">
        <v>1739</v>
      </c>
      <c r="E719" s="9">
        <v>90</v>
      </c>
      <c r="F719" s="106">
        <v>11368</v>
      </c>
      <c r="G719" s="106">
        <f t="shared" si="59"/>
        <v>1023120</v>
      </c>
      <c r="H719" s="23"/>
      <c r="I719" s="241">
        <v>11368</v>
      </c>
      <c r="J719" s="241">
        <f t="shared" si="60"/>
        <v>0</v>
      </c>
      <c r="K719" s="251"/>
      <c r="L719" s="307">
        <v>11368</v>
      </c>
      <c r="M719" s="307">
        <f t="shared" si="61"/>
        <v>0</v>
      </c>
    </row>
    <row r="720" spans="1:16" ht="18" thickBot="1" x14ac:dyDescent="0.25">
      <c r="A720" s="9" t="s">
        <v>58</v>
      </c>
      <c r="B720" s="75" t="s">
        <v>1524</v>
      </c>
      <c r="C720" s="9" t="s">
        <v>36</v>
      </c>
      <c r="D720" s="9" t="s">
        <v>1740</v>
      </c>
      <c r="E720" s="9">
        <v>120</v>
      </c>
      <c r="F720" s="106">
        <v>12644</v>
      </c>
      <c r="G720" s="106">
        <f t="shared" si="59"/>
        <v>1517280</v>
      </c>
      <c r="H720" s="23"/>
      <c r="I720" s="241">
        <v>12644</v>
      </c>
      <c r="J720" s="241">
        <f t="shared" si="60"/>
        <v>0</v>
      </c>
      <c r="K720" s="251"/>
      <c r="L720" s="307">
        <v>12644</v>
      </c>
      <c r="M720" s="307">
        <f t="shared" si="61"/>
        <v>0</v>
      </c>
    </row>
    <row r="721" spans="1:13" ht="18" thickBot="1" x14ac:dyDescent="0.25">
      <c r="A721" s="9" t="s">
        <v>58</v>
      </c>
      <c r="B721" s="75" t="s">
        <v>857</v>
      </c>
      <c r="C721" s="9" t="s">
        <v>36</v>
      </c>
      <c r="D721" s="9" t="s">
        <v>1741</v>
      </c>
      <c r="E721" s="9">
        <v>100</v>
      </c>
      <c r="F721" s="106">
        <v>9976</v>
      </c>
      <c r="G721" s="106">
        <f t="shared" si="59"/>
        <v>997600</v>
      </c>
      <c r="H721" s="23">
        <v>24</v>
      </c>
      <c r="I721" s="241">
        <v>9976</v>
      </c>
      <c r="J721" s="241">
        <f t="shared" si="60"/>
        <v>239424</v>
      </c>
      <c r="K721" s="251"/>
      <c r="L721" s="307">
        <v>9976</v>
      </c>
      <c r="M721" s="307">
        <f t="shared" si="61"/>
        <v>0</v>
      </c>
    </row>
    <row r="722" spans="1:13" ht="18" thickBot="1" x14ac:dyDescent="0.25">
      <c r="A722" s="9" t="s">
        <v>58</v>
      </c>
      <c r="B722" s="75" t="s">
        <v>845</v>
      </c>
      <c r="C722" s="9" t="s">
        <v>36</v>
      </c>
      <c r="D722" s="9" t="s">
        <v>1742</v>
      </c>
      <c r="E722" s="9">
        <v>110</v>
      </c>
      <c r="F722" s="106">
        <v>11368</v>
      </c>
      <c r="G722" s="106">
        <f t="shared" si="59"/>
        <v>1250480</v>
      </c>
      <c r="H722" s="23">
        <v>60</v>
      </c>
      <c r="I722" s="241">
        <v>11368</v>
      </c>
      <c r="J722" s="241">
        <f t="shared" si="60"/>
        <v>682080</v>
      </c>
      <c r="K722" s="251"/>
      <c r="L722" s="307">
        <v>11368</v>
      </c>
      <c r="M722" s="307">
        <f t="shared" si="61"/>
        <v>0</v>
      </c>
    </row>
    <row r="723" spans="1:13" ht="18" thickBot="1" x14ac:dyDescent="0.25">
      <c r="A723" s="9" t="s">
        <v>58</v>
      </c>
      <c r="B723" s="75" t="s">
        <v>834</v>
      </c>
      <c r="C723" s="9" t="s">
        <v>36</v>
      </c>
      <c r="D723" s="9" t="s">
        <v>1743</v>
      </c>
      <c r="E723" s="9">
        <v>40</v>
      </c>
      <c r="F723" s="106">
        <v>25520</v>
      </c>
      <c r="G723" s="106">
        <f t="shared" si="59"/>
        <v>1020800</v>
      </c>
      <c r="H723" s="23"/>
      <c r="I723" s="241">
        <v>25520</v>
      </c>
      <c r="J723" s="241">
        <f t="shared" si="60"/>
        <v>0</v>
      </c>
      <c r="K723" s="251"/>
      <c r="L723" s="307">
        <v>25520</v>
      </c>
      <c r="M723" s="307">
        <f t="shared" si="61"/>
        <v>0</v>
      </c>
    </row>
    <row r="724" spans="1:13" ht="17" thickBot="1" x14ac:dyDescent="0.25">
      <c r="A724" s="2"/>
      <c r="F724" s="105"/>
      <c r="G724" s="166">
        <f>SUM(G718:G723)</f>
        <v>5994880</v>
      </c>
      <c r="H724" s="2"/>
      <c r="I724" s="105"/>
      <c r="J724" s="242">
        <f>SUM(J718:J723)</f>
        <v>966048</v>
      </c>
      <c r="K724" s="2"/>
      <c r="L724" s="105"/>
      <c r="M724" s="306">
        <f>SUM(M718:M723)</f>
        <v>111360</v>
      </c>
    </row>
    <row r="725" spans="1:13" ht="17" thickBot="1" x14ac:dyDescent="0.25">
      <c r="A725" s="30" t="s">
        <v>1745</v>
      </c>
      <c r="B725" s="77" t="s">
        <v>281</v>
      </c>
      <c r="C725" s="2" t="s">
        <v>363</v>
      </c>
      <c r="F725" s="2"/>
    </row>
    <row r="726" spans="1:13" ht="17" thickBot="1" x14ac:dyDescent="0.25">
      <c r="A726" s="9" t="s">
        <v>280</v>
      </c>
      <c r="B726" s="76"/>
      <c r="C726" s="9" t="s">
        <v>36</v>
      </c>
      <c r="D726" s="9" t="s">
        <v>120</v>
      </c>
      <c r="E726" s="9">
        <v>140</v>
      </c>
      <c r="F726" s="10">
        <v>15312</v>
      </c>
      <c r="G726" s="12">
        <f>F726*E726</f>
        <v>2143680</v>
      </c>
    </row>
    <row r="729" spans="1:13" ht="18" thickBot="1" x14ac:dyDescent="0.25">
      <c r="A729" s="7" t="s">
        <v>1778</v>
      </c>
      <c r="B729" s="80"/>
      <c r="C729" s="2" t="s">
        <v>418</v>
      </c>
      <c r="D729" s="2" t="s">
        <v>419</v>
      </c>
    </row>
    <row r="730" spans="1:13" ht="18" thickBot="1" x14ac:dyDescent="0.25">
      <c r="A730" s="8" t="s">
        <v>115</v>
      </c>
      <c r="B730" s="75"/>
      <c r="C730" s="9" t="s">
        <v>36</v>
      </c>
      <c r="D730" s="9" t="s">
        <v>420</v>
      </c>
      <c r="E730" s="9">
        <v>10</v>
      </c>
      <c r="F730" s="10">
        <v>8352</v>
      </c>
      <c r="G730" s="37">
        <f>E730*F730</f>
        <v>83520</v>
      </c>
      <c r="H730" s="18">
        <v>2</v>
      </c>
      <c r="I730" s="19">
        <v>8352</v>
      </c>
      <c r="J730" s="110">
        <f>H730*I730</f>
        <v>16704</v>
      </c>
    </row>
    <row r="732" spans="1:13" ht="18" thickBot="1" x14ac:dyDescent="0.25">
      <c r="A732" s="7" t="s">
        <v>421</v>
      </c>
      <c r="B732" s="80"/>
      <c r="C732" s="2" t="s">
        <v>418</v>
      </c>
      <c r="D732" s="2" t="s">
        <v>419</v>
      </c>
    </row>
    <row r="733" spans="1:13" ht="18" thickBot="1" x14ac:dyDescent="0.25">
      <c r="A733" s="8" t="s">
        <v>115</v>
      </c>
      <c r="B733" s="75"/>
      <c r="C733" s="9" t="s">
        <v>36</v>
      </c>
      <c r="D733" s="9" t="s">
        <v>123</v>
      </c>
      <c r="E733" s="9">
        <v>30</v>
      </c>
      <c r="F733" s="10">
        <v>14268</v>
      </c>
      <c r="G733" s="10">
        <f>E733*F733</f>
        <v>428040</v>
      </c>
      <c r="H733" s="18">
        <v>7</v>
      </c>
      <c r="I733" s="19">
        <v>14268</v>
      </c>
      <c r="J733" s="19">
        <f>H733*I733</f>
        <v>99876</v>
      </c>
    </row>
    <row r="734" spans="1:13" ht="18" thickBot="1" x14ac:dyDescent="0.25">
      <c r="A734" s="8" t="s">
        <v>60</v>
      </c>
      <c r="B734" s="75"/>
      <c r="C734" s="9" t="s">
        <v>36</v>
      </c>
      <c r="D734" s="9" t="s">
        <v>122</v>
      </c>
      <c r="E734" s="9">
        <v>15</v>
      </c>
      <c r="F734" s="10">
        <v>5568</v>
      </c>
      <c r="G734" s="10">
        <f>E734*F734</f>
        <v>83520</v>
      </c>
      <c r="H734" s="18">
        <v>15</v>
      </c>
      <c r="I734" s="19">
        <v>5568</v>
      </c>
      <c r="J734" s="19">
        <f>H734*I734</f>
        <v>83520</v>
      </c>
    </row>
    <row r="735" spans="1:13" ht="18" thickBot="1" x14ac:dyDescent="0.25">
      <c r="A735" s="8" t="s">
        <v>61</v>
      </c>
      <c r="B735" s="75"/>
      <c r="C735" s="9" t="s">
        <v>36</v>
      </c>
      <c r="D735" s="9" t="s">
        <v>303</v>
      </c>
      <c r="E735" s="9">
        <v>30</v>
      </c>
      <c r="F735" s="10">
        <v>7540</v>
      </c>
      <c r="G735" s="10">
        <f>E735*F735</f>
        <v>226200</v>
      </c>
      <c r="H735" s="18"/>
      <c r="I735" s="19">
        <v>7540</v>
      </c>
      <c r="J735" s="19">
        <f>H735*I735</f>
        <v>0</v>
      </c>
    </row>
    <row r="736" spans="1:13" ht="18" thickBot="1" x14ac:dyDescent="0.25">
      <c r="A736" s="8" t="s">
        <v>47</v>
      </c>
      <c r="B736" s="75"/>
      <c r="C736" s="9" t="s">
        <v>36</v>
      </c>
      <c r="D736" s="9" t="s">
        <v>328</v>
      </c>
      <c r="E736" s="9">
        <v>10</v>
      </c>
      <c r="F736" s="10">
        <v>17400</v>
      </c>
      <c r="G736" s="10">
        <f>E736*F736</f>
        <v>174000</v>
      </c>
      <c r="H736" s="18">
        <v>3</v>
      </c>
      <c r="I736" s="19">
        <v>17400</v>
      </c>
      <c r="J736" s="19">
        <f>H736*I736</f>
        <v>52200</v>
      </c>
    </row>
    <row r="737" spans="1:10" ht="18" thickBot="1" x14ac:dyDescent="0.25">
      <c r="A737" s="8" t="s">
        <v>115</v>
      </c>
      <c r="B737" s="75"/>
      <c r="C737" s="9" t="s">
        <v>36</v>
      </c>
      <c r="D737" s="9" t="s">
        <v>123</v>
      </c>
      <c r="E737" s="9">
        <v>10</v>
      </c>
      <c r="F737" s="10">
        <v>14268</v>
      </c>
      <c r="G737" s="10">
        <f>E737*F737</f>
        <v>142680</v>
      </c>
      <c r="H737" s="18">
        <v>3</v>
      </c>
      <c r="I737" s="19">
        <v>14268</v>
      </c>
      <c r="J737" s="19">
        <f>H737*I737</f>
        <v>42804</v>
      </c>
    </row>
    <row r="738" spans="1:10" ht="17" thickBot="1" x14ac:dyDescent="0.25">
      <c r="G738" s="37">
        <f>SUM(G733:G737)</f>
        <v>1054440</v>
      </c>
      <c r="H738" s="2"/>
      <c r="J738" s="110">
        <f>SUM(J733:J737)</f>
        <v>278400</v>
      </c>
    </row>
    <row r="739" spans="1:10" ht="18" thickBot="1" x14ac:dyDescent="0.25">
      <c r="A739" s="7" t="s">
        <v>422</v>
      </c>
      <c r="B739" s="80"/>
    </row>
    <row r="740" spans="1:10" ht="18" thickBot="1" x14ac:dyDescent="0.25">
      <c r="A740" s="8" t="s">
        <v>158</v>
      </c>
      <c r="B740" s="75"/>
      <c r="C740" s="9" t="s">
        <v>36</v>
      </c>
      <c r="D740" s="9" t="s">
        <v>295</v>
      </c>
      <c r="E740" s="9">
        <v>5</v>
      </c>
      <c r="F740" s="10">
        <v>11600</v>
      </c>
      <c r="G740" s="10">
        <f>E740*F740</f>
        <v>58000</v>
      </c>
      <c r="H740" s="18">
        <v>1</v>
      </c>
      <c r="I740" s="19">
        <v>11600</v>
      </c>
      <c r="J740" s="19">
        <f>H740*I740</f>
        <v>11600</v>
      </c>
    </row>
    <row r="741" spans="1:10" ht="18" thickBot="1" x14ac:dyDescent="0.25">
      <c r="A741" s="8" t="s">
        <v>51</v>
      </c>
      <c r="B741" s="75"/>
      <c r="C741" s="9" t="s">
        <v>36</v>
      </c>
      <c r="D741" s="9" t="s">
        <v>423</v>
      </c>
      <c r="E741" s="9">
        <v>20</v>
      </c>
      <c r="F741" s="10">
        <v>5452</v>
      </c>
      <c r="G741" s="10">
        <f>E741*F741</f>
        <v>109040</v>
      </c>
      <c r="H741" s="18">
        <v>5</v>
      </c>
      <c r="I741" s="19">
        <v>5452</v>
      </c>
      <c r="J741" s="19">
        <f>H741*I741</f>
        <v>27260</v>
      </c>
    </row>
    <row r="742" spans="1:10" ht="17" thickBot="1" x14ac:dyDescent="0.25">
      <c r="G742" s="37">
        <f>SUM(G740:G741)</f>
        <v>167040</v>
      </c>
      <c r="H742" s="2"/>
      <c r="J742" s="110">
        <f>SUM(J740:J741)</f>
        <v>38860</v>
      </c>
    </row>
    <row r="743" spans="1:10" ht="17" thickBot="1" x14ac:dyDescent="0.25">
      <c r="A743" s="71" t="s">
        <v>777</v>
      </c>
      <c r="B743" s="88"/>
      <c r="C743" s="67" t="s">
        <v>418</v>
      </c>
      <c r="D743" s="67"/>
      <c r="E743" s="2" t="s">
        <v>419</v>
      </c>
    </row>
    <row r="744" spans="1:10" ht="17" thickBot="1" x14ac:dyDescent="0.25">
      <c r="A744" s="9" t="s">
        <v>145</v>
      </c>
      <c r="B744" s="76"/>
      <c r="C744" s="9" t="s">
        <v>36</v>
      </c>
      <c r="D744" s="9"/>
      <c r="E744" s="9">
        <v>2</v>
      </c>
      <c r="F744" s="10">
        <v>8352</v>
      </c>
      <c r="G744" s="10">
        <f>F744*E744</f>
        <v>16704</v>
      </c>
      <c r="H744" s="18"/>
      <c r="I744" s="19">
        <v>8352</v>
      </c>
      <c r="J744" s="19">
        <f>I744*H744</f>
        <v>0</v>
      </c>
    </row>
    <row r="745" spans="1:10" ht="17" thickBot="1" x14ac:dyDescent="0.25">
      <c r="A745" s="9" t="s">
        <v>35</v>
      </c>
      <c r="B745" s="76"/>
      <c r="C745" s="9" t="s">
        <v>36</v>
      </c>
      <c r="D745" s="9"/>
      <c r="E745" s="9">
        <v>5</v>
      </c>
      <c r="F745" s="10">
        <v>9512</v>
      </c>
      <c r="G745" s="10">
        <f t="shared" ref="G745:G782" si="62">F745*E745</f>
        <v>47560</v>
      </c>
      <c r="H745" s="18"/>
      <c r="I745" s="19">
        <v>9512</v>
      </c>
      <c r="J745" s="19">
        <f>I745*H745</f>
        <v>0</v>
      </c>
    </row>
    <row r="746" spans="1:10" ht="17" thickBot="1" x14ac:dyDescent="0.25">
      <c r="A746" s="9" t="s">
        <v>45</v>
      </c>
      <c r="B746" s="76"/>
      <c r="C746" s="9" t="s">
        <v>36</v>
      </c>
      <c r="D746" s="9"/>
      <c r="E746" s="9">
        <v>15</v>
      </c>
      <c r="F746" s="10">
        <v>17516</v>
      </c>
      <c r="G746" s="10">
        <f t="shared" si="62"/>
        <v>262740</v>
      </c>
      <c r="H746" s="18"/>
      <c r="I746" s="19">
        <v>17516</v>
      </c>
      <c r="J746" s="19">
        <f>I746*H746</f>
        <v>0</v>
      </c>
    </row>
    <row r="747" spans="1:10" ht="17" thickBot="1" x14ac:dyDescent="0.25">
      <c r="A747" s="9" t="s">
        <v>238</v>
      </c>
      <c r="B747" s="76"/>
      <c r="C747" s="9" t="s">
        <v>36</v>
      </c>
      <c r="D747" s="9"/>
      <c r="E747" s="9">
        <v>2</v>
      </c>
      <c r="F747" s="10">
        <v>11716</v>
      </c>
      <c r="G747" s="10">
        <f>F747*E747</f>
        <v>23432</v>
      </c>
      <c r="H747" s="18"/>
      <c r="I747" s="19">
        <v>11716</v>
      </c>
      <c r="J747" s="19">
        <f>I747*H747</f>
        <v>0</v>
      </c>
    </row>
    <row r="748" spans="1:10" ht="17" thickBot="1" x14ac:dyDescent="0.25">
      <c r="A748" s="9" t="s">
        <v>405</v>
      </c>
      <c r="B748" s="76"/>
      <c r="C748" s="9" t="s">
        <v>36</v>
      </c>
      <c r="D748" s="9"/>
      <c r="E748" s="9">
        <v>35</v>
      </c>
      <c r="F748" s="10">
        <v>3317.6</v>
      </c>
      <c r="G748" s="10">
        <f t="shared" si="62"/>
        <v>116116</v>
      </c>
      <c r="H748" s="18"/>
      <c r="I748" s="19">
        <v>3317.6</v>
      </c>
      <c r="J748" s="19">
        <f t="shared" ref="J748:J774" si="63">I748*H748</f>
        <v>0</v>
      </c>
    </row>
    <row r="749" spans="1:10" ht="17" thickBot="1" x14ac:dyDescent="0.25">
      <c r="A749" s="9" t="s">
        <v>45</v>
      </c>
      <c r="B749" s="76"/>
      <c r="C749" s="9" t="s">
        <v>36</v>
      </c>
      <c r="D749" s="9" t="s">
        <v>300</v>
      </c>
      <c r="E749" s="9">
        <v>30</v>
      </c>
      <c r="F749" s="10">
        <v>17516</v>
      </c>
      <c r="G749" s="10">
        <f t="shared" si="62"/>
        <v>525480</v>
      </c>
      <c r="H749" s="18">
        <v>2</v>
      </c>
      <c r="I749" s="19">
        <v>17516</v>
      </c>
      <c r="J749" s="19">
        <f t="shared" si="63"/>
        <v>35032</v>
      </c>
    </row>
    <row r="750" spans="1:10" ht="17" thickBot="1" x14ac:dyDescent="0.25">
      <c r="A750" s="9" t="s">
        <v>115</v>
      </c>
      <c r="B750" s="76"/>
      <c r="C750" s="9" t="s">
        <v>36</v>
      </c>
      <c r="D750" s="9"/>
      <c r="E750" s="9">
        <v>10</v>
      </c>
      <c r="F750" s="10">
        <v>3016</v>
      </c>
      <c r="G750" s="10">
        <f t="shared" si="62"/>
        <v>30160</v>
      </c>
      <c r="H750" s="18">
        <v>3</v>
      </c>
      <c r="I750" s="19">
        <v>3016</v>
      </c>
      <c r="J750" s="19">
        <f t="shared" si="63"/>
        <v>9048</v>
      </c>
    </row>
    <row r="751" spans="1:10" ht="17" thickBot="1" x14ac:dyDescent="0.25">
      <c r="A751" s="9" t="s">
        <v>74</v>
      </c>
      <c r="B751" s="76"/>
      <c r="C751" s="9" t="s">
        <v>36</v>
      </c>
      <c r="D751" s="9" t="s">
        <v>311</v>
      </c>
      <c r="E751" s="9">
        <v>7</v>
      </c>
      <c r="F751" s="10">
        <v>12064</v>
      </c>
      <c r="G751" s="10">
        <f t="shared" si="62"/>
        <v>84448</v>
      </c>
      <c r="H751" s="18">
        <v>2</v>
      </c>
      <c r="I751" s="19">
        <v>12064</v>
      </c>
      <c r="J751" s="19">
        <f t="shared" si="63"/>
        <v>24128</v>
      </c>
    </row>
    <row r="752" spans="1:10" ht="17" thickBot="1" x14ac:dyDescent="0.25">
      <c r="A752" s="9" t="s">
        <v>238</v>
      </c>
      <c r="B752" s="76"/>
      <c r="C752" s="9" t="s">
        <v>36</v>
      </c>
      <c r="D752" s="9"/>
      <c r="E752" s="9">
        <v>5</v>
      </c>
      <c r="F752" s="10">
        <v>17516</v>
      </c>
      <c r="G752" s="10">
        <f t="shared" si="62"/>
        <v>87580</v>
      </c>
      <c r="H752" s="18"/>
      <c r="I752" s="19">
        <v>17516</v>
      </c>
      <c r="J752" s="19">
        <f t="shared" si="63"/>
        <v>0</v>
      </c>
    </row>
    <row r="753" spans="1:10" ht="17" thickBot="1" x14ac:dyDescent="0.25">
      <c r="A753" s="9" t="s">
        <v>401</v>
      </c>
      <c r="B753" s="76"/>
      <c r="C753" s="9" t="s">
        <v>36</v>
      </c>
      <c r="D753" s="9"/>
      <c r="E753" s="9">
        <v>20</v>
      </c>
      <c r="F753" s="10">
        <v>11948</v>
      </c>
      <c r="G753" s="10">
        <f t="shared" si="62"/>
        <v>238960</v>
      </c>
      <c r="H753" s="18"/>
      <c r="I753" s="19">
        <v>11948</v>
      </c>
      <c r="J753" s="19">
        <f t="shared" si="63"/>
        <v>0</v>
      </c>
    </row>
    <row r="754" spans="1:10" ht="17" thickBot="1" x14ac:dyDescent="0.25">
      <c r="A754" s="9" t="s">
        <v>290</v>
      </c>
      <c r="B754" s="76"/>
      <c r="C754" s="9" t="s">
        <v>36</v>
      </c>
      <c r="D754" s="9"/>
      <c r="E754" s="9">
        <v>20</v>
      </c>
      <c r="F754" s="10">
        <v>4872</v>
      </c>
      <c r="G754" s="10">
        <f t="shared" si="62"/>
        <v>97440</v>
      </c>
      <c r="H754" s="18"/>
      <c r="I754" s="19">
        <v>4872</v>
      </c>
      <c r="J754" s="19">
        <f t="shared" si="63"/>
        <v>0</v>
      </c>
    </row>
    <row r="755" spans="1:10" ht="17" thickBot="1" x14ac:dyDescent="0.25">
      <c r="A755" s="9" t="s">
        <v>60</v>
      </c>
      <c r="B755" s="76"/>
      <c r="C755" s="9" t="s">
        <v>36</v>
      </c>
      <c r="D755" s="9"/>
      <c r="E755" s="9">
        <v>5</v>
      </c>
      <c r="F755" s="10">
        <v>18676</v>
      </c>
      <c r="G755" s="10">
        <f t="shared" si="62"/>
        <v>93380</v>
      </c>
      <c r="H755" s="18"/>
      <c r="I755" s="19">
        <v>18676</v>
      </c>
      <c r="J755" s="19">
        <f t="shared" si="63"/>
        <v>0</v>
      </c>
    </row>
    <row r="756" spans="1:10" ht="17" thickBot="1" x14ac:dyDescent="0.25">
      <c r="A756" s="9" t="s">
        <v>47</v>
      </c>
      <c r="B756" s="76"/>
      <c r="C756" s="9" t="s">
        <v>36</v>
      </c>
      <c r="D756" s="9"/>
      <c r="E756" s="9">
        <v>5</v>
      </c>
      <c r="F756" s="10">
        <v>17516</v>
      </c>
      <c r="G756" s="10">
        <f t="shared" si="62"/>
        <v>87580</v>
      </c>
      <c r="H756" s="18"/>
      <c r="I756" s="19">
        <v>17516</v>
      </c>
      <c r="J756" s="19">
        <f t="shared" si="63"/>
        <v>0</v>
      </c>
    </row>
    <row r="757" spans="1:10" ht="17" thickBot="1" x14ac:dyDescent="0.25">
      <c r="A757" s="9" t="s">
        <v>344</v>
      </c>
      <c r="B757" s="76"/>
      <c r="C757" s="9" t="s">
        <v>36</v>
      </c>
      <c r="D757" s="9"/>
      <c r="E757" s="9">
        <v>15</v>
      </c>
      <c r="F757" s="10">
        <v>8352</v>
      </c>
      <c r="G757" s="10">
        <f t="shared" si="62"/>
        <v>125280</v>
      </c>
      <c r="H757" s="18"/>
      <c r="I757" s="19">
        <v>8352</v>
      </c>
      <c r="J757" s="19">
        <f t="shared" si="63"/>
        <v>0</v>
      </c>
    </row>
    <row r="758" spans="1:10" ht="17" thickBot="1" x14ac:dyDescent="0.25">
      <c r="A758" s="9" t="s">
        <v>51</v>
      </c>
      <c r="B758" s="76"/>
      <c r="C758" s="9" t="s">
        <v>36</v>
      </c>
      <c r="D758" s="9" t="s">
        <v>110</v>
      </c>
      <c r="E758" s="9">
        <v>15</v>
      </c>
      <c r="F758" s="10">
        <v>5452</v>
      </c>
      <c r="G758" s="10">
        <f t="shared" si="62"/>
        <v>81780</v>
      </c>
      <c r="H758" s="18"/>
      <c r="I758" s="19">
        <v>5452</v>
      </c>
      <c r="J758" s="19">
        <f t="shared" si="63"/>
        <v>0</v>
      </c>
    </row>
    <row r="759" spans="1:10" ht="17" thickBot="1" x14ac:dyDescent="0.25">
      <c r="A759" s="9" t="s">
        <v>663</v>
      </c>
      <c r="B759" s="76"/>
      <c r="C759" s="9" t="s">
        <v>36</v>
      </c>
      <c r="D759" s="9" t="s">
        <v>205</v>
      </c>
      <c r="E759" s="9">
        <v>10</v>
      </c>
      <c r="F759" s="10">
        <v>10092</v>
      </c>
      <c r="G759" s="10">
        <f t="shared" si="62"/>
        <v>100920</v>
      </c>
      <c r="H759" s="18"/>
      <c r="I759" s="19">
        <v>10092</v>
      </c>
      <c r="J759" s="19">
        <f t="shared" si="63"/>
        <v>0</v>
      </c>
    </row>
    <row r="760" spans="1:10" ht="17" thickBot="1" x14ac:dyDescent="0.25">
      <c r="A760" s="9" t="s">
        <v>778</v>
      </c>
      <c r="B760" s="76"/>
      <c r="C760" s="9" t="s">
        <v>36</v>
      </c>
      <c r="D760" s="9" t="s">
        <v>393</v>
      </c>
      <c r="E760" s="9">
        <v>30</v>
      </c>
      <c r="F760" s="10">
        <v>4872</v>
      </c>
      <c r="G760" s="10">
        <f t="shared" si="62"/>
        <v>146160</v>
      </c>
      <c r="H760" s="18"/>
      <c r="I760" s="19">
        <v>4872</v>
      </c>
      <c r="J760" s="19">
        <f t="shared" si="63"/>
        <v>0</v>
      </c>
    </row>
    <row r="761" spans="1:10" ht="17" thickBot="1" x14ac:dyDescent="0.25">
      <c r="A761" s="9" t="s">
        <v>75</v>
      </c>
      <c r="B761" s="76"/>
      <c r="C761" s="9" t="s">
        <v>36</v>
      </c>
      <c r="D761" s="9" t="s">
        <v>308</v>
      </c>
      <c r="E761" s="9">
        <v>1</v>
      </c>
      <c r="F761" s="10">
        <v>9512</v>
      </c>
      <c r="G761" s="10">
        <f t="shared" si="62"/>
        <v>9512</v>
      </c>
      <c r="H761" s="18"/>
      <c r="I761" s="19">
        <v>9512</v>
      </c>
      <c r="J761" s="19">
        <f t="shared" si="63"/>
        <v>0</v>
      </c>
    </row>
    <row r="762" spans="1:10" ht="17" thickBot="1" x14ac:dyDescent="0.25">
      <c r="A762" s="9" t="s">
        <v>45</v>
      </c>
      <c r="B762" s="76"/>
      <c r="C762" s="9" t="s">
        <v>36</v>
      </c>
      <c r="D762" s="9" t="s">
        <v>120</v>
      </c>
      <c r="E762" s="9">
        <v>5</v>
      </c>
      <c r="F762" s="10">
        <v>17516</v>
      </c>
      <c r="G762" s="10">
        <f t="shared" si="62"/>
        <v>87580</v>
      </c>
      <c r="H762" s="18"/>
      <c r="I762" s="19">
        <v>17516</v>
      </c>
      <c r="J762" s="19">
        <f t="shared" si="63"/>
        <v>0</v>
      </c>
    </row>
    <row r="763" spans="1:10" ht="17" thickBot="1" x14ac:dyDescent="0.25">
      <c r="A763" s="9" t="s">
        <v>240</v>
      </c>
      <c r="B763" s="76"/>
      <c r="C763" s="9" t="s">
        <v>36</v>
      </c>
      <c r="D763" s="9"/>
      <c r="E763" s="9">
        <v>20</v>
      </c>
      <c r="F763" s="10">
        <v>6728</v>
      </c>
      <c r="G763" s="10">
        <f t="shared" si="62"/>
        <v>134560</v>
      </c>
      <c r="H763" s="18"/>
      <c r="I763" s="19">
        <v>6728</v>
      </c>
      <c r="J763" s="19">
        <f t="shared" si="63"/>
        <v>0</v>
      </c>
    </row>
    <row r="764" spans="1:10" ht="17" thickBot="1" x14ac:dyDescent="0.25">
      <c r="A764" s="9" t="s">
        <v>45</v>
      </c>
      <c r="B764" s="76"/>
      <c r="C764" s="9" t="s">
        <v>36</v>
      </c>
      <c r="D764" s="9"/>
      <c r="E764" s="9">
        <v>10</v>
      </c>
      <c r="F764" s="10">
        <v>17516</v>
      </c>
      <c r="G764" s="10">
        <f t="shared" si="62"/>
        <v>175160</v>
      </c>
      <c r="H764" s="18"/>
      <c r="I764" s="19">
        <v>17516</v>
      </c>
      <c r="J764" s="19">
        <f t="shared" si="63"/>
        <v>0</v>
      </c>
    </row>
    <row r="765" spans="1:10" ht="17" thickBot="1" x14ac:dyDescent="0.25">
      <c r="A765" s="9" t="s">
        <v>145</v>
      </c>
      <c r="B765" s="76"/>
      <c r="C765" s="9" t="s">
        <v>36</v>
      </c>
      <c r="D765" s="9"/>
      <c r="E765" s="9">
        <v>5</v>
      </c>
      <c r="F765" s="10">
        <v>8352</v>
      </c>
      <c r="G765" s="10">
        <f t="shared" si="62"/>
        <v>41760</v>
      </c>
      <c r="H765" s="18"/>
      <c r="I765" s="19">
        <v>8352</v>
      </c>
      <c r="J765" s="19">
        <f t="shared" si="63"/>
        <v>0</v>
      </c>
    </row>
    <row r="766" spans="1:10" ht="17" thickBot="1" x14ac:dyDescent="0.25">
      <c r="A766" s="9" t="s">
        <v>664</v>
      </c>
      <c r="B766" s="76"/>
      <c r="C766" s="9" t="s">
        <v>36</v>
      </c>
      <c r="D766" s="9" t="s">
        <v>80</v>
      </c>
      <c r="E766" s="9">
        <v>15</v>
      </c>
      <c r="F766" s="10">
        <v>4872</v>
      </c>
      <c r="G766" s="10">
        <f t="shared" si="62"/>
        <v>73080</v>
      </c>
      <c r="H766" s="18"/>
      <c r="I766" s="19">
        <v>4872</v>
      </c>
      <c r="J766" s="19">
        <f t="shared" si="63"/>
        <v>0</v>
      </c>
    </row>
    <row r="767" spans="1:10" ht="17" thickBot="1" x14ac:dyDescent="0.25">
      <c r="A767" s="9" t="s">
        <v>45</v>
      </c>
      <c r="B767" s="76"/>
      <c r="C767" s="9" t="s">
        <v>36</v>
      </c>
      <c r="D767" s="9"/>
      <c r="E767" s="9">
        <v>15</v>
      </c>
      <c r="F767" s="10">
        <v>17400</v>
      </c>
      <c r="G767" s="10">
        <f t="shared" si="62"/>
        <v>261000</v>
      </c>
      <c r="H767" s="18"/>
      <c r="I767" s="19">
        <v>17400</v>
      </c>
      <c r="J767" s="19">
        <f t="shared" si="63"/>
        <v>0</v>
      </c>
    </row>
    <row r="768" spans="1:10" ht="17" thickBot="1" x14ac:dyDescent="0.25">
      <c r="A768" s="9" t="s">
        <v>140</v>
      </c>
      <c r="B768" s="76"/>
      <c r="C768" s="9" t="s">
        <v>36</v>
      </c>
      <c r="D768" s="9" t="s">
        <v>779</v>
      </c>
      <c r="E768" s="9">
        <v>15</v>
      </c>
      <c r="F768" s="10">
        <v>8700</v>
      </c>
      <c r="G768" s="10">
        <f t="shared" si="62"/>
        <v>130500</v>
      </c>
      <c r="H768" s="18"/>
      <c r="I768" s="19">
        <v>8700</v>
      </c>
      <c r="J768" s="19">
        <f t="shared" si="63"/>
        <v>0</v>
      </c>
    </row>
    <row r="769" spans="1:10" ht="17" thickBot="1" x14ac:dyDescent="0.25">
      <c r="A769" s="9" t="s">
        <v>243</v>
      </c>
      <c r="B769" s="76"/>
      <c r="C769" s="9" t="s">
        <v>36</v>
      </c>
      <c r="D769" s="9" t="s">
        <v>125</v>
      </c>
      <c r="E769" s="9">
        <v>10</v>
      </c>
      <c r="F769" s="10">
        <v>7772</v>
      </c>
      <c r="G769" s="10">
        <f t="shared" si="62"/>
        <v>77720</v>
      </c>
      <c r="H769" s="18"/>
      <c r="I769" s="19">
        <v>7772</v>
      </c>
      <c r="J769" s="19">
        <f t="shared" si="63"/>
        <v>0</v>
      </c>
    </row>
    <row r="770" spans="1:10" ht="17" thickBot="1" x14ac:dyDescent="0.25">
      <c r="A770" s="9" t="s">
        <v>781</v>
      </c>
      <c r="B770" s="76"/>
      <c r="C770" s="9" t="s">
        <v>36</v>
      </c>
      <c r="D770" s="9" t="s">
        <v>782</v>
      </c>
      <c r="E770" s="9">
        <v>15</v>
      </c>
      <c r="F770" s="10">
        <v>6844</v>
      </c>
      <c r="G770" s="10">
        <f t="shared" si="62"/>
        <v>102660</v>
      </c>
      <c r="H770" s="18"/>
      <c r="I770" s="19">
        <v>6844</v>
      </c>
      <c r="J770" s="19">
        <f t="shared" si="63"/>
        <v>0</v>
      </c>
    </row>
    <row r="771" spans="1:10" ht="17" thickBot="1" x14ac:dyDescent="0.25">
      <c r="A771" s="9" t="s">
        <v>783</v>
      </c>
      <c r="B771" s="76"/>
      <c r="C771" s="9" t="s">
        <v>36</v>
      </c>
      <c r="D771" s="9" t="s">
        <v>169</v>
      </c>
      <c r="E771" s="9">
        <v>15</v>
      </c>
      <c r="F771" s="10">
        <v>11948</v>
      </c>
      <c r="G771" s="10">
        <f t="shared" si="62"/>
        <v>179220</v>
      </c>
      <c r="H771" s="18"/>
      <c r="I771" s="19">
        <v>11948</v>
      </c>
      <c r="J771" s="19">
        <f t="shared" si="63"/>
        <v>0</v>
      </c>
    </row>
    <row r="772" spans="1:10" ht="17" thickBot="1" x14ac:dyDescent="0.25">
      <c r="A772" s="9" t="s">
        <v>45</v>
      </c>
      <c r="B772" s="76"/>
      <c r="C772" s="9" t="s">
        <v>36</v>
      </c>
      <c r="D772" s="9"/>
      <c r="E772" s="9">
        <v>10</v>
      </c>
      <c r="F772" s="10">
        <v>13108</v>
      </c>
      <c r="G772" s="10">
        <f t="shared" si="62"/>
        <v>131080</v>
      </c>
      <c r="H772" s="18"/>
      <c r="I772" s="19">
        <v>13108</v>
      </c>
      <c r="J772" s="19">
        <f t="shared" si="63"/>
        <v>0</v>
      </c>
    </row>
    <row r="773" spans="1:10" ht="17" thickBot="1" x14ac:dyDescent="0.25">
      <c r="A773" s="9" t="s">
        <v>45</v>
      </c>
      <c r="B773" s="76"/>
      <c r="C773" s="9" t="s">
        <v>36</v>
      </c>
      <c r="D773" s="9"/>
      <c r="E773" s="9">
        <v>7</v>
      </c>
      <c r="F773" s="10">
        <v>916.4</v>
      </c>
      <c r="G773" s="10">
        <f t="shared" si="62"/>
        <v>6414.8</v>
      </c>
      <c r="H773" s="18"/>
      <c r="I773" s="19">
        <v>916.4</v>
      </c>
      <c r="J773" s="19">
        <f t="shared" si="63"/>
        <v>0</v>
      </c>
    </row>
    <row r="774" spans="1:10" ht="17" thickBot="1" x14ac:dyDescent="0.25">
      <c r="A774" s="9" t="s">
        <v>46</v>
      </c>
      <c r="B774" s="76"/>
      <c r="C774" s="9" t="s">
        <v>36</v>
      </c>
      <c r="D774" s="9" t="s">
        <v>54</v>
      </c>
      <c r="E774" s="9">
        <v>10</v>
      </c>
      <c r="F774" s="10">
        <v>12412</v>
      </c>
      <c r="G774" s="10">
        <f t="shared" si="62"/>
        <v>124120</v>
      </c>
      <c r="H774" s="18"/>
      <c r="I774" s="19">
        <v>12412</v>
      </c>
      <c r="J774" s="19">
        <f t="shared" si="63"/>
        <v>0</v>
      </c>
    </row>
    <row r="775" spans="1:10" ht="17" thickBot="1" x14ac:dyDescent="0.25">
      <c r="A775" s="9" t="s">
        <v>240</v>
      </c>
      <c r="B775" s="76"/>
      <c r="C775" s="9" t="s">
        <v>36</v>
      </c>
      <c r="D775" s="9"/>
      <c r="E775" s="9">
        <v>30</v>
      </c>
      <c r="F775" s="10">
        <v>6844</v>
      </c>
      <c r="G775" s="10">
        <f>F775*E775</f>
        <v>205320</v>
      </c>
      <c r="H775" s="18"/>
      <c r="I775" s="19">
        <v>6844</v>
      </c>
      <c r="J775" s="19">
        <f t="shared" ref="J775:J782" si="64">I775*H775</f>
        <v>0</v>
      </c>
    </row>
    <row r="776" spans="1:10" ht="17" thickBot="1" x14ac:dyDescent="0.25">
      <c r="A776" s="9" t="s">
        <v>785</v>
      </c>
      <c r="B776" s="76"/>
      <c r="C776" s="9" t="s">
        <v>36</v>
      </c>
      <c r="D776" s="9"/>
      <c r="E776" s="9">
        <v>40</v>
      </c>
      <c r="F776" s="10">
        <v>12876</v>
      </c>
      <c r="G776" s="10">
        <f>F776*E776</f>
        <v>515040</v>
      </c>
      <c r="H776" s="18"/>
      <c r="I776" s="19">
        <v>12876</v>
      </c>
      <c r="J776" s="19">
        <f t="shared" si="64"/>
        <v>0</v>
      </c>
    </row>
    <row r="777" spans="1:10" ht="17" thickBot="1" x14ac:dyDescent="0.25">
      <c r="A777" s="9" t="s">
        <v>45</v>
      </c>
      <c r="B777" s="76"/>
      <c r="C777" s="9" t="s">
        <v>36</v>
      </c>
      <c r="D777" s="9"/>
      <c r="E777" s="9">
        <v>15</v>
      </c>
      <c r="F777" s="10">
        <v>800.4</v>
      </c>
      <c r="G777" s="10">
        <f t="shared" si="62"/>
        <v>12006</v>
      </c>
      <c r="H777" s="18"/>
      <c r="I777" s="19">
        <v>800.4</v>
      </c>
      <c r="J777" s="19">
        <f t="shared" si="64"/>
        <v>0</v>
      </c>
    </row>
    <row r="778" spans="1:10" ht="17" thickBot="1" x14ac:dyDescent="0.25">
      <c r="A778" s="9" t="s">
        <v>242</v>
      </c>
      <c r="B778" s="76"/>
      <c r="C778" s="9" t="s">
        <v>36</v>
      </c>
      <c r="D778" s="9"/>
      <c r="E778" s="9">
        <v>15</v>
      </c>
      <c r="F778" s="10">
        <v>18096</v>
      </c>
      <c r="G778" s="10">
        <f t="shared" si="62"/>
        <v>271440</v>
      </c>
      <c r="H778" s="18"/>
      <c r="I778" s="19">
        <v>18096</v>
      </c>
      <c r="J778" s="19">
        <f t="shared" si="64"/>
        <v>0</v>
      </c>
    </row>
    <row r="779" spans="1:10" ht="17" thickBot="1" x14ac:dyDescent="0.25">
      <c r="A779" s="9" t="s">
        <v>242</v>
      </c>
      <c r="B779" s="76"/>
      <c r="C779" s="9" t="s">
        <v>36</v>
      </c>
      <c r="D779" s="9"/>
      <c r="E779" s="9">
        <v>10</v>
      </c>
      <c r="F779" s="10">
        <v>14494.2</v>
      </c>
      <c r="G779" s="10">
        <f>F779*E779</f>
        <v>144942</v>
      </c>
      <c r="H779" s="18"/>
      <c r="I779" s="19">
        <v>14494.2</v>
      </c>
      <c r="J779" s="19">
        <f t="shared" si="64"/>
        <v>0</v>
      </c>
    </row>
    <row r="780" spans="1:10" ht="17" thickBot="1" x14ac:dyDescent="0.25">
      <c r="A780" s="9" t="s">
        <v>290</v>
      </c>
      <c r="B780" s="76"/>
      <c r="C780" s="9" t="s">
        <v>36</v>
      </c>
      <c r="D780" s="9"/>
      <c r="E780" s="9">
        <v>45</v>
      </c>
      <c r="F780" s="10">
        <v>2726</v>
      </c>
      <c r="G780" s="10">
        <f>F780*E780</f>
        <v>122670</v>
      </c>
      <c r="H780" s="18"/>
      <c r="I780" s="19">
        <v>2726</v>
      </c>
      <c r="J780" s="19">
        <f t="shared" si="64"/>
        <v>0</v>
      </c>
    </row>
    <row r="781" spans="1:10" ht="17" thickBot="1" x14ac:dyDescent="0.25">
      <c r="A781" s="9" t="s">
        <v>1356</v>
      </c>
      <c r="B781" s="76"/>
      <c r="C781" s="9" t="s">
        <v>36</v>
      </c>
      <c r="D781" s="9"/>
      <c r="E781" s="9">
        <v>20</v>
      </c>
      <c r="F781" s="10">
        <v>6496</v>
      </c>
      <c r="G781" s="10">
        <f t="shared" si="62"/>
        <v>129920</v>
      </c>
      <c r="H781" s="18"/>
      <c r="I781" s="19">
        <v>6496</v>
      </c>
      <c r="J781" s="19">
        <f t="shared" si="64"/>
        <v>0</v>
      </c>
    </row>
    <row r="782" spans="1:10" ht="17" thickBot="1" x14ac:dyDescent="0.25">
      <c r="A782" s="9" t="s">
        <v>784</v>
      </c>
      <c r="B782" s="76"/>
      <c r="C782" s="9" t="s">
        <v>36</v>
      </c>
      <c r="D782" s="9"/>
      <c r="E782" s="9">
        <v>5</v>
      </c>
      <c r="F782" s="10">
        <v>11600</v>
      </c>
      <c r="G782" s="10">
        <f t="shared" si="62"/>
        <v>58000</v>
      </c>
      <c r="H782" s="18"/>
      <c r="I782" s="19">
        <v>11600</v>
      </c>
      <c r="J782" s="19">
        <f t="shared" si="64"/>
        <v>0</v>
      </c>
    </row>
    <row r="783" spans="1:10" ht="17" thickBot="1" x14ac:dyDescent="0.25">
      <c r="A783"/>
      <c r="B783" s="78"/>
      <c r="C783"/>
      <c r="D783"/>
      <c r="E783"/>
      <c r="F783" s="1"/>
      <c r="G783" s="12">
        <f>SUM(G744:G782)</f>
        <v>5159424.8</v>
      </c>
      <c r="H783"/>
      <c r="I783" s="1"/>
      <c r="J783" s="34">
        <f>SUM(J744:J782)</f>
        <v>68208</v>
      </c>
    </row>
    <row r="784" spans="1:10" ht="17" thickBot="1" x14ac:dyDescent="0.25">
      <c r="A784" s="30" t="s">
        <v>1732</v>
      </c>
      <c r="B784" s="77" t="s">
        <v>418</v>
      </c>
      <c r="C784" s="2" t="s">
        <v>1731</v>
      </c>
      <c r="F784" s="2"/>
    </row>
    <row r="785" spans="1:10" ht="17" thickBot="1" x14ac:dyDescent="0.25">
      <c r="A785" s="9" t="s">
        <v>45</v>
      </c>
      <c r="B785" s="75"/>
      <c r="C785" s="9" t="s">
        <v>36</v>
      </c>
      <c r="D785" s="9" t="s">
        <v>319</v>
      </c>
      <c r="E785" s="9">
        <v>10</v>
      </c>
      <c r="F785" s="10">
        <v>4756</v>
      </c>
      <c r="G785" s="10">
        <f>F785*E785</f>
        <v>47560</v>
      </c>
      <c r="H785" s="18"/>
      <c r="I785" s="19">
        <v>4756</v>
      </c>
      <c r="J785" s="19">
        <f>I785*H785</f>
        <v>0</v>
      </c>
    </row>
    <row r="786" spans="1:10" ht="18" thickBot="1" x14ac:dyDescent="0.25">
      <c r="A786" s="9" t="s">
        <v>58</v>
      </c>
      <c r="B786" s="75" t="s">
        <v>893</v>
      </c>
      <c r="C786" s="9" t="s">
        <v>36</v>
      </c>
      <c r="D786" s="9" t="s">
        <v>333</v>
      </c>
      <c r="E786" s="9">
        <v>180</v>
      </c>
      <c r="F786" s="10">
        <v>65192</v>
      </c>
      <c r="G786" s="10">
        <f>F786*E786</f>
        <v>11734560</v>
      </c>
      <c r="H786" s="18">
        <v>108</v>
      </c>
      <c r="I786" s="19">
        <v>65192</v>
      </c>
      <c r="J786" s="19">
        <f>I786*H786</f>
        <v>7040736</v>
      </c>
    </row>
    <row r="787" spans="1:10" ht="17" thickBot="1" x14ac:dyDescent="0.25">
      <c r="A787" s="9" t="s">
        <v>58</v>
      </c>
      <c r="B787" s="75"/>
      <c r="C787" s="9" t="s">
        <v>36</v>
      </c>
      <c r="D787" s="9" t="s">
        <v>122</v>
      </c>
      <c r="E787" s="9">
        <v>10</v>
      </c>
      <c r="F787" s="10">
        <v>4292</v>
      </c>
      <c r="G787" s="10">
        <f>F787*E787</f>
        <v>42920</v>
      </c>
      <c r="H787" s="18">
        <v>10</v>
      </c>
      <c r="I787" s="19">
        <v>4292</v>
      </c>
      <c r="J787" s="19">
        <f>I787*H787</f>
        <v>42920</v>
      </c>
    </row>
    <row r="788" spans="1:10" ht="17" thickBot="1" x14ac:dyDescent="0.25">
      <c r="A788" s="9" t="s">
        <v>240</v>
      </c>
      <c r="B788" s="75"/>
      <c r="C788" s="9" t="s">
        <v>36</v>
      </c>
      <c r="D788" s="9" t="s">
        <v>66</v>
      </c>
      <c r="E788" s="9">
        <v>20</v>
      </c>
      <c r="F788" s="10">
        <v>5452</v>
      </c>
      <c r="G788" s="10">
        <f>F788*E788</f>
        <v>109040</v>
      </c>
      <c r="H788" s="18"/>
      <c r="I788" s="19">
        <v>5452</v>
      </c>
      <c r="J788" s="19">
        <f>I788*H788</f>
        <v>0</v>
      </c>
    </row>
    <row r="789" spans="1:10" ht="17" thickBot="1" x14ac:dyDescent="0.25">
      <c r="A789" s="2"/>
      <c r="G789" s="12">
        <f>SUM(G785:G788)</f>
        <v>11934080</v>
      </c>
      <c r="H789" s="2"/>
      <c r="J789" s="34">
        <f>SUM(J785:J788)</f>
        <v>7083656</v>
      </c>
    </row>
    <row r="791" spans="1:10" ht="20" thickBot="1" x14ac:dyDescent="0.25">
      <c r="A791" s="6" t="s">
        <v>2241</v>
      </c>
    </row>
    <row r="792" spans="1:10" ht="17" thickBot="1" x14ac:dyDescent="0.25">
      <c r="A792" s="9" t="s">
        <v>60</v>
      </c>
      <c r="B792" s="75"/>
      <c r="C792" s="299" t="s">
        <v>36</v>
      </c>
      <c r="D792" s="9" t="s">
        <v>2236</v>
      </c>
      <c r="E792" s="9">
        <v>52</v>
      </c>
      <c r="F792" s="10">
        <v>151380</v>
      </c>
      <c r="G792" s="10">
        <f>F792*E792</f>
        <v>7871760</v>
      </c>
    </row>
    <row r="793" spans="1:10" ht="17" thickBot="1" x14ac:dyDescent="0.25">
      <c r="A793" s="9" t="s">
        <v>76</v>
      </c>
      <c r="B793" s="75"/>
      <c r="C793" s="9" t="s">
        <v>36</v>
      </c>
      <c r="D793" s="9" t="s">
        <v>500</v>
      </c>
      <c r="E793" s="9">
        <v>48</v>
      </c>
      <c r="F793" s="10">
        <v>3828</v>
      </c>
      <c r="G793" s="10">
        <f t="shared" ref="G793:G801" si="65">F793*E793</f>
        <v>183744</v>
      </c>
    </row>
    <row r="794" spans="1:10" ht="17" thickBot="1" x14ac:dyDescent="0.25">
      <c r="A794" s="9" t="s">
        <v>334</v>
      </c>
      <c r="B794" s="75"/>
      <c r="C794" s="9" t="s">
        <v>36</v>
      </c>
      <c r="D794" s="9" t="s">
        <v>460</v>
      </c>
      <c r="E794" s="9">
        <v>6</v>
      </c>
      <c r="F794" s="10">
        <v>6844</v>
      </c>
      <c r="G794" s="10">
        <f t="shared" si="65"/>
        <v>41064</v>
      </c>
    </row>
    <row r="795" spans="1:10" ht="17" thickBot="1" x14ac:dyDescent="0.25">
      <c r="A795" s="9" t="s">
        <v>133</v>
      </c>
      <c r="B795" s="75"/>
      <c r="C795" s="9" t="s">
        <v>36</v>
      </c>
      <c r="D795" s="9" t="s">
        <v>2237</v>
      </c>
      <c r="E795" s="9">
        <v>10</v>
      </c>
      <c r="F795" s="10">
        <v>13514</v>
      </c>
      <c r="G795" s="10">
        <f t="shared" si="65"/>
        <v>135140</v>
      </c>
    </row>
    <row r="796" spans="1:10" ht="17" thickBot="1" x14ac:dyDescent="0.25">
      <c r="A796" s="9" t="s">
        <v>47</v>
      </c>
      <c r="B796" s="75"/>
      <c r="C796" s="9" t="s">
        <v>36</v>
      </c>
      <c r="D796" s="9" t="s">
        <v>2238</v>
      </c>
      <c r="E796" s="9">
        <v>24</v>
      </c>
      <c r="F796" s="10">
        <v>10440</v>
      </c>
      <c r="G796" s="10">
        <f t="shared" si="65"/>
        <v>250560</v>
      </c>
    </row>
    <row r="797" spans="1:10" ht="17" thickBot="1" x14ac:dyDescent="0.25">
      <c r="A797" s="9" t="s">
        <v>76</v>
      </c>
      <c r="B797" s="75"/>
      <c r="C797" s="9" t="s">
        <v>36</v>
      </c>
      <c r="D797" s="9" t="s">
        <v>468</v>
      </c>
      <c r="E797" s="9">
        <v>48</v>
      </c>
      <c r="F797" s="10">
        <v>3944</v>
      </c>
      <c r="G797" s="10">
        <f t="shared" si="65"/>
        <v>189312</v>
      </c>
    </row>
    <row r="798" spans="1:10" ht="17" thickBot="1" x14ac:dyDescent="0.25">
      <c r="A798" s="9" t="s">
        <v>334</v>
      </c>
      <c r="B798" s="75"/>
      <c r="C798" s="9" t="s">
        <v>36</v>
      </c>
      <c r="D798" s="9" t="s">
        <v>474</v>
      </c>
      <c r="E798" s="9">
        <v>48</v>
      </c>
      <c r="F798" s="10">
        <v>9512</v>
      </c>
      <c r="G798" s="10">
        <f t="shared" si="65"/>
        <v>456576</v>
      </c>
    </row>
    <row r="799" spans="1:10" ht="17" thickBot="1" x14ac:dyDescent="0.25">
      <c r="A799" s="9" t="s">
        <v>60</v>
      </c>
      <c r="B799" s="75"/>
      <c r="C799" s="9" t="s">
        <v>36</v>
      </c>
      <c r="D799" s="9" t="s">
        <v>2239</v>
      </c>
      <c r="E799" s="9">
        <v>35</v>
      </c>
      <c r="F799" s="10">
        <v>126440</v>
      </c>
      <c r="G799" s="10">
        <f t="shared" si="65"/>
        <v>4425400</v>
      </c>
    </row>
    <row r="800" spans="1:10" ht="17" thickBot="1" x14ac:dyDescent="0.25">
      <c r="A800" s="9" t="s">
        <v>47</v>
      </c>
      <c r="B800" s="75"/>
      <c r="C800" s="9" t="s">
        <v>36</v>
      </c>
      <c r="D800" s="9" t="s">
        <v>501</v>
      </c>
      <c r="E800" s="9">
        <v>6</v>
      </c>
      <c r="F800" s="10">
        <v>7656</v>
      </c>
      <c r="G800" s="10">
        <f t="shared" si="65"/>
        <v>45936</v>
      </c>
    </row>
    <row r="801" spans="1:7" ht="17" thickBot="1" x14ac:dyDescent="0.25">
      <c r="A801" s="9" t="s">
        <v>47</v>
      </c>
      <c r="B801" s="75"/>
      <c r="C801" s="9" t="s">
        <v>36</v>
      </c>
      <c r="D801" s="9" t="s">
        <v>2240</v>
      </c>
      <c r="E801" s="9">
        <v>48</v>
      </c>
      <c r="F801" s="10">
        <v>5417.2</v>
      </c>
      <c r="G801" s="10">
        <f t="shared" si="65"/>
        <v>260025.59999999998</v>
      </c>
    </row>
    <row r="802" spans="1:7" x14ac:dyDescent="0.2">
      <c r="G802" s="260">
        <f>SUM(G792:G801)</f>
        <v>13859517.6</v>
      </c>
    </row>
    <row r="834" spans="1:10" x14ac:dyDescent="0.2">
      <c r="A834" s="2"/>
      <c r="B834" s="77"/>
      <c r="G834" s="38"/>
      <c r="H834" s="3"/>
      <c r="I834" s="1"/>
      <c r="J834"/>
    </row>
    <row r="1043" spans="1:7" x14ac:dyDescent="0.2">
      <c r="A1043"/>
      <c r="C1043"/>
      <c r="D1043"/>
      <c r="E1043"/>
      <c r="F1043" s="1"/>
      <c r="G1043" s="33"/>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536D2-8BCB-1D4D-9DD1-0A040C731BC5}">
  <dimension ref="A1:R213"/>
  <sheetViews>
    <sheetView topLeftCell="A196" zoomScale="96" workbookViewId="0">
      <selection activeCell="D201" sqref="D201"/>
    </sheetView>
  </sheetViews>
  <sheetFormatPr baseColWidth="10" defaultRowHeight="16" x14ac:dyDescent="0.2"/>
  <cols>
    <col min="1" max="1" width="79.6640625" customWidth="1"/>
    <col min="2" max="2" width="18.6640625" style="2" customWidth="1"/>
    <col min="3" max="3" width="21.83203125" customWidth="1"/>
    <col min="4" max="4" width="61.6640625" customWidth="1"/>
    <col min="5" max="5" width="11.5" bestFit="1" customWidth="1"/>
    <col min="6" max="6" width="14" bestFit="1" customWidth="1"/>
    <col min="7" max="7" width="21.33203125" customWidth="1"/>
    <col min="9" max="9" width="13.6640625" customWidth="1"/>
    <col min="10" max="10" width="18.33203125" customWidth="1"/>
    <col min="13" max="13" width="14" customWidth="1"/>
  </cols>
  <sheetData>
    <row r="1" spans="1:10" ht="17" thickBot="1" x14ac:dyDescent="0.25">
      <c r="A1" s="30" t="s">
        <v>1544</v>
      </c>
      <c r="B1" s="2" t="s">
        <v>1526</v>
      </c>
      <c r="C1" s="2" t="s">
        <v>1527</v>
      </c>
      <c r="D1" s="2"/>
      <c r="E1" s="2"/>
      <c r="F1" s="2"/>
      <c r="G1" s="2"/>
      <c r="H1" s="2"/>
      <c r="I1" s="30"/>
      <c r="J1" s="158"/>
    </row>
    <row r="2" spans="1:10" ht="17" thickBot="1" x14ac:dyDescent="0.25">
      <c r="A2" s="9" t="s">
        <v>71</v>
      </c>
      <c r="B2" s="76" t="s">
        <v>927</v>
      </c>
      <c r="C2" s="9" t="s">
        <v>36</v>
      </c>
      <c r="D2" s="9" t="s">
        <v>1528</v>
      </c>
      <c r="E2" s="9">
        <v>10</v>
      </c>
      <c r="F2" s="159">
        <v>13572</v>
      </c>
      <c r="G2" s="159">
        <f>E2*F2</f>
        <v>135720</v>
      </c>
      <c r="H2" s="18">
        <v>10</v>
      </c>
      <c r="I2" s="160">
        <v>13572</v>
      </c>
      <c r="J2" s="161">
        <f>H2*I2</f>
        <v>135720</v>
      </c>
    </row>
    <row r="3" spans="1:10" ht="17" thickBot="1" x14ac:dyDescent="0.25">
      <c r="A3" s="9" t="s">
        <v>1529</v>
      </c>
      <c r="B3" s="76" t="s">
        <v>945</v>
      </c>
      <c r="C3" s="9" t="s">
        <v>36</v>
      </c>
      <c r="D3" s="9" t="s">
        <v>1530</v>
      </c>
      <c r="E3" s="9">
        <v>10</v>
      </c>
      <c r="F3" s="159">
        <v>14384</v>
      </c>
      <c r="G3" s="159">
        <f>E3*F3</f>
        <v>143840</v>
      </c>
      <c r="H3" s="18">
        <v>5</v>
      </c>
      <c r="I3" s="160">
        <v>14384</v>
      </c>
      <c r="J3" s="161">
        <f>H3*I3</f>
        <v>71920</v>
      </c>
    </row>
    <row r="4" spans="1:10" ht="17" thickBot="1" x14ac:dyDescent="0.25">
      <c r="A4" s="9" t="s">
        <v>1531</v>
      </c>
      <c r="B4" s="76" t="s">
        <v>1565</v>
      </c>
      <c r="C4" s="9" t="s">
        <v>36</v>
      </c>
      <c r="D4" s="9" t="s">
        <v>1532</v>
      </c>
      <c r="E4" s="9">
        <v>10</v>
      </c>
      <c r="F4" s="159">
        <v>13688</v>
      </c>
      <c r="G4" s="159">
        <f>E4*F4</f>
        <v>136880</v>
      </c>
      <c r="H4" s="18">
        <v>5</v>
      </c>
      <c r="I4" s="160">
        <v>13688</v>
      </c>
      <c r="J4" s="161">
        <f>H4*I4</f>
        <v>68440</v>
      </c>
    </row>
    <row r="5" spans="1:10" ht="17" thickBot="1" x14ac:dyDescent="0.25">
      <c r="A5" s="9" t="s">
        <v>568</v>
      </c>
      <c r="B5" s="76" t="s">
        <v>855</v>
      </c>
      <c r="C5" s="9" t="s">
        <v>36</v>
      </c>
      <c r="D5" s="9" t="s">
        <v>1533</v>
      </c>
      <c r="E5" s="9">
        <v>3</v>
      </c>
      <c r="F5" s="159">
        <v>14268</v>
      </c>
      <c r="G5" s="159">
        <f>E5*F5</f>
        <v>42804</v>
      </c>
      <c r="H5" s="18">
        <v>3</v>
      </c>
      <c r="I5" s="160">
        <v>14268</v>
      </c>
      <c r="J5" s="161">
        <f>H5*I5</f>
        <v>42804</v>
      </c>
    </row>
    <row r="6" spans="1:10" ht="17" thickBot="1" x14ac:dyDescent="0.25">
      <c r="A6" s="2"/>
      <c r="C6" s="2"/>
      <c r="D6" s="2"/>
      <c r="E6" s="2"/>
      <c r="F6" s="162"/>
      <c r="G6" s="163">
        <f>SUM(G2:G5)</f>
        <v>459244</v>
      </c>
      <c r="H6" s="2"/>
      <c r="I6" s="162"/>
      <c r="J6" s="161">
        <f>SUM(J2:J5)</f>
        <v>318884</v>
      </c>
    </row>
    <row r="7" spans="1:10" ht="17" thickBot="1" x14ac:dyDescent="0.25">
      <c r="A7" s="30" t="s">
        <v>1543</v>
      </c>
      <c r="B7" s="2" t="s">
        <v>1526</v>
      </c>
      <c r="C7" s="2" t="s">
        <v>1526</v>
      </c>
      <c r="D7" s="2" t="s">
        <v>1527</v>
      </c>
      <c r="E7" s="2"/>
      <c r="F7" s="162"/>
      <c r="G7" s="162"/>
      <c r="H7" s="2"/>
      <c r="I7" s="162"/>
      <c r="J7" s="164"/>
    </row>
    <row r="8" spans="1:10" ht="17" thickBot="1" x14ac:dyDescent="0.25">
      <c r="A8" s="9" t="s">
        <v>1534</v>
      </c>
      <c r="B8" s="76" t="s">
        <v>1332</v>
      </c>
      <c r="C8" s="9" t="s">
        <v>36</v>
      </c>
      <c r="D8" s="9" t="s">
        <v>1535</v>
      </c>
      <c r="E8" s="9">
        <v>10</v>
      </c>
      <c r="F8" s="159">
        <v>4002</v>
      </c>
      <c r="G8" s="159">
        <f t="shared" ref="G8:G14" si="0">E8*F8</f>
        <v>40020</v>
      </c>
      <c r="H8" s="18">
        <v>10</v>
      </c>
      <c r="I8" s="160">
        <v>4002</v>
      </c>
      <c r="J8" s="161">
        <f t="shared" ref="J8:J14" si="1">H8*I8</f>
        <v>40020</v>
      </c>
    </row>
    <row r="9" spans="1:10" ht="17" thickBot="1" x14ac:dyDescent="0.25">
      <c r="A9" s="9" t="s">
        <v>60</v>
      </c>
      <c r="B9" s="76" t="s">
        <v>887</v>
      </c>
      <c r="C9" s="9" t="s">
        <v>4</v>
      </c>
      <c r="D9" s="9" t="s">
        <v>1536</v>
      </c>
      <c r="E9" s="9">
        <v>12</v>
      </c>
      <c r="F9" s="159">
        <v>4640</v>
      </c>
      <c r="G9" s="159">
        <f t="shared" si="0"/>
        <v>55680</v>
      </c>
      <c r="H9" s="18">
        <v>12</v>
      </c>
      <c r="I9" s="160">
        <v>4640</v>
      </c>
      <c r="J9" s="161">
        <f t="shared" si="1"/>
        <v>55680</v>
      </c>
    </row>
    <row r="10" spans="1:10" ht="17" thickBot="1" x14ac:dyDescent="0.25">
      <c r="A10" s="9" t="s">
        <v>61</v>
      </c>
      <c r="B10" s="76" t="s">
        <v>889</v>
      </c>
      <c r="C10" s="9" t="s">
        <v>4</v>
      </c>
      <c r="D10" s="9" t="s">
        <v>1537</v>
      </c>
      <c r="E10" s="9">
        <v>8</v>
      </c>
      <c r="F10" s="159">
        <v>4640</v>
      </c>
      <c r="G10" s="159">
        <f t="shared" si="0"/>
        <v>37120</v>
      </c>
      <c r="H10" s="18"/>
      <c r="I10" s="160">
        <v>4640</v>
      </c>
      <c r="J10" s="161">
        <f t="shared" si="1"/>
        <v>0</v>
      </c>
    </row>
    <row r="11" spans="1:10" ht="17" thickBot="1" x14ac:dyDescent="0.25">
      <c r="A11" s="9" t="s">
        <v>1538</v>
      </c>
      <c r="B11" s="76" t="s">
        <v>1336</v>
      </c>
      <c r="C11" s="9" t="s">
        <v>4</v>
      </c>
      <c r="D11" s="9" t="s">
        <v>1539</v>
      </c>
      <c r="E11" s="9">
        <v>15</v>
      </c>
      <c r="F11" s="159">
        <v>8120</v>
      </c>
      <c r="G11" s="159">
        <f t="shared" si="0"/>
        <v>121800</v>
      </c>
      <c r="H11" s="18">
        <v>15</v>
      </c>
      <c r="I11" s="160">
        <v>8120</v>
      </c>
      <c r="J11" s="161">
        <f t="shared" si="1"/>
        <v>121800</v>
      </c>
    </row>
    <row r="12" spans="1:10" ht="17" thickBot="1" x14ac:dyDescent="0.25">
      <c r="A12" s="9" t="s">
        <v>60</v>
      </c>
      <c r="B12" s="76" t="s">
        <v>1562</v>
      </c>
      <c r="C12" s="9" t="s">
        <v>36</v>
      </c>
      <c r="D12" s="9" t="s">
        <v>1540</v>
      </c>
      <c r="E12" s="9">
        <v>20</v>
      </c>
      <c r="F12" s="159">
        <v>2088</v>
      </c>
      <c r="G12" s="159">
        <f t="shared" si="0"/>
        <v>41760</v>
      </c>
      <c r="H12" s="18">
        <v>20</v>
      </c>
      <c r="I12" s="160">
        <v>2088</v>
      </c>
      <c r="J12" s="161">
        <f t="shared" si="1"/>
        <v>41760</v>
      </c>
    </row>
    <row r="13" spans="1:10" ht="17" thickBot="1" x14ac:dyDescent="0.25">
      <c r="A13" s="9" t="s">
        <v>615</v>
      </c>
      <c r="B13" s="76" t="s">
        <v>979</v>
      </c>
      <c r="C13" s="9" t="s">
        <v>36</v>
      </c>
      <c r="D13" s="9" t="s">
        <v>1541</v>
      </c>
      <c r="E13" s="9">
        <v>8</v>
      </c>
      <c r="F13" s="159">
        <v>8816</v>
      </c>
      <c r="G13" s="159">
        <f t="shared" si="0"/>
        <v>70528</v>
      </c>
      <c r="H13" s="18">
        <v>4</v>
      </c>
      <c r="I13" s="160">
        <v>8816</v>
      </c>
      <c r="J13" s="161">
        <f t="shared" si="1"/>
        <v>35264</v>
      </c>
    </row>
    <row r="14" spans="1:10" ht="17" thickBot="1" x14ac:dyDescent="0.25">
      <c r="A14" s="9" t="s">
        <v>435</v>
      </c>
      <c r="B14" s="76" t="s">
        <v>852</v>
      </c>
      <c r="C14" s="9" t="s">
        <v>4</v>
      </c>
      <c r="D14" s="9" t="s">
        <v>1542</v>
      </c>
      <c r="E14" s="9">
        <v>20</v>
      </c>
      <c r="F14" s="159">
        <v>1160</v>
      </c>
      <c r="G14" s="159">
        <f t="shared" si="0"/>
        <v>23200</v>
      </c>
      <c r="H14" s="18"/>
      <c r="I14" s="160">
        <v>1160</v>
      </c>
      <c r="J14" s="161">
        <f t="shared" si="1"/>
        <v>0</v>
      </c>
    </row>
    <row r="15" spans="1:10" ht="17" thickBot="1" x14ac:dyDescent="0.25">
      <c r="A15" s="2"/>
      <c r="C15" s="2"/>
      <c r="D15" s="2"/>
      <c r="E15" s="2"/>
      <c r="F15" s="162"/>
      <c r="G15" s="163">
        <f>SUM(G8:G14)</f>
        <v>390108</v>
      </c>
      <c r="H15" s="2"/>
      <c r="I15" s="162"/>
      <c r="J15" s="161">
        <f>SUM(J8:J14)</f>
        <v>294524</v>
      </c>
    </row>
    <row r="16" spans="1:10" ht="17" thickBot="1" x14ac:dyDescent="0.25">
      <c r="A16" s="30" t="s">
        <v>1257</v>
      </c>
      <c r="B16" s="2" t="s">
        <v>1256</v>
      </c>
      <c r="C16" s="2" t="s">
        <v>1255</v>
      </c>
      <c r="D16" s="2"/>
      <c r="E16" s="2"/>
      <c r="F16" s="2"/>
      <c r="G16" s="3"/>
      <c r="H16" s="38"/>
      <c r="I16" s="3"/>
      <c r="J16" s="1"/>
    </row>
    <row r="17" spans="1:10" ht="18" thickBot="1" x14ac:dyDescent="0.25">
      <c r="A17" s="9" t="s">
        <v>239</v>
      </c>
      <c r="B17" s="75" t="s">
        <v>1346</v>
      </c>
      <c r="C17" s="9" t="s">
        <v>36</v>
      </c>
      <c r="D17" s="9" t="s">
        <v>331</v>
      </c>
      <c r="E17" s="9">
        <v>20</v>
      </c>
      <c r="F17" s="10">
        <v>6496</v>
      </c>
      <c r="G17" s="10">
        <f t="shared" ref="G17:G33" si="2">F17*E17</f>
        <v>129920</v>
      </c>
      <c r="H17" s="18">
        <v>5</v>
      </c>
      <c r="I17" s="19">
        <v>6496</v>
      </c>
      <c r="J17" s="19">
        <f t="shared" ref="J17:J33" si="3">I17*H17</f>
        <v>32480</v>
      </c>
    </row>
    <row r="18" spans="1:10" ht="18" thickBot="1" x14ac:dyDescent="0.25">
      <c r="A18" s="9" t="s">
        <v>140</v>
      </c>
      <c r="B18" s="75" t="s">
        <v>1344</v>
      </c>
      <c r="C18" s="9" t="s">
        <v>36</v>
      </c>
      <c r="D18" s="9" t="s">
        <v>779</v>
      </c>
      <c r="E18" s="9">
        <v>20</v>
      </c>
      <c r="F18" s="10">
        <v>8700</v>
      </c>
      <c r="G18" s="10">
        <f t="shared" si="2"/>
        <v>174000</v>
      </c>
      <c r="H18" s="18">
        <v>5</v>
      </c>
      <c r="I18" s="19">
        <v>8700</v>
      </c>
      <c r="J18" s="19">
        <f t="shared" si="3"/>
        <v>43500</v>
      </c>
    </row>
    <row r="19" spans="1:10" ht="18" thickBot="1" x14ac:dyDescent="0.25">
      <c r="A19" s="9" t="s">
        <v>1254</v>
      </c>
      <c r="B19" s="75" t="s">
        <v>1565</v>
      </c>
      <c r="C19" s="9" t="s">
        <v>36</v>
      </c>
      <c r="D19" s="9" t="s">
        <v>1111</v>
      </c>
      <c r="E19" s="9">
        <v>81</v>
      </c>
      <c r="F19" s="10">
        <v>14262.2</v>
      </c>
      <c r="G19" s="10">
        <f t="shared" si="2"/>
        <v>1155238.2</v>
      </c>
      <c r="H19" s="18">
        <v>24</v>
      </c>
      <c r="I19" s="19">
        <v>14262.2</v>
      </c>
      <c r="J19" s="19">
        <f t="shared" si="3"/>
        <v>342292.80000000005</v>
      </c>
    </row>
    <row r="20" spans="1:10" ht="18" thickBot="1" x14ac:dyDescent="0.25">
      <c r="A20" s="9" t="s">
        <v>938</v>
      </c>
      <c r="B20" s="75" t="s">
        <v>835</v>
      </c>
      <c r="C20" s="9" t="s">
        <v>36</v>
      </c>
      <c r="D20" s="9" t="s">
        <v>297</v>
      </c>
      <c r="E20" s="9">
        <v>30</v>
      </c>
      <c r="F20" s="10">
        <v>2900</v>
      </c>
      <c r="G20" s="10">
        <f t="shared" si="2"/>
        <v>87000</v>
      </c>
      <c r="H20" s="18">
        <v>7</v>
      </c>
      <c r="I20" s="19">
        <v>2900</v>
      </c>
      <c r="J20" s="19">
        <f t="shared" si="3"/>
        <v>20300</v>
      </c>
    </row>
    <row r="21" spans="1:10" ht="18" thickBot="1" x14ac:dyDescent="0.25">
      <c r="A21" s="9" t="s">
        <v>283</v>
      </c>
      <c r="B21" s="75" t="s">
        <v>842</v>
      </c>
      <c r="C21" s="9" t="s">
        <v>36</v>
      </c>
      <c r="D21" s="9" t="s">
        <v>311</v>
      </c>
      <c r="E21" s="9">
        <v>30</v>
      </c>
      <c r="F21" s="10">
        <v>9686</v>
      </c>
      <c r="G21" s="10">
        <f t="shared" si="2"/>
        <v>290580</v>
      </c>
      <c r="H21" s="18">
        <v>7</v>
      </c>
      <c r="I21" s="19">
        <v>9686</v>
      </c>
      <c r="J21" s="19">
        <f t="shared" si="3"/>
        <v>67802</v>
      </c>
    </row>
    <row r="22" spans="1:10" ht="18" thickBot="1" x14ac:dyDescent="0.25">
      <c r="A22" s="9" t="s">
        <v>45</v>
      </c>
      <c r="B22" s="75" t="s">
        <v>914</v>
      </c>
      <c r="C22" s="9" t="s">
        <v>36</v>
      </c>
      <c r="D22" s="9" t="s">
        <v>780</v>
      </c>
      <c r="E22" s="9">
        <v>25</v>
      </c>
      <c r="F22" s="10">
        <v>8444.7999999999993</v>
      </c>
      <c r="G22" s="10">
        <f t="shared" si="2"/>
        <v>211119.99999999997</v>
      </c>
      <c r="H22" s="18">
        <v>6</v>
      </c>
      <c r="I22" s="19">
        <v>8444.7999999999993</v>
      </c>
      <c r="J22" s="19">
        <f t="shared" si="3"/>
        <v>50668.799999999996</v>
      </c>
    </row>
    <row r="23" spans="1:10" ht="18" thickBot="1" x14ac:dyDescent="0.25">
      <c r="A23" s="9" t="s">
        <v>58</v>
      </c>
      <c r="B23" s="75" t="s">
        <v>847</v>
      </c>
      <c r="C23" s="9" t="s">
        <v>36</v>
      </c>
      <c r="D23" s="9" t="s">
        <v>346</v>
      </c>
      <c r="E23" s="9">
        <v>20</v>
      </c>
      <c r="F23" s="10">
        <v>15892</v>
      </c>
      <c r="G23" s="10">
        <f t="shared" si="2"/>
        <v>317840</v>
      </c>
      <c r="H23" s="18">
        <v>5</v>
      </c>
      <c r="I23" s="19">
        <v>15892</v>
      </c>
      <c r="J23" s="19">
        <f t="shared" si="3"/>
        <v>79460</v>
      </c>
    </row>
    <row r="24" spans="1:10" ht="18" thickBot="1" x14ac:dyDescent="0.25">
      <c r="A24" s="9" t="s">
        <v>239</v>
      </c>
      <c r="B24" s="75" t="s">
        <v>854</v>
      </c>
      <c r="C24" s="9" t="s">
        <v>36</v>
      </c>
      <c r="D24" s="9" t="s">
        <v>163</v>
      </c>
      <c r="E24" s="9">
        <v>20</v>
      </c>
      <c r="F24" s="10">
        <v>5220</v>
      </c>
      <c r="G24" s="10">
        <f t="shared" si="2"/>
        <v>104400</v>
      </c>
      <c r="H24" s="18">
        <v>5</v>
      </c>
      <c r="I24" s="19">
        <v>5220</v>
      </c>
      <c r="J24" s="19">
        <f t="shared" si="3"/>
        <v>26100</v>
      </c>
    </row>
    <row r="25" spans="1:10" ht="18" thickBot="1" x14ac:dyDescent="0.25">
      <c r="A25" s="9" t="s">
        <v>290</v>
      </c>
      <c r="B25" s="75" t="s">
        <v>1583</v>
      </c>
      <c r="C25" s="9" t="s">
        <v>36</v>
      </c>
      <c r="D25" s="9" t="s">
        <v>1147</v>
      </c>
      <c r="E25" s="9">
        <v>80</v>
      </c>
      <c r="F25" s="10">
        <v>4872</v>
      </c>
      <c r="G25" s="10">
        <f t="shared" si="2"/>
        <v>389760</v>
      </c>
      <c r="H25" s="18">
        <v>20</v>
      </c>
      <c r="I25" s="19">
        <v>4872</v>
      </c>
      <c r="J25" s="19">
        <f t="shared" si="3"/>
        <v>97440</v>
      </c>
    </row>
    <row r="26" spans="1:10" ht="18" thickBot="1" x14ac:dyDescent="0.25">
      <c r="A26" s="9" t="s">
        <v>285</v>
      </c>
      <c r="B26" s="75" t="s">
        <v>887</v>
      </c>
      <c r="C26" s="9" t="s">
        <v>36</v>
      </c>
      <c r="D26" s="9" t="s">
        <v>302</v>
      </c>
      <c r="E26" s="9">
        <v>25</v>
      </c>
      <c r="F26" s="10">
        <v>14848</v>
      </c>
      <c r="G26" s="10">
        <f t="shared" si="2"/>
        <v>371200</v>
      </c>
      <c r="H26" s="18">
        <v>6</v>
      </c>
      <c r="I26" s="19">
        <v>14848</v>
      </c>
      <c r="J26" s="19">
        <f t="shared" si="3"/>
        <v>89088</v>
      </c>
    </row>
    <row r="27" spans="1:10" ht="18" thickBot="1" x14ac:dyDescent="0.25">
      <c r="A27" s="9" t="s">
        <v>240</v>
      </c>
      <c r="B27" s="75" t="s">
        <v>1524</v>
      </c>
      <c r="C27" s="9" t="s">
        <v>36</v>
      </c>
      <c r="D27" s="9" t="s">
        <v>411</v>
      </c>
      <c r="E27" s="9">
        <v>30</v>
      </c>
      <c r="F27" s="10">
        <v>7772</v>
      </c>
      <c r="G27" s="10">
        <f t="shared" si="2"/>
        <v>233160</v>
      </c>
      <c r="H27" s="18">
        <v>8</v>
      </c>
      <c r="I27" s="19">
        <v>7772</v>
      </c>
      <c r="J27" s="19">
        <f t="shared" si="3"/>
        <v>62176</v>
      </c>
    </row>
    <row r="28" spans="1:10" ht="18" thickBot="1" x14ac:dyDescent="0.25">
      <c r="A28" s="9" t="s">
        <v>285</v>
      </c>
      <c r="B28" s="75" t="s">
        <v>885</v>
      </c>
      <c r="C28" s="9" t="s">
        <v>36</v>
      </c>
      <c r="D28" s="9" t="s">
        <v>53</v>
      </c>
      <c r="E28" s="9">
        <v>25</v>
      </c>
      <c r="F28" s="10">
        <v>9512</v>
      </c>
      <c r="G28" s="10">
        <f t="shared" si="2"/>
        <v>237800</v>
      </c>
      <c r="H28" s="18">
        <v>6</v>
      </c>
      <c r="I28" s="19">
        <v>9512</v>
      </c>
      <c r="J28" s="19">
        <f t="shared" si="3"/>
        <v>57072</v>
      </c>
    </row>
    <row r="29" spans="1:10" ht="18" thickBot="1" x14ac:dyDescent="0.25">
      <c r="A29" s="9" t="s">
        <v>46</v>
      </c>
      <c r="B29" s="75" t="s">
        <v>916</v>
      </c>
      <c r="C29" s="9" t="s">
        <v>36</v>
      </c>
      <c r="D29" s="9" t="s">
        <v>54</v>
      </c>
      <c r="E29" s="9">
        <v>20</v>
      </c>
      <c r="F29" s="10">
        <v>10788</v>
      </c>
      <c r="G29" s="10">
        <f t="shared" si="2"/>
        <v>215760</v>
      </c>
      <c r="H29" s="18">
        <v>5</v>
      </c>
      <c r="I29" s="19">
        <v>10788</v>
      </c>
      <c r="J29" s="19">
        <f t="shared" si="3"/>
        <v>53940</v>
      </c>
    </row>
    <row r="30" spans="1:10" ht="18" thickBot="1" x14ac:dyDescent="0.25">
      <c r="A30" s="9" t="s">
        <v>140</v>
      </c>
      <c r="B30" s="75" t="s">
        <v>862</v>
      </c>
      <c r="C30" s="9" t="s">
        <v>36</v>
      </c>
      <c r="D30" s="9" t="s">
        <v>1104</v>
      </c>
      <c r="E30" s="9">
        <v>15</v>
      </c>
      <c r="F30" s="10">
        <v>6496</v>
      </c>
      <c r="G30" s="10">
        <f t="shared" si="2"/>
        <v>97440</v>
      </c>
      <c r="H30" s="18">
        <v>4</v>
      </c>
      <c r="I30" s="19">
        <v>6496</v>
      </c>
      <c r="J30" s="19">
        <f t="shared" si="3"/>
        <v>25984</v>
      </c>
    </row>
    <row r="31" spans="1:10" ht="18" thickBot="1" x14ac:dyDescent="0.25">
      <c r="A31" s="9" t="s">
        <v>243</v>
      </c>
      <c r="B31" s="75" t="s">
        <v>884</v>
      </c>
      <c r="C31" s="9" t="s">
        <v>36</v>
      </c>
      <c r="D31" s="9" t="s">
        <v>125</v>
      </c>
      <c r="E31" s="9">
        <v>30</v>
      </c>
      <c r="F31" s="10">
        <v>6032</v>
      </c>
      <c r="G31" s="10">
        <f t="shared" si="2"/>
        <v>180960</v>
      </c>
      <c r="H31" s="18">
        <v>7</v>
      </c>
      <c r="I31" s="19">
        <v>6032</v>
      </c>
      <c r="J31" s="19">
        <f t="shared" si="3"/>
        <v>42224</v>
      </c>
    </row>
    <row r="32" spans="1:10" ht="18" thickBot="1" x14ac:dyDescent="0.25">
      <c r="A32" s="9" t="s">
        <v>1176</v>
      </c>
      <c r="B32" s="75" t="s">
        <v>879</v>
      </c>
      <c r="C32" s="9" t="s">
        <v>36</v>
      </c>
      <c r="D32" s="9" t="s">
        <v>264</v>
      </c>
      <c r="E32" s="9">
        <v>92</v>
      </c>
      <c r="F32" s="10">
        <v>136764</v>
      </c>
      <c r="G32" s="10">
        <f t="shared" si="2"/>
        <v>12582288</v>
      </c>
      <c r="H32" s="18">
        <v>72</v>
      </c>
      <c r="I32" s="19">
        <v>136764</v>
      </c>
      <c r="J32" s="19">
        <f t="shared" si="3"/>
        <v>9847008</v>
      </c>
    </row>
    <row r="33" spans="1:10" ht="18" thickBot="1" x14ac:dyDescent="0.25">
      <c r="A33" s="9" t="s">
        <v>283</v>
      </c>
      <c r="B33" s="75" t="s">
        <v>1584</v>
      </c>
      <c r="C33" s="9" t="s">
        <v>36</v>
      </c>
      <c r="D33" s="9" t="s">
        <v>1138</v>
      </c>
      <c r="E33" s="9">
        <v>20</v>
      </c>
      <c r="F33" s="10">
        <v>6380</v>
      </c>
      <c r="G33" s="10">
        <f t="shared" si="2"/>
        <v>127600</v>
      </c>
      <c r="H33" s="18">
        <v>6</v>
      </c>
      <c r="I33" s="19">
        <v>6380</v>
      </c>
      <c r="J33" s="19">
        <f t="shared" si="3"/>
        <v>38280</v>
      </c>
    </row>
    <row r="34" spans="1:10" ht="17" thickBot="1" x14ac:dyDescent="0.25">
      <c r="A34" s="2"/>
      <c r="B34" s="4"/>
      <c r="C34" s="2"/>
      <c r="D34" s="2"/>
      <c r="E34" s="2"/>
      <c r="F34" s="2"/>
      <c r="G34" s="103">
        <f>SUM(G17:G33)</f>
        <v>16906066.199999999</v>
      </c>
      <c r="H34" s="2"/>
      <c r="I34" s="2"/>
      <c r="J34" s="114">
        <f>SUM(J17:J33)</f>
        <v>10975815.6</v>
      </c>
    </row>
    <row r="35" spans="1:10" x14ac:dyDescent="0.2">
      <c r="A35" s="4"/>
      <c r="B35" s="4"/>
      <c r="C35" s="2"/>
      <c r="D35" s="2"/>
      <c r="E35" s="2"/>
      <c r="F35" s="3"/>
      <c r="G35" s="3"/>
      <c r="H35" s="38"/>
      <c r="I35" s="3"/>
      <c r="J35" s="1"/>
    </row>
    <row r="36" spans="1:10" ht="18" thickBot="1" x14ac:dyDescent="0.25">
      <c r="A36" s="7" t="s">
        <v>1554</v>
      </c>
      <c r="B36" s="2" t="s">
        <v>1256</v>
      </c>
      <c r="C36" s="2" t="s">
        <v>1255</v>
      </c>
      <c r="D36" s="2"/>
      <c r="E36" s="3"/>
      <c r="F36" s="3"/>
      <c r="G36" s="3"/>
      <c r="H36" s="38"/>
      <c r="I36" s="3"/>
      <c r="J36" s="1"/>
    </row>
    <row r="37" spans="1:10" ht="18" thickBot="1" x14ac:dyDescent="0.25">
      <c r="A37" s="8" t="s">
        <v>74</v>
      </c>
      <c r="B37" s="75" t="s">
        <v>1584</v>
      </c>
      <c r="C37" s="9" t="s">
        <v>36</v>
      </c>
      <c r="D37" s="35" t="s">
        <v>1138</v>
      </c>
      <c r="E37" s="9">
        <v>20</v>
      </c>
      <c r="F37" s="10">
        <v>6380</v>
      </c>
      <c r="G37" s="124">
        <f t="shared" ref="G37:G55" si="4">F37*E37</f>
        <v>127600</v>
      </c>
      <c r="H37" s="18">
        <v>5</v>
      </c>
      <c r="I37" s="19">
        <v>6380</v>
      </c>
      <c r="J37" s="19">
        <f t="shared" ref="J37:J55" si="5">I37*H37</f>
        <v>31900</v>
      </c>
    </row>
    <row r="38" spans="1:10" ht="18" thickBot="1" x14ac:dyDescent="0.25">
      <c r="A38" s="8" t="s">
        <v>140</v>
      </c>
      <c r="B38" s="76" t="s">
        <v>1344</v>
      </c>
      <c r="C38" s="9" t="s">
        <v>36</v>
      </c>
      <c r="D38" s="35" t="s">
        <v>779</v>
      </c>
      <c r="E38" s="9">
        <v>15</v>
      </c>
      <c r="F38" s="10">
        <v>8700</v>
      </c>
      <c r="G38" s="124">
        <f t="shared" si="4"/>
        <v>130500</v>
      </c>
      <c r="H38" s="18">
        <v>4</v>
      </c>
      <c r="I38" s="19">
        <v>8700</v>
      </c>
      <c r="J38" s="19">
        <f t="shared" si="5"/>
        <v>34800</v>
      </c>
    </row>
    <row r="39" spans="1:10" ht="18" thickBot="1" x14ac:dyDescent="0.25">
      <c r="A39" s="8" t="s">
        <v>392</v>
      </c>
      <c r="B39" s="76" t="s">
        <v>1585</v>
      </c>
      <c r="C39" s="9" t="s">
        <v>36</v>
      </c>
      <c r="D39" s="9" t="s">
        <v>1363</v>
      </c>
      <c r="E39" s="9">
        <v>20</v>
      </c>
      <c r="F39" s="10">
        <v>9082.7999999999993</v>
      </c>
      <c r="G39" s="124">
        <f t="shared" si="4"/>
        <v>181656</v>
      </c>
      <c r="H39" s="18">
        <v>5</v>
      </c>
      <c r="I39" s="19">
        <v>9082.7999999999993</v>
      </c>
      <c r="J39" s="19">
        <f t="shared" si="5"/>
        <v>45414</v>
      </c>
    </row>
    <row r="40" spans="1:10" ht="18" thickBot="1" x14ac:dyDescent="0.25">
      <c r="A40" s="8" t="s">
        <v>115</v>
      </c>
      <c r="B40" s="76" t="s">
        <v>885</v>
      </c>
      <c r="C40" s="9" t="s">
        <v>36</v>
      </c>
      <c r="D40" s="35" t="s">
        <v>53</v>
      </c>
      <c r="E40" s="9">
        <v>30</v>
      </c>
      <c r="F40" s="10">
        <v>8468</v>
      </c>
      <c r="G40" s="124">
        <f t="shared" si="4"/>
        <v>254040</v>
      </c>
      <c r="H40" s="143">
        <v>8</v>
      </c>
      <c r="I40" s="19">
        <v>8468</v>
      </c>
      <c r="J40" s="19">
        <f t="shared" si="5"/>
        <v>67744</v>
      </c>
    </row>
    <row r="41" spans="1:10" ht="18" thickBot="1" x14ac:dyDescent="0.25">
      <c r="A41" s="8" t="s">
        <v>74</v>
      </c>
      <c r="B41" s="76" t="s">
        <v>842</v>
      </c>
      <c r="C41" s="9" t="s">
        <v>36</v>
      </c>
      <c r="D41" s="35" t="s">
        <v>311</v>
      </c>
      <c r="E41" s="9">
        <v>20</v>
      </c>
      <c r="F41" s="10">
        <v>9628</v>
      </c>
      <c r="G41" s="124">
        <f t="shared" si="4"/>
        <v>192560</v>
      </c>
      <c r="H41" s="18">
        <v>5</v>
      </c>
      <c r="I41" s="19">
        <v>9628</v>
      </c>
      <c r="J41" s="19">
        <f t="shared" si="5"/>
        <v>48140</v>
      </c>
    </row>
    <row r="42" spans="1:10" ht="18" thickBot="1" x14ac:dyDescent="0.25">
      <c r="A42" s="8" t="s">
        <v>60</v>
      </c>
      <c r="B42" s="76" t="s">
        <v>972</v>
      </c>
      <c r="C42" s="9" t="s">
        <v>36</v>
      </c>
      <c r="D42" s="35" t="s">
        <v>666</v>
      </c>
      <c r="E42" s="9">
        <v>40</v>
      </c>
      <c r="F42" s="10">
        <v>8584</v>
      </c>
      <c r="G42" s="124">
        <f t="shared" si="4"/>
        <v>343360</v>
      </c>
      <c r="H42" s="18">
        <v>8</v>
      </c>
      <c r="I42" s="19">
        <v>8584</v>
      </c>
      <c r="J42" s="19">
        <f t="shared" si="5"/>
        <v>68672</v>
      </c>
    </row>
    <row r="43" spans="1:10" ht="18" thickBot="1" x14ac:dyDescent="0.25">
      <c r="A43" s="8" t="s">
        <v>60</v>
      </c>
      <c r="B43" s="76" t="s">
        <v>1586</v>
      </c>
      <c r="C43" s="9" t="s">
        <v>36</v>
      </c>
      <c r="D43" s="9" t="s">
        <v>1303</v>
      </c>
      <c r="E43" s="9">
        <v>20</v>
      </c>
      <c r="F43" s="10">
        <v>6380</v>
      </c>
      <c r="G43" s="124">
        <f t="shared" si="4"/>
        <v>127600</v>
      </c>
      <c r="H43" s="18">
        <v>5</v>
      </c>
      <c r="I43" s="19">
        <v>6380</v>
      </c>
      <c r="J43" s="19">
        <f t="shared" si="5"/>
        <v>31900</v>
      </c>
    </row>
    <row r="44" spans="1:10" ht="18" thickBot="1" x14ac:dyDescent="0.25">
      <c r="A44" s="8" t="s">
        <v>334</v>
      </c>
      <c r="B44" s="76" t="s">
        <v>1560</v>
      </c>
      <c r="C44" s="9" t="s">
        <v>36</v>
      </c>
      <c r="D44" s="35" t="s">
        <v>1104</v>
      </c>
      <c r="E44" s="9">
        <v>30</v>
      </c>
      <c r="F44" s="10">
        <v>6496</v>
      </c>
      <c r="G44" s="124">
        <f t="shared" si="4"/>
        <v>194880</v>
      </c>
      <c r="H44" s="18">
        <v>8</v>
      </c>
      <c r="I44" s="19">
        <v>6496</v>
      </c>
      <c r="J44" s="19">
        <f t="shared" si="5"/>
        <v>51968</v>
      </c>
    </row>
    <row r="45" spans="1:10" ht="18" thickBot="1" x14ac:dyDescent="0.25">
      <c r="A45" s="8" t="s">
        <v>740</v>
      </c>
      <c r="B45" s="76" t="s">
        <v>855</v>
      </c>
      <c r="C45" s="9" t="s">
        <v>36</v>
      </c>
      <c r="D45" s="35" t="s">
        <v>1111</v>
      </c>
      <c r="E45" s="9">
        <v>91</v>
      </c>
      <c r="F45" s="10">
        <v>14262.199999999999</v>
      </c>
      <c r="G45" s="124">
        <f t="shared" si="4"/>
        <v>1297860.2</v>
      </c>
      <c r="H45" s="18">
        <v>24</v>
      </c>
      <c r="I45" s="19">
        <v>14262.199999999999</v>
      </c>
      <c r="J45" s="19">
        <f t="shared" si="5"/>
        <v>342292.8</v>
      </c>
    </row>
    <row r="46" spans="1:10" ht="18" thickBot="1" x14ac:dyDescent="0.25">
      <c r="A46" s="8" t="s">
        <v>642</v>
      </c>
      <c r="B46" s="76" t="s">
        <v>1564</v>
      </c>
      <c r="C46" s="9" t="s">
        <v>36</v>
      </c>
      <c r="D46" s="35" t="s">
        <v>1364</v>
      </c>
      <c r="E46" s="9">
        <v>100</v>
      </c>
      <c r="F46" s="10">
        <v>4408</v>
      </c>
      <c r="G46" s="124">
        <f t="shared" si="4"/>
        <v>440800</v>
      </c>
      <c r="H46" s="18">
        <v>25</v>
      </c>
      <c r="I46" s="19">
        <v>4408</v>
      </c>
      <c r="J46" s="19">
        <f t="shared" si="5"/>
        <v>110200</v>
      </c>
    </row>
    <row r="47" spans="1:10" ht="18" thickBot="1" x14ac:dyDescent="0.25">
      <c r="A47" s="8" t="s">
        <v>61</v>
      </c>
      <c r="B47" s="76" t="s">
        <v>1524</v>
      </c>
      <c r="C47" s="9" t="s">
        <v>36</v>
      </c>
      <c r="D47" s="123" t="s">
        <v>411</v>
      </c>
      <c r="E47" s="9">
        <v>20</v>
      </c>
      <c r="F47" s="10">
        <v>1942.9999999999998</v>
      </c>
      <c r="G47" s="124">
        <f t="shared" si="4"/>
        <v>38859.999999999993</v>
      </c>
      <c r="H47" s="18">
        <v>5</v>
      </c>
      <c r="I47" s="19">
        <v>1942.9999999999998</v>
      </c>
      <c r="J47" s="19">
        <f t="shared" si="5"/>
        <v>9714.9999999999982</v>
      </c>
    </row>
    <row r="48" spans="1:10" ht="18" thickBot="1" x14ac:dyDescent="0.25">
      <c r="A48" s="8" t="s">
        <v>344</v>
      </c>
      <c r="B48" s="76" t="s">
        <v>884</v>
      </c>
      <c r="C48" s="9" t="s">
        <v>4</v>
      </c>
      <c r="D48" s="35" t="s">
        <v>125</v>
      </c>
      <c r="E48" s="9">
        <v>20</v>
      </c>
      <c r="F48" s="10">
        <v>6032</v>
      </c>
      <c r="G48" s="124">
        <f t="shared" si="4"/>
        <v>120640</v>
      </c>
      <c r="H48" s="18">
        <v>5</v>
      </c>
      <c r="I48" s="19">
        <v>6032</v>
      </c>
      <c r="J48" s="19">
        <f t="shared" si="5"/>
        <v>30160</v>
      </c>
    </row>
    <row r="49" spans="1:13" ht="18" thickBot="1" x14ac:dyDescent="0.25">
      <c r="A49" s="8" t="s">
        <v>405</v>
      </c>
      <c r="B49" s="76" t="s">
        <v>835</v>
      </c>
      <c r="C49" s="9" t="s">
        <v>36</v>
      </c>
      <c r="D49" s="57" t="s">
        <v>297</v>
      </c>
      <c r="E49" s="9">
        <v>25</v>
      </c>
      <c r="F49" s="10">
        <v>2900</v>
      </c>
      <c r="G49" s="124">
        <f t="shared" si="4"/>
        <v>72500</v>
      </c>
      <c r="H49" s="18">
        <v>6</v>
      </c>
      <c r="I49" s="19">
        <v>2900</v>
      </c>
      <c r="J49" s="19">
        <f t="shared" si="5"/>
        <v>17400</v>
      </c>
    </row>
    <row r="50" spans="1:13" ht="18" thickBot="1" x14ac:dyDescent="0.25">
      <c r="A50" s="8" t="s">
        <v>115</v>
      </c>
      <c r="B50" s="76" t="s">
        <v>887</v>
      </c>
      <c r="C50" s="9" t="s">
        <v>36</v>
      </c>
      <c r="D50" s="35" t="s">
        <v>302</v>
      </c>
      <c r="E50" s="9">
        <v>15</v>
      </c>
      <c r="F50" s="10">
        <v>14847.999999999998</v>
      </c>
      <c r="G50" s="124">
        <f t="shared" si="4"/>
        <v>222719.99999999997</v>
      </c>
      <c r="H50" s="18">
        <v>4</v>
      </c>
      <c r="I50" s="19">
        <v>14847.999999999998</v>
      </c>
      <c r="J50" s="19">
        <f t="shared" si="5"/>
        <v>59391.999999999993</v>
      </c>
    </row>
    <row r="51" spans="1:13" ht="18" thickBot="1" x14ac:dyDescent="0.25">
      <c r="A51" s="8" t="s">
        <v>60</v>
      </c>
      <c r="B51" s="76" t="s">
        <v>850</v>
      </c>
      <c r="C51" s="9" t="s">
        <v>36</v>
      </c>
      <c r="D51" s="35" t="s">
        <v>346</v>
      </c>
      <c r="E51" s="9">
        <v>15</v>
      </c>
      <c r="F51" s="10">
        <v>15891.999999999998</v>
      </c>
      <c r="G51" s="124">
        <f t="shared" si="4"/>
        <v>238379.99999999997</v>
      </c>
      <c r="H51" s="18">
        <v>4</v>
      </c>
      <c r="I51" s="19">
        <v>15891.999999999998</v>
      </c>
      <c r="J51" s="19">
        <f t="shared" si="5"/>
        <v>63567.999999999993</v>
      </c>
    </row>
    <row r="52" spans="1:13" ht="18" thickBot="1" x14ac:dyDescent="0.25">
      <c r="A52" s="8" t="s">
        <v>76</v>
      </c>
      <c r="B52" s="76" t="s">
        <v>857</v>
      </c>
      <c r="C52" s="9" t="s">
        <v>36</v>
      </c>
      <c r="D52" s="35" t="s">
        <v>163</v>
      </c>
      <c r="E52" s="9">
        <v>30</v>
      </c>
      <c r="F52" s="10">
        <v>5220</v>
      </c>
      <c r="G52" s="124">
        <f t="shared" si="4"/>
        <v>156600</v>
      </c>
      <c r="H52" s="18">
        <v>7</v>
      </c>
      <c r="I52" s="19">
        <v>5220</v>
      </c>
      <c r="J52" s="19">
        <f t="shared" si="5"/>
        <v>36540</v>
      </c>
    </row>
    <row r="53" spans="1:13" ht="18" thickBot="1" x14ac:dyDescent="0.25">
      <c r="A53" s="8" t="s">
        <v>76</v>
      </c>
      <c r="B53" s="76" t="s">
        <v>1346</v>
      </c>
      <c r="C53" s="9" t="s">
        <v>36</v>
      </c>
      <c r="D53" s="35" t="s">
        <v>1365</v>
      </c>
      <c r="E53" s="9">
        <v>20</v>
      </c>
      <c r="F53" s="10">
        <v>5452</v>
      </c>
      <c r="G53" s="124">
        <f t="shared" si="4"/>
        <v>109040</v>
      </c>
      <c r="H53" s="18">
        <v>5</v>
      </c>
      <c r="I53" s="19">
        <v>5452</v>
      </c>
      <c r="J53" s="19">
        <f t="shared" si="5"/>
        <v>27260</v>
      </c>
    </row>
    <row r="54" spans="1:13" ht="18" thickBot="1" x14ac:dyDescent="0.25">
      <c r="A54" s="8" t="s">
        <v>48</v>
      </c>
      <c r="B54" s="76" t="s">
        <v>916</v>
      </c>
      <c r="C54" s="9" t="s">
        <v>36</v>
      </c>
      <c r="D54" s="35" t="s">
        <v>54</v>
      </c>
      <c r="E54" s="9">
        <v>15</v>
      </c>
      <c r="F54" s="10">
        <v>9048</v>
      </c>
      <c r="G54" s="124">
        <f t="shared" si="4"/>
        <v>135720</v>
      </c>
      <c r="H54" s="18">
        <v>4</v>
      </c>
      <c r="I54" s="19">
        <v>9048</v>
      </c>
      <c r="J54" s="19">
        <f t="shared" si="5"/>
        <v>36192</v>
      </c>
    </row>
    <row r="55" spans="1:13" ht="18" thickBot="1" x14ac:dyDescent="0.25">
      <c r="A55" s="8" t="s">
        <v>342</v>
      </c>
      <c r="B55" s="76"/>
      <c r="C55" s="9" t="s">
        <v>36</v>
      </c>
      <c r="D55" s="9" t="s">
        <v>1366</v>
      </c>
      <c r="E55" s="9">
        <v>680</v>
      </c>
      <c r="F55" s="10">
        <v>1786.3999999999999</v>
      </c>
      <c r="G55" s="124">
        <f t="shared" si="4"/>
        <v>1214752</v>
      </c>
      <c r="H55" s="18"/>
      <c r="I55" s="19">
        <v>1786.3999999999999</v>
      </c>
      <c r="J55" s="19">
        <f t="shared" si="5"/>
        <v>0</v>
      </c>
    </row>
    <row r="56" spans="1:13" ht="17" thickBot="1" x14ac:dyDescent="0.25">
      <c r="A56" s="4"/>
      <c r="C56" s="2"/>
      <c r="D56" s="2"/>
      <c r="E56" s="2"/>
      <c r="F56" s="3"/>
      <c r="G56" s="12">
        <f>SUM(G37:G55)</f>
        <v>5600068.2000000002</v>
      </c>
      <c r="H56" s="2"/>
      <c r="I56" s="2"/>
      <c r="J56" s="114">
        <f>SUM(J37:J55)</f>
        <v>1113257.8</v>
      </c>
    </row>
    <row r="57" spans="1:13" ht="18" thickBot="1" x14ac:dyDescent="0.25">
      <c r="A57" s="7" t="s">
        <v>1387</v>
      </c>
      <c r="C57" s="2"/>
      <c r="D57" s="2"/>
      <c r="E57" s="3"/>
      <c r="F57" s="3"/>
      <c r="G57" s="2"/>
      <c r="H57" s="2"/>
      <c r="J57" s="1"/>
    </row>
    <row r="58" spans="1:13" ht="17" thickBot="1" x14ac:dyDescent="0.25">
      <c r="A58" s="35" t="s">
        <v>282</v>
      </c>
      <c r="B58" s="149"/>
      <c r="C58" s="122" t="s">
        <v>1935</v>
      </c>
      <c r="D58" s="9" t="s">
        <v>337</v>
      </c>
      <c r="E58" s="9">
        <v>280</v>
      </c>
      <c r="F58" s="10">
        <v>3770</v>
      </c>
      <c r="G58" s="124">
        <f t="shared" ref="G58:G75" si="6">F58*E58</f>
        <v>1055600</v>
      </c>
      <c r="H58" s="18"/>
      <c r="I58" s="19">
        <v>3770</v>
      </c>
      <c r="J58" s="19">
        <f t="shared" ref="J58:J75" si="7">I58*H58</f>
        <v>0</v>
      </c>
      <c r="K58" s="92"/>
      <c r="L58" s="93">
        <v>3770</v>
      </c>
      <c r="M58" s="247">
        <f t="shared" ref="M58:M75" si="8">L58*K58</f>
        <v>0</v>
      </c>
    </row>
    <row r="59" spans="1:13" ht="17" thickBot="1" x14ac:dyDescent="0.25">
      <c r="A59" s="9" t="s">
        <v>1155</v>
      </c>
      <c r="B59" s="149"/>
      <c r="C59" s="122" t="s">
        <v>1934</v>
      </c>
      <c r="D59" s="9" t="s">
        <v>1366</v>
      </c>
      <c r="E59" s="9">
        <v>3240</v>
      </c>
      <c r="F59" s="10">
        <v>1699.4</v>
      </c>
      <c r="G59" s="124">
        <f t="shared" si="6"/>
        <v>5506056</v>
      </c>
      <c r="H59" s="18"/>
      <c r="I59" s="19">
        <v>1699.4</v>
      </c>
      <c r="J59" s="19">
        <f t="shared" si="7"/>
        <v>0</v>
      </c>
      <c r="K59" s="92"/>
      <c r="L59" s="93">
        <v>1699.4</v>
      </c>
      <c r="M59" s="247">
        <f t="shared" si="8"/>
        <v>0</v>
      </c>
    </row>
    <row r="60" spans="1:13" ht="17" thickBot="1" x14ac:dyDescent="0.25">
      <c r="A60" s="9" t="s">
        <v>220</v>
      </c>
      <c r="B60" s="149"/>
      <c r="C60" s="122" t="s">
        <v>1934</v>
      </c>
      <c r="D60" s="9" t="s">
        <v>1366</v>
      </c>
      <c r="E60" s="9">
        <v>1000</v>
      </c>
      <c r="F60" s="10">
        <v>1745.8</v>
      </c>
      <c r="G60" s="124">
        <f t="shared" si="6"/>
        <v>1745800</v>
      </c>
      <c r="H60" s="18"/>
      <c r="I60" s="19">
        <v>1745.8</v>
      </c>
      <c r="J60" s="19">
        <f t="shared" si="7"/>
        <v>0</v>
      </c>
      <c r="K60" s="92"/>
      <c r="L60" s="93">
        <v>1745.8</v>
      </c>
      <c r="M60" s="247">
        <f t="shared" si="8"/>
        <v>0</v>
      </c>
    </row>
    <row r="61" spans="1:13" ht="17" thickBot="1" x14ac:dyDescent="0.25">
      <c r="A61" s="9" t="s">
        <v>239</v>
      </c>
      <c r="B61" s="149"/>
      <c r="C61" s="122" t="s">
        <v>1750</v>
      </c>
      <c r="D61" s="9" t="s">
        <v>1367</v>
      </c>
      <c r="E61" s="9">
        <v>210</v>
      </c>
      <c r="F61" s="10">
        <v>2610</v>
      </c>
      <c r="G61" s="124">
        <f t="shared" si="6"/>
        <v>548100</v>
      </c>
      <c r="H61" s="18"/>
      <c r="I61" s="19">
        <v>2610</v>
      </c>
      <c r="J61" s="19">
        <f t="shared" si="7"/>
        <v>0</v>
      </c>
      <c r="K61" s="92"/>
      <c r="L61" s="93">
        <v>2610</v>
      </c>
      <c r="M61" s="247">
        <f t="shared" si="8"/>
        <v>0</v>
      </c>
    </row>
    <row r="62" spans="1:13" ht="17" thickBot="1" x14ac:dyDescent="0.25">
      <c r="A62" s="9" t="s">
        <v>282</v>
      </c>
      <c r="B62" s="149"/>
      <c r="C62" s="122" t="s">
        <v>1937</v>
      </c>
      <c r="D62" s="9" t="s">
        <v>1368</v>
      </c>
      <c r="E62" s="9">
        <v>280</v>
      </c>
      <c r="F62" s="10">
        <v>3364</v>
      </c>
      <c r="G62" s="124">
        <f t="shared" si="6"/>
        <v>941920</v>
      </c>
      <c r="H62" s="18"/>
      <c r="I62" s="19">
        <v>3364</v>
      </c>
      <c r="J62" s="19">
        <f t="shared" si="7"/>
        <v>0</v>
      </c>
      <c r="K62" s="92">
        <v>35</v>
      </c>
      <c r="L62" s="93">
        <v>3364</v>
      </c>
      <c r="M62" s="247">
        <f t="shared" si="8"/>
        <v>117740</v>
      </c>
    </row>
    <row r="63" spans="1:13" ht="17" thickBot="1" x14ac:dyDescent="0.25">
      <c r="A63" s="9" t="s">
        <v>239</v>
      </c>
      <c r="B63" s="149"/>
      <c r="C63" s="122" t="s">
        <v>1758</v>
      </c>
      <c r="D63" s="9" t="s">
        <v>1369</v>
      </c>
      <c r="E63" s="9">
        <v>280</v>
      </c>
      <c r="F63" s="10">
        <v>754</v>
      </c>
      <c r="G63" s="124">
        <f t="shared" si="6"/>
        <v>211120</v>
      </c>
      <c r="H63" s="18"/>
      <c r="I63" s="19">
        <v>754</v>
      </c>
      <c r="J63" s="19">
        <f t="shared" si="7"/>
        <v>0</v>
      </c>
      <c r="K63" s="92"/>
      <c r="L63" s="93">
        <v>754</v>
      </c>
      <c r="M63" s="247">
        <f t="shared" si="8"/>
        <v>0</v>
      </c>
    </row>
    <row r="64" spans="1:13" ht="17" thickBot="1" x14ac:dyDescent="0.25">
      <c r="A64" s="127" t="s">
        <v>220</v>
      </c>
      <c r="B64" s="149" t="s">
        <v>911</v>
      </c>
      <c r="C64" s="122" t="s">
        <v>1759</v>
      </c>
      <c r="D64" s="9" t="s">
        <v>306</v>
      </c>
      <c r="E64" s="9">
        <v>80</v>
      </c>
      <c r="F64" s="10">
        <v>136764</v>
      </c>
      <c r="G64" s="124">
        <f t="shared" si="6"/>
        <v>10941120</v>
      </c>
      <c r="H64" s="18">
        <v>80</v>
      </c>
      <c r="I64" s="19">
        <v>136764</v>
      </c>
      <c r="J64" s="19">
        <f t="shared" si="7"/>
        <v>10941120</v>
      </c>
      <c r="K64" s="92"/>
      <c r="L64" s="93">
        <v>136764</v>
      </c>
      <c r="M64" s="247">
        <f t="shared" si="8"/>
        <v>0</v>
      </c>
    </row>
    <row r="65" spans="1:13" ht="17" thickBot="1" x14ac:dyDescent="0.25">
      <c r="A65" s="9" t="s">
        <v>289</v>
      </c>
      <c r="B65" s="149"/>
      <c r="C65" s="122" t="s">
        <v>1756</v>
      </c>
      <c r="D65" s="9" t="s">
        <v>1370</v>
      </c>
      <c r="E65" s="9">
        <v>280</v>
      </c>
      <c r="F65" s="10">
        <v>3828</v>
      </c>
      <c r="G65" s="124">
        <f t="shared" si="6"/>
        <v>1071840</v>
      </c>
      <c r="H65" s="18"/>
      <c r="I65" s="19">
        <v>3828</v>
      </c>
      <c r="J65" s="19">
        <f t="shared" si="7"/>
        <v>0</v>
      </c>
      <c r="K65" s="92">
        <v>32</v>
      </c>
      <c r="L65" s="93">
        <v>3828</v>
      </c>
      <c r="M65" s="247">
        <f t="shared" si="8"/>
        <v>122496</v>
      </c>
    </row>
    <row r="66" spans="1:13" ht="17" thickBot="1" x14ac:dyDescent="0.25">
      <c r="A66" s="9" t="s">
        <v>289</v>
      </c>
      <c r="B66" s="149"/>
      <c r="C66" s="122" t="s">
        <v>1755</v>
      </c>
      <c r="D66" s="9" t="s">
        <v>66</v>
      </c>
      <c r="E66" s="9">
        <v>280</v>
      </c>
      <c r="F66" s="10">
        <v>2784</v>
      </c>
      <c r="G66" s="124">
        <f t="shared" si="6"/>
        <v>779520</v>
      </c>
      <c r="H66" s="18"/>
      <c r="I66" s="19">
        <v>2784</v>
      </c>
      <c r="J66" s="19">
        <f t="shared" si="7"/>
        <v>0</v>
      </c>
      <c r="K66" s="92">
        <v>49</v>
      </c>
      <c r="L66" s="93">
        <v>2784</v>
      </c>
      <c r="M66" s="247">
        <f t="shared" si="8"/>
        <v>136416</v>
      </c>
    </row>
    <row r="67" spans="1:13" ht="17" thickBot="1" x14ac:dyDescent="0.25">
      <c r="A67" s="35" t="s">
        <v>282</v>
      </c>
      <c r="B67" s="149" t="s">
        <v>1779</v>
      </c>
      <c r="C67" s="122" t="s">
        <v>1936</v>
      </c>
      <c r="D67" s="9" t="s">
        <v>337</v>
      </c>
      <c r="E67" s="9">
        <v>280</v>
      </c>
      <c r="F67" s="10">
        <v>2577.52</v>
      </c>
      <c r="G67" s="124">
        <f t="shared" si="6"/>
        <v>721705.6</v>
      </c>
      <c r="H67" s="18"/>
      <c r="I67" s="19">
        <v>2577.52</v>
      </c>
      <c r="J67" s="19">
        <f t="shared" si="7"/>
        <v>0</v>
      </c>
      <c r="K67" s="92"/>
      <c r="L67" s="93">
        <v>2577.52</v>
      </c>
      <c r="M67" s="247">
        <f t="shared" si="8"/>
        <v>0</v>
      </c>
    </row>
    <row r="68" spans="1:13" ht="17" thickBot="1" x14ac:dyDescent="0.25">
      <c r="A68" s="35" t="s">
        <v>45</v>
      </c>
      <c r="B68" s="149"/>
      <c r="C68" s="122" t="s">
        <v>1748</v>
      </c>
      <c r="D68" s="9" t="s">
        <v>1216</v>
      </c>
      <c r="E68" s="9">
        <v>560</v>
      </c>
      <c r="F68" s="10">
        <v>4582</v>
      </c>
      <c r="G68" s="124">
        <f t="shared" si="6"/>
        <v>2565920</v>
      </c>
      <c r="H68" s="18"/>
      <c r="I68" s="19">
        <v>4582</v>
      </c>
      <c r="J68" s="19">
        <f t="shared" si="7"/>
        <v>0</v>
      </c>
      <c r="K68" s="92">
        <v>20</v>
      </c>
      <c r="L68" s="93">
        <v>4582</v>
      </c>
      <c r="M68" s="247">
        <f t="shared" si="8"/>
        <v>91640</v>
      </c>
    </row>
    <row r="69" spans="1:13" ht="17" thickBot="1" x14ac:dyDescent="0.25">
      <c r="A69" s="9" t="s">
        <v>783</v>
      </c>
      <c r="B69" s="149"/>
      <c r="C69" s="122" t="s">
        <v>1757</v>
      </c>
      <c r="D69" s="9" t="s">
        <v>643</v>
      </c>
      <c r="E69" s="9">
        <v>210</v>
      </c>
      <c r="F69" s="10">
        <v>4002</v>
      </c>
      <c r="G69" s="124">
        <f t="shared" si="6"/>
        <v>840420</v>
      </c>
      <c r="H69" s="18"/>
      <c r="I69" s="19">
        <v>4002</v>
      </c>
      <c r="J69" s="19">
        <f t="shared" si="7"/>
        <v>0</v>
      </c>
      <c r="K69" s="92">
        <v>6</v>
      </c>
      <c r="L69" s="93">
        <v>4002</v>
      </c>
      <c r="M69" s="247">
        <f t="shared" si="8"/>
        <v>24012</v>
      </c>
    </row>
    <row r="70" spans="1:13" ht="17" thickBot="1" x14ac:dyDescent="0.25">
      <c r="A70" s="9" t="s">
        <v>282</v>
      </c>
      <c r="B70" s="149"/>
      <c r="C70" s="122" t="s">
        <v>1752</v>
      </c>
      <c r="D70" s="9" t="s">
        <v>657</v>
      </c>
      <c r="E70" s="9">
        <v>280</v>
      </c>
      <c r="F70" s="10">
        <v>1392</v>
      </c>
      <c r="G70" s="124">
        <f t="shared" si="6"/>
        <v>389760</v>
      </c>
      <c r="H70" s="18"/>
      <c r="I70" s="19">
        <v>1392</v>
      </c>
      <c r="J70" s="19">
        <f t="shared" si="7"/>
        <v>0</v>
      </c>
      <c r="K70" s="92">
        <v>60</v>
      </c>
      <c r="L70" s="93">
        <v>1392</v>
      </c>
      <c r="M70" s="247">
        <f t="shared" si="8"/>
        <v>83520</v>
      </c>
    </row>
    <row r="71" spans="1:13" ht="17" thickBot="1" x14ac:dyDescent="0.25">
      <c r="A71" s="9" t="s">
        <v>282</v>
      </c>
      <c r="B71" s="149"/>
      <c r="C71" s="122" t="s">
        <v>1751</v>
      </c>
      <c r="D71" s="9" t="s">
        <v>1371</v>
      </c>
      <c r="E71" s="9">
        <v>210</v>
      </c>
      <c r="F71" s="10">
        <v>2146</v>
      </c>
      <c r="G71" s="124">
        <f t="shared" si="6"/>
        <v>450660</v>
      </c>
      <c r="H71" s="18"/>
      <c r="I71" s="19">
        <v>2146</v>
      </c>
      <c r="J71" s="19">
        <f t="shared" si="7"/>
        <v>0</v>
      </c>
      <c r="K71" s="92">
        <v>30</v>
      </c>
      <c r="L71" s="93">
        <v>2146</v>
      </c>
      <c r="M71" s="247">
        <f t="shared" si="8"/>
        <v>64380</v>
      </c>
    </row>
    <row r="72" spans="1:13" ht="17" thickBot="1" x14ac:dyDescent="0.25">
      <c r="A72" s="35" t="s">
        <v>290</v>
      </c>
      <c r="B72" s="149"/>
      <c r="C72" s="122" t="s">
        <v>1754</v>
      </c>
      <c r="D72" s="9" t="s">
        <v>1150</v>
      </c>
      <c r="E72" s="9">
        <v>280</v>
      </c>
      <c r="F72" s="10">
        <v>2876.8</v>
      </c>
      <c r="G72" s="124">
        <f t="shared" si="6"/>
        <v>805504</v>
      </c>
      <c r="H72" s="18"/>
      <c r="I72" s="19">
        <v>2876.8</v>
      </c>
      <c r="J72" s="19">
        <f t="shared" si="7"/>
        <v>0</v>
      </c>
      <c r="K72" s="92">
        <v>70</v>
      </c>
      <c r="L72" s="93">
        <v>2876.8</v>
      </c>
      <c r="M72" s="247">
        <f t="shared" si="8"/>
        <v>201376</v>
      </c>
    </row>
    <row r="73" spans="1:13" ht="17" thickBot="1" x14ac:dyDescent="0.25">
      <c r="A73" s="9" t="s">
        <v>289</v>
      </c>
      <c r="B73" s="149"/>
      <c r="C73" s="122" t="s">
        <v>1753</v>
      </c>
      <c r="D73" s="9" t="s">
        <v>1372</v>
      </c>
      <c r="E73" s="9">
        <v>280</v>
      </c>
      <c r="F73" s="10">
        <v>2030</v>
      </c>
      <c r="G73" s="124">
        <f t="shared" si="6"/>
        <v>568400</v>
      </c>
      <c r="H73" s="18"/>
      <c r="I73" s="19">
        <v>2030</v>
      </c>
      <c r="J73" s="19">
        <f t="shared" si="7"/>
        <v>0</v>
      </c>
      <c r="K73" s="92">
        <v>32</v>
      </c>
      <c r="L73" s="93">
        <v>2030</v>
      </c>
      <c r="M73" s="247">
        <f t="shared" si="8"/>
        <v>64960</v>
      </c>
    </row>
    <row r="74" spans="1:13" ht="17" thickBot="1" x14ac:dyDescent="0.25">
      <c r="A74" s="9" t="s">
        <v>220</v>
      </c>
      <c r="B74" s="149" t="s">
        <v>997</v>
      </c>
      <c r="C74" s="122" t="s">
        <v>1934</v>
      </c>
      <c r="D74" s="9" t="s">
        <v>1366</v>
      </c>
      <c r="E74" s="9">
        <v>1560</v>
      </c>
      <c r="F74" s="10">
        <v>2130.92</v>
      </c>
      <c r="G74" s="124">
        <f t="shared" si="6"/>
        <v>3324235.2</v>
      </c>
      <c r="H74" s="18"/>
      <c r="I74" s="19">
        <v>2130.92</v>
      </c>
      <c r="J74" s="19">
        <f t="shared" si="7"/>
        <v>0</v>
      </c>
      <c r="K74" s="92"/>
      <c r="L74" s="93">
        <v>2130.92</v>
      </c>
      <c r="M74" s="247">
        <f t="shared" si="8"/>
        <v>0</v>
      </c>
    </row>
    <row r="75" spans="1:13" ht="17" thickBot="1" x14ac:dyDescent="0.25">
      <c r="A75" s="35" t="s">
        <v>667</v>
      </c>
      <c r="B75" s="149"/>
      <c r="C75" s="122" t="s">
        <v>1749</v>
      </c>
      <c r="D75" s="9" t="s">
        <v>1373</v>
      </c>
      <c r="E75" s="9">
        <v>280</v>
      </c>
      <c r="F75" s="10">
        <v>1450</v>
      </c>
      <c r="G75" s="124">
        <f t="shared" si="6"/>
        <v>406000</v>
      </c>
      <c r="H75" s="18"/>
      <c r="I75" s="19">
        <v>1450</v>
      </c>
      <c r="J75" s="19">
        <f t="shared" si="7"/>
        <v>0</v>
      </c>
      <c r="K75" s="92"/>
      <c r="L75" s="93">
        <v>1450</v>
      </c>
      <c r="M75" s="247">
        <f t="shared" si="8"/>
        <v>0</v>
      </c>
    </row>
    <row r="76" spans="1:13" ht="17" thickBot="1" x14ac:dyDescent="0.25">
      <c r="B76" s="131"/>
      <c r="G76" s="103">
        <f>SUM(G58:G75)</f>
        <v>32873680.800000001</v>
      </c>
      <c r="H76" s="2"/>
      <c r="I76" s="2"/>
      <c r="J76" s="114">
        <f>SUM(J58:J75)</f>
        <v>10941120</v>
      </c>
      <c r="M76" s="170">
        <f>SUM(M58:M75)</f>
        <v>906540</v>
      </c>
    </row>
    <row r="77" spans="1:13" ht="19" thickBot="1" x14ac:dyDescent="0.25">
      <c r="A77" s="21" t="s">
        <v>380</v>
      </c>
      <c r="B77" s="21"/>
      <c r="C77" s="2" t="s">
        <v>321</v>
      </c>
      <c r="D77" s="2" t="s">
        <v>322</v>
      </c>
      <c r="E77" s="2"/>
      <c r="F77" s="3"/>
      <c r="G77" s="3"/>
      <c r="H77" s="38" t="s">
        <v>323</v>
      </c>
      <c r="I77" s="3"/>
      <c r="J77" s="3"/>
      <c r="K77" s="2"/>
    </row>
    <row r="78" spans="1:13" ht="18" thickBot="1" x14ac:dyDescent="0.25">
      <c r="A78" s="8" t="s">
        <v>47</v>
      </c>
      <c r="B78" s="75" t="s">
        <v>880</v>
      </c>
      <c r="C78" s="9" t="s">
        <v>36</v>
      </c>
      <c r="D78" s="9" t="s">
        <v>198</v>
      </c>
      <c r="E78" s="9">
        <v>3</v>
      </c>
      <c r="F78" s="20">
        <v>20300</v>
      </c>
      <c r="G78" s="20">
        <f t="shared" ref="G78:G109" si="9">E78*F78</f>
        <v>60900</v>
      </c>
      <c r="H78" s="39">
        <v>1</v>
      </c>
      <c r="I78" s="24">
        <v>20300</v>
      </c>
      <c r="J78" s="24">
        <f t="shared" ref="J78:J109" si="10">H78*I78</f>
        <v>20300</v>
      </c>
      <c r="K78" s="92"/>
      <c r="L78" s="93">
        <v>20300</v>
      </c>
      <c r="M78" s="93">
        <f t="shared" ref="M78:M109" si="11">K78*L78</f>
        <v>0</v>
      </c>
    </row>
    <row r="79" spans="1:13" ht="18" thickBot="1" x14ac:dyDescent="0.25">
      <c r="A79" s="8" t="s">
        <v>115</v>
      </c>
      <c r="B79" s="75" t="s">
        <v>885</v>
      </c>
      <c r="C79" s="9" t="s">
        <v>36</v>
      </c>
      <c r="D79" s="9" t="s">
        <v>53</v>
      </c>
      <c r="E79" s="9">
        <v>6</v>
      </c>
      <c r="F79" s="20">
        <v>11136</v>
      </c>
      <c r="G79" s="20">
        <f t="shared" si="9"/>
        <v>66816</v>
      </c>
      <c r="H79" s="39">
        <v>3</v>
      </c>
      <c r="I79" s="24">
        <v>11136</v>
      </c>
      <c r="J79" s="24">
        <f t="shared" si="10"/>
        <v>33408</v>
      </c>
      <c r="K79" s="92"/>
      <c r="L79" s="93">
        <v>11136</v>
      </c>
      <c r="M79" s="93">
        <f t="shared" si="11"/>
        <v>0</v>
      </c>
    </row>
    <row r="80" spans="1:13" ht="18" thickBot="1" x14ac:dyDescent="0.25">
      <c r="A80" s="8" t="s">
        <v>47</v>
      </c>
      <c r="B80" s="75" t="s">
        <v>886</v>
      </c>
      <c r="C80" s="9" t="s">
        <v>4</v>
      </c>
      <c r="D80" s="9" t="s">
        <v>324</v>
      </c>
      <c r="E80" s="9">
        <v>2</v>
      </c>
      <c r="F80" s="20">
        <v>7424</v>
      </c>
      <c r="G80" s="20">
        <f t="shared" si="9"/>
        <v>14848</v>
      </c>
      <c r="H80" s="39">
        <v>1</v>
      </c>
      <c r="I80" s="24">
        <v>7424</v>
      </c>
      <c r="J80" s="24">
        <f t="shared" si="10"/>
        <v>7424</v>
      </c>
      <c r="K80" s="92"/>
      <c r="L80" s="93">
        <v>7424</v>
      </c>
      <c r="M80" s="93">
        <f t="shared" si="11"/>
        <v>0</v>
      </c>
    </row>
    <row r="81" spans="1:13" ht="18" thickBot="1" x14ac:dyDescent="0.25">
      <c r="A81" s="8" t="s">
        <v>115</v>
      </c>
      <c r="B81" s="75" t="s">
        <v>887</v>
      </c>
      <c r="C81" s="9" t="s">
        <v>36</v>
      </c>
      <c r="D81" s="9" t="s">
        <v>302</v>
      </c>
      <c r="E81" s="9">
        <v>15</v>
      </c>
      <c r="F81" s="20">
        <v>15538.2</v>
      </c>
      <c r="G81" s="20">
        <f t="shared" si="9"/>
        <v>233073</v>
      </c>
      <c r="H81" s="39">
        <v>15</v>
      </c>
      <c r="I81" s="24">
        <v>15538.2</v>
      </c>
      <c r="J81" s="24">
        <f t="shared" si="10"/>
        <v>233073</v>
      </c>
      <c r="K81" s="92"/>
      <c r="L81" s="93">
        <v>15538.2</v>
      </c>
      <c r="M81" s="93">
        <f t="shared" si="11"/>
        <v>0</v>
      </c>
    </row>
    <row r="82" spans="1:13" ht="18" thickBot="1" x14ac:dyDescent="0.25">
      <c r="A82" s="8" t="s">
        <v>325</v>
      </c>
      <c r="B82" s="75" t="s">
        <v>888</v>
      </c>
      <c r="C82" s="9" t="s">
        <v>36</v>
      </c>
      <c r="D82" s="9" t="s">
        <v>326</v>
      </c>
      <c r="E82" s="9">
        <v>5</v>
      </c>
      <c r="F82" s="20">
        <v>17342</v>
      </c>
      <c r="G82" s="20">
        <f t="shared" si="9"/>
        <v>86710</v>
      </c>
      <c r="H82" s="39">
        <v>5</v>
      </c>
      <c r="I82" s="24">
        <v>17342</v>
      </c>
      <c r="J82" s="24">
        <f t="shared" si="10"/>
        <v>86710</v>
      </c>
      <c r="K82" s="92"/>
      <c r="L82" s="93">
        <v>17342</v>
      </c>
      <c r="M82" s="93">
        <f t="shared" si="11"/>
        <v>0</v>
      </c>
    </row>
    <row r="83" spans="1:13" ht="18" thickBot="1" x14ac:dyDescent="0.25">
      <c r="A83" s="8" t="s">
        <v>47</v>
      </c>
      <c r="B83" s="75" t="s">
        <v>886</v>
      </c>
      <c r="C83" s="9" t="s">
        <v>36</v>
      </c>
      <c r="D83" s="9" t="s">
        <v>324</v>
      </c>
      <c r="E83" s="9">
        <v>10</v>
      </c>
      <c r="F83" s="20">
        <v>1740</v>
      </c>
      <c r="G83" s="20">
        <f t="shared" si="9"/>
        <v>17400</v>
      </c>
      <c r="H83" s="39">
        <v>5</v>
      </c>
      <c r="I83" s="24">
        <v>1740</v>
      </c>
      <c r="J83" s="24">
        <f t="shared" si="10"/>
        <v>8700</v>
      </c>
      <c r="K83" s="92"/>
      <c r="L83" s="93">
        <v>1740</v>
      </c>
      <c r="M83" s="93">
        <f t="shared" si="11"/>
        <v>0</v>
      </c>
    </row>
    <row r="84" spans="1:13" ht="18" thickBot="1" x14ac:dyDescent="0.25">
      <c r="A84" s="8" t="s">
        <v>61</v>
      </c>
      <c r="B84" s="75" t="s">
        <v>889</v>
      </c>
      <c r="C84" s="9" t="s">
        <v>36</v>
      </c>
      <c r="D84" s="9" t="s">
        <v>303</v>
      </c>
      <c r="E84" s="9">
        <v>10</v>
      </c>
      <c r="F84" s="20">
        <v>7656</v>
      </c>
      <c r="G84" s="20">
        <f t="shared" si="9"/>
        <v>76560</v>
      </c>
      <c r="H84" s="39"/>
      <c r="I84" s="24">
        <v>7656</v>
      </c>
      <c r="J84" s="24">
        <f t="shared" si="10"/>
        <v>0</v>
      </c>
      <c r="K84" s="92"/>
      <c r="L84" s="93">
        <v>7656</v>
      </c>
      <c r="M84" s="93">
        <f t="shared" si="11"/>
        <v>0</v>
      </c>
    </row>
    <row r="85" spans="1:13" ht="18" thickBot="1" x14ac:dyDescent="0.25">
      <c r="A85" s="8" t="s">
        <v>47</v>
      </c>
      <c r="B85" s="75" t="s">
        <v>832</v>
      </c>
      <c r="C85" s="9" t="s">
        <v>36</v>
      </c>
      <c r="D85" s="9" t="s">
        <v>327</v>
      </c>
      <c r="E85" s="9">
        <v>30</v>
      </c>
      <c r="F85" s="20">
        <v>800.4</v>
      </c>
      <c r="G85" s="20">
        <f t="shared" si="9"/>
        <v>24012</v>
      </c>
      <c r="H85" s="39">
        <v>20</v>
      </c>
      <c r="I85" s="24">
        <v>800.4</v>
      </c>
      <c r="J85" s="24">
        <f t="shared" si="10"/>
        <v>16008</v>
      </c>
      <c r="K85" s="92"/>
      <c r="L85" s="93">
        <v>800.4</v>
      </c>
      <c r="M85" s="93">
        <f t="shared" si="11"/>
        <v>0</v>
      </c>
    </row>
    <row r="86" spans="1:13" ht="18" thickBot="1" x14ac:dyDescent="0.25">
      <c r="A86" s="8" t="s">
        <v>47</v>
      </c>
      <c r="B86" s="75" t="s">
        <v>890</v>
      </c>
      <c r="C86" s="9" t="s">
        <v>36</v>
      </c>
      <c r="D86" s="9" t="s">
        <v>328</v>
      </c>
      <c r="E86" s="9">
        <v>5</v>
      </c>
      <c r="F86" s="20">
        <v>20764</v>
      </c>
      <c r="G86" s="20">
        <f t="shared" si="9"/>
        <v>103820</v>
      </c>
      <c r="H86" s="39">
        <v>3</v>
      </c>
      <c r="I86" s="24">
        <v>20764</v>
      </c>
      <c r="J86" s="24">
        <f t="shared" si="10"/>
        <v>62292</v>
      </c>
      <c r="K86" s="92"/>
      <c r="L86" s="93">
        <v>20764</v>
      </c>
      <c r="M86" s="93">
        <f t="shared" si="11"/>
        <v>0</v>
      </c>
    </row>
    <row r="87" spans="1:13" ht="18" thickBot="1" x14ac:dyDescent="0.25">
      <c r="A87" s="8" t="s">
        <v>329</v>
      </c>
      <c r="B87" s="75" t="s">
        <v>883</v>
      </c>
      <c r="C87" s="9" t="s">
        <v>36</v>
      </c>
      <c r="D87" s="9" t="s">
        <v>66</v>
      </c>
      <c r="E87" s="9">
        <v>4</v>
      </c>
      <c r="F87" s="20">
        <v>8120</v>
      </c>
      <c r="G87" s="20">
        <f t="shared" si="9"/>
        <v>32480</v>
      </c>
      <c r="H87" s="39"/>
      <c r="I87" s="24">
        <v>8120</v>
      </c>
      <c r="J87" s="24">
        <f t="shared" si="10"/>
        <v>0</v>
      </c>
      <c r="K87" s="92"/>
      <c r="L87" s="93">
        <v>8120</v>
      </c>
      <c r="M87" s="93">
        <f t="shared" si="11"/>
        <v>0</v>
      </c>
    </row>
    <row r="88" spans="1:13" ht="18" thickBot="1" x14ac:dyDescent="0.25">
      <c r="A88" s="8" t="s">
        <v>47</v>
      </c>
      <c r="B88" s="75" t="s">
        <v>891</v>
      </c>
      <c r="C88" s="9" t="s">
        <v>36</v>
      </c>
      <c r="D88" s="9" t="s">
        <v>330</v>
      </c>
      <c r="E88" s="9">
        <v>10</v>
      </c>
      <c r="F88" s="20">
        <v>1740</v>
      </c>
      <c r="G88" s="20">
        <f t="shared" si="9"/>
        <v>17400</v>
      </c>
      <c r="H88" s="39"/>
      <c r="I88" s="24">
        <v>1740</v>
      </c>
      <c r="J88" s="24">
        <f t="shared" si="10"/>
        <v>0</v>
      </c>
      <c r="K88" s="92"/>
      <c r="L88" s="93">
        <v>1740</v>
      </c>
      <c r="M88" s="93">
        <f t="shared" si="11"/>
        <v>0</v>
      </c>
    </row>
    <row r="89" spans="1:13" ht="18" thickBot="1" x14ac:dyDescent="0.25">
      <c r="A89" s="8" t="s">
        <v>51</v>
      </c>
      <c r="B89" s="75" t="s">
        <v>892</v>
      </c>
      <c r="C89" s="9" t="s">
        <v>36</v>
      </c>
      <c r="D89" s="9" t="s">
        <v>331</v>
      </c>
      <c r="E89" s="9">
        <v>2</v>
      </c>
      <c r="F89" s="20">
        <v>7656</v>
      </c>
      <c r="G89" s="20">
        <f t="shared" si="9"/>
        <v>15312</v>
      </c>
      <c r="H89" s="39">
        <v>1</v>
      </c>
      <c r="I89" s="24">
        <v>7656</v>
      </c>
      <c r="J89" s="24">
        <f t="shared" si="10"/>
        <v>7656</v>
      </c>
      <c r="K89" s="92"/>
      <c r="L89" s="93">
        <v>7656</v>
      </c>
      <c r="M89" s="93">
        <f t="shared" si="11"/>
        <v>0</v>
      </c>
    </row>
    <row r="90" spans="1:13" ht="18" thickBot="1" x14ac:dyDescent="0.25">
      <c r="A90" s="8" t="s">
        <v>60</v>
      </c>
      <c r="B90" s="75" t="s">
        <v>893</v>
      </c>
      <c r="C90" s="9" t="s">
        <v>332</v>
      </c>
      <c r="D90" s="9" t="s">
        <v>333</v>
      </c>
      <c r="E90" s="9">
        <v>65</v>
      </c>
      <c r="F90" s="20">
        <v>77720</v>
      </c>
      <c r="G90" s="20">
        <f t="shared" si="9"/>
        <v>5051800</v>
      </c>
      <c r="H90" s="39"/>
      <c r="I90" s="24">
        <v>77720</v>
      </c>
      <c r="J90" s="24">
        <f t="shared" si="10"/>
        <v>0</v>
      </c>
      <c r="K90" s="92">
        <v>65</v>
      </c>
      <c r="L90" s="93">
        <v>77720</v>
      </c>
      <c r="M90" s="93">
        <f t="shared" si="11"/>
        <v>5051800</v>
      </c>
    </row>
    <row r="91" spans="1:13" ht="18" thickBot="1" x14ac:dyDescent="0.25">
      <c r="A91" s="8" t="s">
        <v>75</v>
      </c>
      <c r="B91" s="75" t="s">
        <v>848</v>
      </c>
      <c r="C91" s="9" t="s">
        <v>36</v>
      </c>
      <c r="D91" s="95" t="s">
        <v>308</v>
      </c>
      <c r="E91" s="9">
        <v>5</v>
      </c>
      <c r="F91" s="20">
        <v>10057.200000000001</v>
      </c>
      <c r="G91" s="20">
        <f t="shared" si="9"/>
        <v>50286</v>
      </c>
      <c r="H91" s="39">
        <v>5</v>
      </c>
      <c r="I91" s="24">
        <v>10057.200000000001</v>
      </c>
      <c r="J91" s="24">
        <f t="shared" si="10"/>
        <v>50286</v>
      </c>
      <c r="K91" s="92"/>
      <c r="L91" s="93">
        <v>10057.200000000001</v>
      </c>
      <c r="M91" s="93">
        <f t="shared" si="11"/>
        <v>0</v>
      </c>
    </row>
    <row r="92" spans="1:13" ht="18" thickBot="1" x14ac:dyDescent="0.25">
      <c r="A92" s="8" t="s">
        <v>162</v>
      </c>
      <c r="B92" s="75" t="s">
        <v>894</v>
      </c>
      <c r="C92" s="9" t="s">
        <v>36</v>
      </c>
      <c r="D92" s="9" t="s">
        <v>56</v>
      </c>
      <c r="E92" s="9">
        <v>5</v>
      </c>
      <c r="F92" s="20">
        <v>5904.4</v>
      </c>
      <c r="G92" s="20">
        <f t="shared" si="9"/>
        <v>29522</v>
      </c>
      <c r="H92" s="39">
        <v>2</v>
      </c>
      <c r="I92" s="24">
        <v>5904.4</v>
      </c>
      <c r="J92" s="24">
        <f t="shared" si="10"/>
        <v>11808.8</v>
      </c>
      <c r="K92" s="92"/>
      <c r="L92" s="93">
        <v>5904.4</v>
      </c>
      <c r="M92" s="93">
        <f t="shared" si="11"/>
        <v>0</v>
      </c>
    </row>
    <row r="93" spans="1:13" ht="18" thickBot="1" x14ac:dyDescent="0.25">
      <c r="A93" s="8" t="s">
        <v>325</v>
      </c>
      <c r="B93" s="75"/>
      <c r="C93" s="9" t="s">
        <v>36</v>
      </c>
      <c r="D93" s="9" t="s">
        <v>123</v>
      </c>
      <c r="E93" s="9">
        <v>5</v>
      </c>
      <c r="F93" s="20">
        <v>23084</v>
      </c>
      <c r="G93" s="20">
        <f t="shared" si="9"/>
        <v>115420</v>
      </c>
      <c r="H93" s="39">
        <v>5</v>
      </c>
      <c r="I93" s="24">
        <v>23084</v>
      </c>
      <c r="J93" s="24">
        <f t="shared" si="10"/>
        <v>115420</v>
      </c>
      <c r="K93" s="92"/>
      <c r="L93" s="93">
        <v>23084</v>
      </c>
      <c r="M93" s="93">
        <f t="shared" si="11"/>
        <v>0</v>
      </c>
    </row>
    <row r="94" spans="1:13" ht="18" thickBot="1" x14ac:dyDescent="0.25">
      <c r="A94" s="8" t="s">
        <v>51</v>
      </c>
      <c r="B94" s="75" t="s">
        <v>894</v>
      </c>
      <c r="C94" s="9" t="s">
        <v>36</v>
      </c>
      <c r="D94" s="9" t="s">
        <v>56</v>
      </c>
      <c r="E94" s="9">
        <v>4</v>
      </c>
      <c r="F94" s="20">
        <v>5904.4</v>
      </c>
      <c r="G94" s="20">
        <f t="shared" si="9"/>
        <v>23617.599999999999</v>
      </c>
      <c r="H94" s="39">
        <v>2</v>
      </c>
      <c r="I94" s="24">
        <v>5904.4</v>
      </c>
      <c r="J94" s="24">
        <f t="shared" si="10"/>
        <v>11808.8</v>
      </c>
      <c r="K94" s="92"/>
      <c r="L94" s="93">
        <v>5904.4</v>
      </c>
      <c r="M94" s="93">
        <f t="shared" si="11"/>
        <v>0</v>
      </c>
    </row>
    <row r="95" spans="1:13" ht="18" thickBot="1" x14ac:dyDescent="0.25">
      <c r="A95" s="8" t="s">
        <v>51</v>
      </c>
      <c r="B95" s="75" t="s">
        <v>857</v>
      </c>
      <c r="C95" s="9" t="s">
        <v>36</v>
      </c>
      <c r="D95" s="9" t="s">
        <v>163</v>
      </c>
      <c r="E95" s="9">
        <v>2</v>
      </c>
      <c r="F95" s="20">
        <v>9396</v>
      </c>
      <c r="G95" s="20">
        <f t="shared" si="9"/>
        <v>18792</v>
      </c>
      <c r="H95" s="39">
        <v>1</v>
      </c>
      <c r="I95" s="24">
        <v>9396</v>
      </c>
      <c r="J95" s="24">
        <f t="shared" si="10"/>
        <v>9396</v>
      </c>
      <c r="K95" s="92"/>
      <c r="L95" s="93">
        <v>9396</v>
      </c>
      <c r="M95" s="93">
        <f t="shared" si="11"/>
        <v>0</v>
      </c>
    </row>
    <row r="96" spans="1:13" ht="18" thickBot="1" x14ac:dyDescent="0.25">
      <c r="A96" s="8" t="s">
        <v>60</v>
      </c>
      <c r="B96" s="75" t="s">
        <v>895</v>
      </c>
      <c r="C96" s="9" t="s">
        <v>36</v>
      </c>
      <c r="D96" s="9" t="s">
        <v>65</v>
      </c>
      <c r="E96" s="9">
        <v>25</v>
      </c>
      <c r="F96" s="20">
        <v>4384.8</v>
      </c>
      <c r="G96" s="20">
        <f t="shared" si="9"/>
        <v>109620</v>
      </c>
      <c r="H96" s="39">
        <v>5</v>
      </c>
      <c r="I96" s="24">
        <v>4384.8</v>
      </c>
      <c r="J96" s="24">
        <f t="shared" si="10"/>
        <v>21924</v>
      </c>
      <c r="K96" s="92"/>
      <c r="L96" s="93">
        <v>4384.8</v>
      </c>
      <c r="M96" s="93">
        <f t="shared" si="11"/>
        <v>0</v>
      </c>
    </row>
    <row r="97" spans="1:13" ht="18" thickBot="1" x14ac:dyDescent="0.25">
      <c r="A97" s="8" t="s">
        <v>47</v>
      </c>
      <c r="B97" s="75" t="s">
        <v>877</v>
      </c>
      <c r="C97" s="9" t="s">
        <v>36</v>
      </c>
      <c r="D97" s="9" t="s">
        <v>40</v>
      </c>
      <c r="E97" s="9">
        <v>30</v>
      </c>
      <c r="F97" s="20">
        <v>858.4</v>
      </c>
      <c r="G97" s="20">
        <f t="shared" si="9"/>
        <v>25752</v>
      </c>
      <c r="H97" s="39">
        <v>16</v>
      </c>
      <c r="I97" s="24">
        <v>858.4</v>
      </c>
      <c r="J97" s="24">
        <f t="shared" si="10"/>
        <v>13734.4</v>
      </c>
      <c r="K97" s="92"/>
      <c r="L97" s="93">
        <v>858.4</v>
      </c>
      <c r="M97" s="93">
        <f t="shared" si="11"/>
        <v>0</v>
      </c>
    </row>
    <row r="98" spans="1:13" ht="18" thickBot="1" x14ac:dyDescent="0.25">
      <c r="A98" s="8" t="s">
        <v>47</v>
      </c>
      <c r="B98" s="75" t="s">
        <v>896</v>
      </c>
      <c r="C98" s="9" t="s">
        <v>36</v>
      </c>
      <c r="D98" s="9" t="s">
        <v>52</v>
      </c>
      <c r="E98" s="9">
        <v>7</v>
      </c>
      <c r="F98" s="20">
        <v>11344.8</v>
      </c>
      <c r="G98" s="20">
        <f t="shared" si="9"/>
        <v>79413.599999999991</v>
      </c>
      <c r="H98" s="39">
        <v>3</v>
      </c>
      <c r="I98" s="24">
        <v>11344.8</v>
      </c>
      <c r="J98" s="24">
        <f t="shared" si="10"/>
        <v>34034.399999999994</v>
      </c>
      <c r="K98" s="92"/>
      <c r="L98" s="93">
        <v>11344.8</v>
      </c>
      <c r="M98" s="93">
        <f t="shared" si="11"/>
        <v>0</v>
      </c>
    </row>
    <row r="99" spans="1:13" ht="18" thickBot="1" x14ac:dyDescent="0.25">
      <c r="A99" s="8" t="s">
        <v>334</v>
      </c>
      <c r="B99" s="75"/>
      <c r="C99" s="9" t="s">
        <v>36</v>
      </c>
      <c r="D99" s="9" t="s">
        <v>335</v>
      </c>
      <c r="E99" s="9">
        <v>10</v>
      </c>
      <c r="F99" s="20">
        <v>10324</v>
      </c>
      <c r="G99" s="20">
        <f t="shared" si="9"/>
        <v>103240</v>
      </c>
      <c r="H99" s="39"/>
      <c r="I99" s="24">
        <v>10324</v>
      </c>
      <c r="J99" s="24">
        <f t="shared" si="10"/>
        <v>0</v>
      </c>
      <c r="K99" s="92"/>
      <c r="L99" s="93">
        <v>10324</v>
      </c>
      <c r="M99" s="93">
        <f t="shared" si="11"/>
        <v>0</v>
      </c>
    </row>
    <row r="100" spans="1:13" ht="18" thickBot="1" x14ac:dyDescent="0.25">
      <c r="A100" s="8" t="s">
        <v>329</v>
      </c>
      <c r="B100" s="75"/>
      <c r="C100" s="9" t="s">
        <v>36</v>
      </c>
      <c r="D100" s="9" t="s">
        <v>205</v>
      </c>
      <c r="E100" s="9">
        <v>5</v>
      </c>
      <c r="F100" s="20">
        <v>8178</v>
      </c>
      <c r="G100" s="20">
        <f t="shared" si="9"/>
        <v>40890</v>
      </c>
      <c r="H100" s="39"/>
      <c r="I100" s="24">
        <v>8178</v>
      </c>
      <c r="J100" s="24">
        <f t="shared" si="10"/>
        <v>0</v>
      </c>
      <c r="K100" s="92"/>
      <c r="L100" s="93">
        <v>8178</v>
      </c>
      <c r="M100" s="93">
        <f t="shared" si="11"/>
        <v>0</v>
      </c>
    </row>
    <row r="101" spans="1:13" ht="18" thickBot="1" x14ac:dyDescent="0.25">
      <c r="A101" s="8" t="s">
        <v>60</v>
      </c>
      <c r="B101" s="75" t="s">
        <v>897</v>
      </c>
      <c r="C101" s="8" t="s">
        <v>36</v>
      </c>
      <c r="D101" s="9" t="s">
        <v>336</v>
      </c>
      <c r="E101" s="9">
        <v>7</v>
      </c>
      <c r="F101" s="20">
        <v>5788.4</v>
      </c>
      <c r="G101" s="20">
        <f t="shared" si="9"/>
        <v>40518.799999999996</v>
      </c>
      <c r="H101" s="39">
        <v>3</v>
      </c>
      <c r="I101" s="24">
        <v>5788.4</v>
      </c>
      <c r="J101" s="24">
        <f t="shared" si="10"/>
        <v>17365.199999999997</v>
      </c>
      <c r="K101" s="92"/>
      <c r="L101" s="93">
        <v>5788.4</v>
      </c>
      <c r="M101" s="93">
        <f t="shared" si="11"/>
        <v>0</v>
      </c>
    </row>
    <row r="102" spans="1:13" ht="18" thickBot="1" x14ac:dyDescent="0.25">
      <c r="A102" s="8" t="s">
        <v>47</v>
      </c>
      <c r="B102" s="75" t="s">
        <v>896</v>
      </c>
      <c r="C102" s="9" t="s">
        <v>36</v>
      </c>
      <c r="D102" s="9" t="s">
        <v>52</v>
      </c>
      <c r="E102" s="9">
        <v>7</v>
      </c>
      <c r="F102" s="20">
        <v>11600</v>
      </c>
      <c r="G102" s="20">
        <f t="shared" si="9"/>
        <v>81200</v>
      </c>
      <c r="H102" s="39">
        <v>3</v>
      </c>
      <c r="I102" s="24">
        <v>11600</v>
      </c>
      <c r="J102" s="24">
        <f t="shared" si="10"/>
        <v>34800</v>
      </c>
      <c r="K102" s="92"/>
      <c r="L102" s="93">
        <v>11600</v>
      </c>
      <c r="M102" s="93">
        <f t="shared" si="11"/>
        <v>0</v>
      </c>
    </row>
    <row r="103" spans="1:13" ht="18" thickBot="1" x14ac:dyDescent="0.25">
      <c r="A103" s="8" t="s">
        <v>51</v>
      </c>
      <c r="B103" s="75" t="s">
        <v>894</v>
      </c>
      <c r="C103" s="9" t="s">
        <v>36</v>
      </c>
      <c r="D103" s="9" t="s">
        <v>337</v>
      </c>
      <c r="E103" s="9">
        <v>6</v>
      </c>
      <c r="F103" s="20">
        <v>8816</v>
      </c>
      <c r="G103" s="20">
        <f t="shared" si="9"/>
        <v>52896</v>
      </c>
      <c r="H103" s="39">
        <v>2</v>
      </c>
      <c r="I103" s="24">
        <v>8816</v>
      </c>
      <c r="J103" s="24">
        <f t="shared" si="10"/>
        <v>17632</v>
      </c>
      <c r="K103" s="92"/>
      <c r="L103" s="93">
        <v>8816</v>
      </c>
      <c r="M103" s="93">
        <f t="shared" si="11"/>
        <v>0</v>
      </c>
    </row>
    <row r="104" spans="1:13" ht="18" thickBot="1" x14ac:dyDescent="0.25">
      <c r="A104" s="8" t="s">
        <v>51</v>
      </c>
      <c r="B104" s="75" t="s">
        <v>894</v>
      </c>
      <c r="C104" s="9" t="s">
        <v>36</v>
      </c>
      <c r="D104" s="9" t="s">
        <v>56</v>
      </c>
      <c r="E104" s="9">
        <v>5</v>
      </c>
      <c r="F104" s="20">
        <v>7540</v>
      </c>
      <c r="G104" s="20">
        <f t="shared" si="9"/>
        <v>37700</v>
      </c>
      <c r="H104" s="39">
        <v>2</v>
      </c>
      <c r="I104" s="24">
        <v>7540</v>
      </c>
      <c r="J104" s="24">
        <f t="shared" si="10"/>
        <v>15080</v>
      </c>
      <c r="K104" s="92"/>
      <c r="L104" s="93">
        <v>7540</v>
      </c>
      <c r="M104" s="93">
        <f t="shared" si="11"/>
        <v>0</v>
      </c>
    </row>
    <row r="105" spans="1:13" ht="18" thickBot="1" x14ac:dyDescent="0.25">
      <c r="A105" s="8" t="s">
        <v>51</v>
      </c>
      <c r="B105" s="75" t="s">
        <v>898</v>
      </c>
      <c r="C105" s="9" t="s">
        <v>36</v>
      </c>
      <c r="D105" s="9" t="s">
        <v>338</v>
      </c>
      <c r="E105" s="9">
        <v>2</v>
      </c>
      <c r="F105" s="20">
        <v>10556</v>
      </c>
      <c r="G105" s="20">
        <f t="shared" si="9"/>
        <v>21112</v>
      </c>
      <c r="H105" s="39">
        <v>1</v>
      </c>
      <c r="I105" s="24">
        <v>10556</v>
      </c>
      <c r="J105" s="24">
        <f t="shared" si="10"/>
        <v>10556</v>
      </c>
      <c r="K105" s="92"/>
      <c r="L105" s="93">
        <v>10556</v>
      </c>
      <c r="M105" s="93">
        <f t="shared" si="11"/>
        <v>0</v>
      </c>
    </row>
    <row r="106" spans="1:13" ht="18" thickBot="1" x14ac:dyDescent="0.25">
      <c r="A106" s="8" t="s">
        <v>47</v>
      </c>
      <c r="B106" s="75" t="s">
        <v>896</v>
      </c>
      <c r="C106" s="9" t="s">
        <v>36</v>
      </c>
      <c r="D106" s="9" t="s">
        <v>164</v>
      </c>
      <c r="E106" s="9">
        <v>7</v>
      </c>
      <c r="F106" s="20">
        <v>5684</v>
      </c>
      <c r="G106" s="20">
        <f t="shared" si="9"/>
        <v>39788</v>
      </c>
      <c r="H106" s="39">
        <v>3</v>
      </c>
      <c r="I106" s="24">
        <v>5684</v>
      </c>
      <c r="J106" s="24">
        <f t="shared" si="10"/>
        <v>17052</v>
      </c>
      <c r="K106" s="92"/>
      <c r="L106" s="93">
        <v>5684</v>
      </c>
      <c r="M106" s="93">
        <f t="shared" si="11"/>
        <v>0</v>
      </c>
    </row>
    <row r="107" spans="1:13" ht="18" thickBot="1" x14ac:dyDescent="0.25">
      <c r="A107" s="8" t="s">
        <v>47</v>
      </c>
      <c r="B107" s="75" t="s">
        <v>896</v>
      </c>
      <c r="C107" s="9" t="s">
        <v>36</v>
      </c>
      <c r="D107" s="9" t="s">
        <v>339</v>
      </c>
      <c r="E107" s="9">
        <v>7</v>
      </c>
      <c r="F107" s="20">
        <v>20764</v>
      </c>
      <c r="G107" s="20">
        <f t="shared" si="9"/>
        <v>145348</v>
      </c>
      <c r="H107" s="39">
        <v>3</v>
      </c>
      <c r="I107" s="24">
        <v>20764</v>
      </c>
      <c r="J107" s="24">
        <f t="shared" si="10"/>
        <v>62292</v>
      </c>
      <c r="K107" s="92"/>
      <c r="L107" s="93">
        <v>20764</v>
      </c>
      <c r="M107" s="93">
        <f t="shared" si="11"/>
        <v>0</v>
      </c>
    </row>
    <row r="108" spans="1:13" ht="18" thickBot="1" x14ac:dyDescent="0.25">
      <c r="A108" s="8" t="s">
        <v>47</v>
      </c>
      <c r="B108" s="75"/>
      <c r="C108" s="9" t="s">
        <v>36</v>
      </c>
      <c r="D108" s="9" t="s">
        <v>330</v>
      </c>
      <c r="E108" s="9">
        <v>10</v>
      </c>
      <c r="F108" s="20">
        <v>1740</v>
      </c>
      <c r="G108" s="20">
        <f t="shared" si="9"/>
        <v>17400</v>
      </c>
      <c r="H108" s="39"/>
      <c r="I108" s="24">
        <v>1740</v>
      </c>
      <c r="J108" s="24">
        <f t="shared" si="10"/>
        <v>0</v>
      </c>
      <c r="K108" s="92"/>
      <c r="L108" s="93">
        <v>1740</v>
      </c>
      <c r="M108" s="93">
        <f t="shared" si="11"/>
        <v>0</v>
      </c>
    </row>
    <row r="109" spans="1:13" ht="18" thickBot="1" x14ac:dyDescent="0.25">
      <c r="A109" s="8" t="s">
        <v>340</v>
      </c>
      <c r="B109" s="75" t="s">
        <v>878</v>
      </c>
      <c r="C109" s="9" t="s">
        <v>36</v>
      </c>
      <c r="D109" s="9" t="s">
        <v>244</v>
      </c>
      <c r="E109" s="9">
        <v>1</v>
      </c>
      <c r="F109" s="20">
        <v>20764</v>
      </c>
      <c r="G109" s="20">
        <f t="shared" si="9"/>
        <v>20764</v>
      </c>
      <c r="H109" s="39">
        <v>1</v>
      </c>
      <c r="I109" s="24">
        <v>20764</v>
      </c>
      <c r="J109" s="24">
        <f t="shared" si="10"/>
        <v>20764</v>
      </c>
      <c r="K109" s="92"/>
      <c r="L109" s="93">
        <v>20764</v>
      </c>
      <c r="M109" s="93">
        <f t="shared" si="11"/>
        <v>0</v>
      </c>
    </row>
    <row r="110" spans="1:13" ht="18" thickBot="1" x14ac:dyDescent="0.25">
      <c r="A110" s="8" t="s">
        <v>341</v>
      </c>
      <c r="B110" s="75"/>
      <c r="C110" s="9" t="s">
        <v>36</v>
      </c>
      <c r="D110" s="9" t="s">
        <v>307</v>
      </c>
      <c r="E110" s="9">
        <v>10</v>
      </c>
      <c r="F110" s="20">
        <v>2726</v>
      </c>
      <c r="G110" s="20">
        <f t="shared" ref="G110:G128" si="12">E110*F110</f>
        <v>27260</v>
      </c>
      <c r="H110" s="39"/>
      <c r="I110" s="24">
        <v>2726</v>
      </c>
      <c r="J110" s="24">
        <f t="shared" ref="J110:J128" si="13">H110*I110</f>
        <v>0</v>
      </c>
      <c r="K110" s="92"/>
      <c r="L110" s="93">
        <v>2726</v>
      </c>
      <c r="M110" s="93">
        <f t="shared" ref="M110:M128" si="14">K110*L110</f>
        <v>0</v>
      </c>
    </row>
    <row r="111" spans="1:13" ht="18" thickBot="1" x14ac:dyDescent="0.25">
      <c r="A111" s="8" t="s">
        <v>342</v>
      </c>
      <c r="B111" s="75" t="s">
        <v>899</v>
      </c>
      <c r="C111" s="9" t="s">
        <v>332</v>
      </c>
      <c r="D111" s="9" t="s">
        <v>343</v>
      </c>
      <c r="E111" s="9">
        <v>60</v>
      </c>
      <c r="F111" s="20">
        <v>75284</v>
      </c>
      <c r="G111" s="20">
        <f t="shared" si="12"/>
        <v>4517040</v>
      </c>
      <c r="H111" s="39">
        <v>48</v>
      </c>
      <c r="I111" s="24">
        <v>75284</v>
      </c>
      <c r="J111" s="24">
        <f t="shared" si="13"/>
        <v>3613632</v>
      </c>
      <c r="K111" s="92">
        <v>12</v>
      </c>
      <c r="L111" s="93">
        <v>75284</v>
      </c>
      <c r="M111" s="93">
        <f t="shared" si="14"/>
        <v>903408</v>
      </c>
    </row>
    <row r="112" spans="1:13" ht="18" thickBot="1" x14ac:dyDescent="0.25">
      <c r="A112" s="8" t="s">
        <v>60</v>
      </c>
      <c r="B112" s="75" t="s">
        <v>849</v>
      </c>
      <c r="C112" s="9" t="s">
        <v>36</v>
      </c>
      <c r="D112" s="9" t="s">
        <v>122</v>
      </c>
      <c r="E112" s="9">
        <v>10</v>
      </c>
      <c r="F112" s="20">
        <v>5881.2</v>
      </c>
      <c r="G112" s="20">
        <f t="shared" si="12"/>
        <v>58812</v>
      </c>
      <c r="H112" s="39">
        <v>2</v>
      </c>
      <c r="I112" s="24">
        <v>5881.2</v>
      </c>
      <c r="J112" s="24">
        <f t="shared" si="13"/>
        <v>11762.4</v>
      </c>
      <c r="K112" s="92"/>
      <c r="L112" s="93">
        <v>5881.2</v>
      </c>
      <c r="M112" s="93">
        <f t="shared" si="14"/>
        <v>0</v>
      </c>
    </row>
    <row r="113" spans="1:13" ht="18" thickBot="1" x14ac:dyDescent="0.25">
      <c r="A113" s="8" t="s">
        <v>344</v>
      </c>
      <c r="B113" s="75"/>
      <c r="C113" s="9" t="s">
        <v>36</v>
      </c>
      <c r="D113" s="9" t="s">
        <v>125</v>
      </c>
      <c r="E113" s="9">
        <v>4</v>
      </c>
      <c r="F113" s="20">
        <v>9164</v>
      </c>
      <c r="G113" s="20">
        <f t="shared" si="12"/>
        <v>36656</v>
      </c>
      <c r="H113" s="39"/>
      <c r="I113" s="24">
        <v>9164</v>
      </c>
      <c r="J113" s="24">
        <f t="shared" si="13"/>
        <v>0</v>
      </c>
      <c r="K113" s="92"/>
      <c r="L113" s="93">
        <v>9164</v>
      </c>
      <c r="M113" s="93">
        <f t="shared" si="14"/>
        <v>0</v>
      </c>
    </row>
    <row r="114" spans="1:13" ht="18" thickBot="1" x14ac:dyDescent="0.25">
      <c r="A114" s="8" t="s">
        <v>47</v>
      </c>
      <c r="B114" s="75" t="s">
        <v>900</v>
      </c>
      <c r="C114" s="9" t="s">
        <v>36</v>
      </c>
      <c r="D114" s="9" t="s">
        <v>345</v>
      </c>
      <c r="E114" s="9">
        <v>10</v>
      </c>
      <c r="F114" s="20">
        <v>1740</v>
      </c>
      <c r="G114" s="20">
        <f t="shared" si="12"/>
        <v>17400</v>
      </c>
      <c r="H114" s="39">
        <v>2</v>
      </c>
      <c r="I114" s="24">
        <v>1740</v>
      </c>
      <c r="J114" s="24">
        <f t="shared" si="13"/>
        <v>3480</v>
      </c>
      <c r="K114" s="92"/>
      <c r="L114" s="93">
        <v>1740</v>
      </c>
      <c r="M114" s="93">
        <f t="shared" si="14"/>
        <v>0</v>
      </c>
    </row>
    <row r="115" spans="1:13" ht="18" thickBot="1" x14ac:dyDescent="0.25">
      <c r="A115" s="8" t="s">
        <v>60</v>
      </c>
      <c r="B115" s="75" t="s">
        <v>850</v>
      </c>
      <c r="C115" s="9" t="s">
        <v>36</v>
      </c>
      <c r="D115" s="9" t="s">
        <v>346</v>
      </c>
      <c r="E115" s="9">
        <v>5</v>
      </c>
      <c r="F115" s="20">
        <v>15915.2</v>
      </c>
      <c r="G115" s="20">
        <f t="shared" si="12"/>
        <v>79576</v>
      </c>
      <c r="H115" s="39">
        <v>5</v>
      </c>
      <c r="I115" s="24">
        <v>15915.2</v>
      </c>
      <c r="J115" s="24">
        <f t="shared" si="13"/>
        <v>79576</v>
      </c>
      <c r="K115" s="92"/>
      <c r="L115" s="93">
        <v>15915.2</v>
      </c>
      <c r="M115" s="93">
        <f t="shared" si="14"/>
        <v>0</v>
      </c>
    </row>
    <row r="116" spans="1:13" ht="18" thickBot="1" x14ac:dyDescent="0.25">
      <c r="A116" s="8" t="s">
        <v>115</v>
      </c>
      <c r="B116" s="75" t="s">
        <v>834</v>
      </c>
      <c r="C116" s="9" t="s">
        <v>36</v>
      </c>
      <c r="D116" s="9" t="s">
        <v>309</v>
      </c>
      <c r="E116" s="9">
        <v>11</v>
      </c>
      <c r="F116" s="20">
        <v>3700.4</v>
      </c>
      <c r="G116" s="20">
        <f t="shared" si="12"/>
        <v>40704.400000000001</v>
      </c>
      <c r="H116" s="39">
        <v>6</v>
      </c>
      <c r="I116" s="24">
        <v>3700.4</v>
      </c>
      <c r="J116" s="24">
        <f t="shared" si="13"/>
        <v>22202.400000000001</v>
      </c>
      <c r="K116" s="92"/>
      <c r="L116" s="93">
        <v>3700.4</v>
      </c>
      <c r="M116" s="93">
        <f t="shared" si="14"/>
        <v>0</v>
      </c>
    </row>
    <row r="117" spans="1:13" ht="18" thickBot="1" x14ac:dyDescent="0.25">
      <c r="A117" s="8" t="s">
        <v>47</v>
      </c>
      <c r="B117" s="75" t="s">
        <v>890</v>
      </c>
      <c r="C117" s="9" t="s">
        <v>36</v>
      </c>
      <c r="D117" s="9" t="s">
        <v>328</v>
      </c>
      <c r="E117" s="9">
        <v>3</v>
      </c>
      <c r="F117" s="20">
        <v>20764</v>
      </c>
      <c r="G117" s="20">
        <f t="shared" si="12"/>
        <v>62292</v>
      </c>
      <c r="H117" s="39">
        <v>1</v>
      </c>
      <c r="I117" s="24">
        <v>20764</v>
      </c>
      <c r="J117" s="24">
        <f t="shared" si="13"/>
        <v>20764</v>
      </c>
      <c r="K117" s="92"/>
      <c r="L117" s="93">
        <v>20764</v>
      </c>
      <c r="M117" s="93">
        <f t="shared" si="14"/>
        <v>0</v>
      </c>
    </row>
    <row r="118" spans="1:13" ht="18" thickBot="1" x14ac:dyDescent="0.25">
      <c r="A118" s="8" t="s">
        <v>344</v>
      </c>
      <c r="B118" s="75"/>
      <c r="C118" s="9" t="s">
        <v>36</v>
      </c>
      <c r="D118" s="9" t="s">
        <v>246</v>
      </c>
      <c r="E118" s="9">
        <v>4</v>
      </c>
      <c r="F118" s="20">
        <v>9860</v>
      </c>
      <c r="G118" s="20">
        <f t="shared" si="12"/>
        <v>39440</v>
      </c>
      <c r="H118" s="39"/>
      <c r="I118" s="24">
        <v>9860</v>
      </c>
      <c r="J118" s="24">
        <f t="shared" si="13"/>
        <v>0</v>
      </c>
      <c r="K118" s="92"/>
      <c r="L118" s="93">
        <v>9860</v>
      </c>
      <c r="M118" s="93">
        <f t="shared" si="14"/>
        <v>0</v>
      </c>
    </row>
    <row r="119" spans="1:13" ht="18" thickBot="1" x14ac:dyDescent="0.25">
      <c r="A119" s="8" t="s">
        <v>60</v>
      </c>
      <c r="B119" s="75"/>
      <c r="C119" s="9" t="s">
        <v>36</v>
      </c>
      <c r="D119" s="9" t="s">
        <v>347</v>
      </c>
      <c r="E119" s="9">
        <v>3</v>
      </c>
      <c r="F119" s="20">
        <v>9976</v>
      </c>
      <c r="G119" s="20">
        <f t="shared" si="12"/>
        <v>29928</v>
      </c>
      <c r="H119" s="39"/>
      <c r="I119" s="24">
        <v>9976</v>
      </c>
      <c r="J119" s="24">
        <f t="shared" si="13"/>
        <v>0</v>
      </c>
      <c r="K119" s="92"/>
      <c r="L119" s="93">
        <v>9976</v>
      </c>
      <c r="M119" s="93">
        <f t="shared" si="14"/>
        <v>0</v>
      </c>
    </row>
    <row r="120" spans="1:13" ht="18" thickBot="1" x14ac:dyDescent="0.25">
      <c r="A120" s="8" t="s">
        <v>51</v>
      </c>
      <c r="B120" s="75" t="s">
        <v>894</v>
      </c>
      <c r="C120" s="9" t="s">
        <v>36</v>
      </c>
      <c r="D120" s="9" t="s">
        <v>56</v>
      </c>
      <c r="E120" s="9">
        <v>3</v>
      </c>
      <c r="F120" s="20">
        <v>5904.4</v>
      </c>
      <c r="G120" s="20">
        <f t="shared" si="12"/>
        <v>17713.199999999997</v>
      </c>
      <c r="H120" s="39">
        <v>1</v>
      </c>
      <c r="I120" s="24">
        <v>5904.4</v>
      </c>
      <c r="J120" s="24">
        <f t="shared" si="13"/>
        <v>5904.4</v>
      </c>
      <c r="K120" s="92"/>
      <c r="L120" s="93">
        <v>5904.4</v>
      </c>
      <c r="M120" s="93">
        <f t="shared" si="14"/>
        <v>0</v>
      </c>
    </row>
    <row r="121" spans="1:13" ht="18" thickBot="1" x14ac:dyDescent="0.25">
      <c r="A121" s="8" t="s">
        <v>51</v>
      </c>
      <c r="B121" s="75" t="s">
        <v>839</v>
      </c>
      <c r="C121" s="9" t="s">
        <v>36</v>
      </c>
      <c r="D121" s="9" t="s">
        <v>80</v>
      </c>
      <c r="E121" s="9">
        <v>2</v>
      </c>
      <c r="F121" s="20">
        <v>7656</v>
      </c>
      <c r="G121" s="20">
        <f t="shared" si="12"/>
        <v>15312</v>
      </c>
      <c r="H121" s="39">
        <v>1</v>
      </c>
      <c r="I121" s="24">
        <v>7656</v>
      </c>
      <c r="J121" s="24">
        <f t="shared" si="13"/>
        <v>7656</v>
      </c>
      <c r="K121" s="92"/>
      <c r="L121" s="93">
        <v>7656</v>
      </c>
      <c r="M121" s="93">
        <f t="shared" si="14"/>
        <v>0</v>
      </c>
    </row>
    <row r="122" spans="1:13" ht="18" thickBot="1" x14ac:dyDescent="0.25">
      <c r="A122" s="8" t="s">
        <v>334</v>
      </c>
      <c r="B122" s="75" t="s">
        <v>901</v>
      </c>
      <c r="C122" s="9" t="s">
        <v>36</v>
      </c>
      <c r="D122" s="9" t="s">
        <v>348</v>
      </c>
      <c r="E122" s="9">
        <v>10</v>
      </c>
      <c r="F122" s="20">
        <v>8178</v>
      </c>
      <c r="G122" s="20">
        <f t="shared" si="12"/>
        <v>81780</v>
      </c>
      <c r="H122" s="39">
        <v>3</v>
      </c>
      <c r="I122" s="24">
        <v>8178</v>
      </c>
      <c r="J122" s="24">
        <f t="shared" si="13"/>
        <v>24534</v>
      </c>
      <c r="K122" s="92"/>
      <c r="L122" s="93">
        <v>8178</v>
      </c>
      <c r="M122" s="93">
        <f t="shared" si="14"/>
        <v>0</v>
      </c>
    </row>
    <row r="123" spans="1:13" ht="18" thickBot="1" x14ac:dyDescent="0.25">
      <c r="A123" s="8" t="s">
        <v>60</v>
      </c>
      <c r="B123" s="75" t="s">
        <v>902</v>
      </c>
      <c r="C123" s="9" t="s">
        <v>36</v>
      </c>
      <c r="D123" s="9" t="s">
        <v>349</v>
      </c>
      <c r="E123" s="9">
        <v>10</v>
      </c>
      <c r="F123" s="20">
        <v>5434.6</v>
      </c>
      <c r="G123" s="20">
        <f t="shared" si="12"/>
        <v>54346</v>
      </c>
      <c r="H123" s="39">
        <v>5</v>
      </c>
      <c r="I123" s="24">
        <v>5434.6</v>
      </c>
      <c r="J123" s="24">
        <f t="shared" si="13"/>
        <v>27173</v>
      </c>
      <c r="K123" s="92"/>
      <c r="L123" s="93">
        <v>5434.6</v>
      </c>
      <c r="M123" s="93">
        <f t="shared" si="14"/>
        <v>0</v>
      </c>
    </row>
    <row r="124" spans="1:13" ht="18" thickBot="1" x14ac:dyDescent="0.25">
      <c r="A124" s="8" t="s">
        <v>74</v>
      </c>
      <c r="B124" s="75" t="s">
        <v>842</v>
      </c>
      <c r="C124" s="9" t="s">
        <v>36</v>
      </c>
      <c r="D124" s="9" t="s">
        <v>311</v>
      </c>
      <c r="E124" s="9">
        <v>3</v>
      </c>
      <c r="F124" s="20">
        <v>12876</v>
      </c>
      <c r="G124" s="20">
        <f t="shared" si="12"/>
        <v>38628</v>
      </c>
      <c r="H124" s="39">
        <v>2</v>
      </c>
      <c r="I124" s="24">
        <v>12876</v>
      </c>
      <c r="J124" s="24">
        <f t="shared" si="13"/>
        <v>25752</v>
      </c>
      <c r="K124" s="92"/>
      <c r="L124" s="93">
        <v>12876</v>
      </c>
      <c r="M124" s="93">
        <f t="shared" si="14"/>
        <v>0</v>
      </c>
    </row>
    <row r="125" spans="1:13" ht="18" thickBot="1" x14ac:dyDescent="0.25">
      <c r="A125" s="8" t="s">
        <v>48</v>
      </c>
      <c r="B125" s="75" t="s">
        <v>903</v>
      </c>
      <c r="C125" s="9" t="s">
        <v>36</v>
      </c>
      <c r="D125" s="9" t="s">
        <v>54</v>
      </c>
      <c r="E125" s="9">
        <v>3</v>
      </c>
      <c r="F125" s="20">
        <v>14732</v>
      </c>
      <c r="G125" s="20">
        <f t="shared" si="12"/>
        <v>44196</v>
      </c>
      <c r="H125" s="39">
        <v>1</v>
      </c>
      <c r="I125" s="24">
        <v>14732</v>
      </c>
      <c r="J125" s="24">
        <f t="shared" si="13"/>
        <v>14732</v>
      </c>
      <c r="K125" s="92"/>
      <c r="L125" s="93">
        <v>14732</v>
      </c>
      <c r="M125" s="93">
        <f t="shared" si="14"/>
        <v>0</v>
      </c>
    </row>
    <row r="126" spans="1:13" ht="18" thickBot="1" x14ac:dyDescent="0.25">
      <c r="A126" s="8" t="s">
        <v>159</v>
      </c>
      <c r="B126" s="75" t="s">
        <v>904</v>
      </c>
      <c r="C126" s="9" t="s">
        <v>36</v>
      </c>
      <c r="D126" s="9" t="s">
        <v>293</v>
      </c>
      <c r="E126" s="9">
        <v>4</v>
      </c>
      <c r="F126" s="20">
        <v>14604.4</v>
      </c>
      <c r="G126" s="20">
        <f t="shared" si="12"/>
        <v>58417.599999999999</v>
      </c>
      <c r="H126" s="39">
        <v>1</v>
      </c>
      <c r="I126" s="24">
        <v>14604.4</v>
      </c>
      <c r="J126" s="24">
        <f t="shared" si="13"/>
        <v>14604.4</v>
      </c>
      <c r="K126" s="92"/>
      <c r="L126" s="93">
        <v>14604.4</v>
      </c>
      <c r="M126" s="93">
        <f t="shared" si="14"/>
        <v>0</v>
      </c>
    </row>
    <row r="127" spans="1:13" ht="18" thickBot="1" x14ac:dyDescent="0.25">
      <c r="A127" s="8" t="s">
        <v>159</v>
      </c>
      <c r="B127" s="75"/>
      <c r="C127" s="9" t="s">
        <v>36</v>
      </c>
      <c r="D127" s="9" t="s">
        <v>312</v>
      </c>
      <c r="E127" s="9">
        <v>3</v>
      </c>
      <c r="F127" s="20">
        <v>21634</v>
      </c>
      <c r="G127" s="20">
        <f t="shared" si="12"/>
        <v>64902</v>
      </c>
      <c r="H127" s="39">
        <v>1</v>
      </c>
      <c r="I127" s="24">
        <v>21634</v>
      </c>
      <c r="J127" s="24">
        <f t="shared" si="13"/>
        <v>21634</v>
      </c>
      <c r="K127" s="92"/>
      <c r="L127" s="93">
        <v>21634</v>
      </c>
      <c r="M127" s="93">
        <f t="shared" si="14"/>
        <v>0</v>
      </c>
    </row>
    <row r="128" spans="1:13" ht="18" thickBot="1" x14ac:dyDescent="0.25">
      <c r="A128" s="8" t="s">
        <v>334</v>
      </c>
      <c r="B128" s="75" t="s">
        <v>862</v>
      </c>
      <c r="C128" s="9" t="s">
        <v>36</v>
      </c>
      <c r="D128" s="9" t="s">
        <v>296</v>
      </c>
      <c r="E128" s="9">
        <v>10</v>
      </c>
      <c r="F128" s="20">
        <v>6844</v>
      </c>
      <c r="G128" s="20">
        <f t="shared" si="12"/>
        <v>68440</v>
      </c>
      <c r="H128" s="39">
        <v>3</v>
      </c>
      <c r="I128" s="24">
        <v>6844</v>
      </c>
      <c r="J128" s="24">
        <f t="shared" si="13"/>
        <v>20532</v>
      </c>
      <c r="K128" s="92"/>
      <c r="L128" s="93">
        <v>6844</v>
      </c>
      <c r="M128" s="93">
        <f t="shared" si="14"/>
        <v>0</v>
      </c>
    </row>
    <row r="129" spans="1:18" ht="17" thickBot="1" x14ac:dyDescent="0.25">
      <c r="A129" s="7"/>
      <c r="B129" s="7"/>
      <c r="C129" s="2"/>
      <c r="D129" s="2"/>
      <c r="E129" s="2"/>
      <c r="F129" s="96"/>
      <c r="G129" s="58">
        <f>SUM(G78:G128)</f>
        <v>12207254.199999999</v>
      </c>
      <c r="H129" s="97"/>
      <c r="I129" s="96"/>
      <c r="J129" s="26">
        <f>SUM(J78:J128)</f>
        <v>4853463.2000000011</v>
      </c>
      <c r="K129" s="2"/>
      <c r="L129" s="96"/>
      <c r="M129" s="94">
        <f>SUM(M78:M128)</f>
        <v>5955208</v>
      </c>
    </row>
    <row r="130" spans="1:18" ht="18" thickBot="1" x14ac:dyDescent="0.25">
      <c r="A130" s="7" t="s">
        <v>1546</v>
      </c>
      <c r="G130" s="132"/>
      <c r="H130" s="97"/>
      <c r="I130" s="96"/>
      <c r="J130" s="132"/>
      <c r="K130" s="2"/>
      <c r="L130" s="96"/>
      <c r="M130" s="132"/>
    </row>
    <row r="131" spans="1:18" ht="18" thickBot="1" x14ac:dyDescent="0.25">
      <c r="A131" s="8" t="s">
        <v>51</v>
      </c>
      <c r="B131" s="9"/>
      <c r="C131" s="9" t="s">
        <v>36</v>
      </c>
      <c r="D131" s="9" t="s">
        <v>1545</v>
      </c>
      <c r="E131" s="9">
        <v>6</v>
      </c>
      <c r="F131" s="40">
        <v>7656</v>
      </c>
      <c r="G131" s="50">
        <f>E131*F131</f>
        <v>45936</v>
      </c>
      <c r="H131" s="97"/>
      <c r="I131" s="96"/>
      <c r="J131" s="132"/>
      <c r="K131" s="2"/>
      <c r="L131" s="96"/>
      <c r="M131" s="132"/>
      <c r="N131" s="2"/>
      <c r="O131" s="2"/>
      <c r="P131" s="2"/>
      <c r="Q131" s="2"/>
      <c r="R131" s="2"/>
    </row>
    <row r="132" spans="1:18" x14ac:dyDescent="0.2">
      <c r="A132" s="7"/>
      <c r="B132" s="7"/>
      <c r="C132" s="2"/>
      <c r="D132" s="2"/>
      <c r="E132" s="2"/>
      <c r="F132" s="96"/>
      <c r="G132" s="132"/>
      <c r="H132" s="97"/>
      <c r="I132" s="96"/>
      <c r="J132" s="132"/>
      <c r="K132" s="2"/>
      <c r="L132" s="96"/>
      <c r="M132" s="132"/>
    </row>
    <row r="133" spans="1:18" ht="17" thickBot="1" x14ac:dyDescent="0.25">
      <c r="A133" s="30" t="s">
        <v>1644</v>
      </c>
      <c r="B133" s="2" t="s">
        <v>86</v>
      </c>
      <c r="C133" s="2" t="s">
        <v>87</v>
      </c>
      <c r="D133" s="2"/>
      <c r="E133" s="2"/>
      <c r="F133" s="2"/>
    </row>
    <row r="134" spans="1:18" ht="17" thickBot="1" x14ac:dyDescent="0.25">
      <c r="A134" s="9" t="s">
        <v>1643</v>
      </c>
      <c r="B134" s="9"/>
      <c r="C134" s="155" t="s">
        <v>36</v>
      </c>
      <c r="D134" s="9"/>
      <c r="E134" s="9">
        <v>165</v>
      </c>
      <c r="F134" s="10">
        <v>3758.4</v>
      </c>
      <c r="G134" s="10">
        <f>F134*E134</f>
        <v>620136</v>
      </c>
      <c r="H134" s="27">
        <v>21</v>
      </c>
      <c r="I134" s="28">
        <v>3758.4</v>
      </c>
      <c r="J134" s="28">
        <f>I134*H134</f>
        <v>78926.400000000009</v>
      </c>
    </row>
    <row r="135" spans="1:18" ht="17" thickBot="1" x14ac:dyDescent="0.25">
      <c r="A135" s="9" t="s">
        <v>602</v>
      </c>
      <c r="B135" s="9"/>
      <c r="C135" s="155" t="s">
        <v>36</v>
      </c>
      <c r="D135" s="9"/>
      <c r="E135" s="9">
        <v>90</v>
      </c>
      <c r="F135" s="10">
        <v>6264</v>
      </c>
      <c r="G135" s="10">
        <f>F135*E135</f>
        <v>563760</v>
      </c>
      <c r="H135" s="27"/>
      <c r="I135" s="28">
        <v>6264</v>
      </c>
      <c r="J135" s="28">
        <f>I135*H135</f>
        <v>0</v>
      </c>
    </row>
    <row r="136" spans="1:18" ht="17" thickBot="1" x14ac:dyDescent="0.25">
      <c r="A136" s="9" t="s">
        <v>1642</v>
      </c>
      <c r="B136" s="9"/>
      <c r="C136" s="155" t="s">
        <v>36</v>
      </c>
      <c r="D136" s="9"/>
      <c r="E136" s="9">
        <v>210</v>
      </c>
      <c r="F136" s="10">
        <v>2192.4</v>
      </c>
      <c r="G136" s="10">
        <f>F136*E136</f>
        <v>460404</v>
      </c>
      <c r="H136" s="27">
        <v>55</v>
      </c>
      <c r="I136" s="28">
        <v>2192.4</v>
      </c>
      <c r="J136" s="28">
        <f>I136*H136</f>
        <v>120582</v>
      </c>
    </row>
    <row r="137" spans="1:18" ht="17" thickBot="1" x14ac:dyDescent="0.25">
      <c r="A137" s="9" t="s">
        <v>1641</v>
      </c>
      <c r="B137" s="9"/>
      <c r="C137" s="155" t="s">
        <v>36</v>
      </c>
      <c r="D137" s="9"/>
      <c r="E137" s="9">
        <v>45</v>
      </c>
      <c r="F137" s="10">
        <v>8746.4</v>
      </c>
      <c r="G137" s="10">
        <f>F137*E137</f>
        <v>393588</v>
      </c>
      <c r="H137" s="27">
        <v>12</v>
      </c>
      <c r="I137" s="28">
        <v>8746.4</v>
      </c>
      <c r="J137" s="28">
        <f>I137*H137</f>
        <v>104956.79999999999</v>
      </c>
    </row>
    <row r="138" spans="1:18" ht="18" thickBot="1" x14ac:dyDescent="0.25">
      <c r="A138" s="11" t="s">
        <v>1640</v>
      </c>
      <c r="B138" s="9"/>
      <c r="C138" s="155" t="s">
        <v>36</v>
      </c>
      <c r="D138" s="9"/>
      <c r="E138" s="9">
        <v>65</v>
      </c>
      <c r="F138" s="10">
        <v>7424</v>
      </c>
      <c r="G138" s="10">
        <f>F138*E138</f>
        <v>482560</v>
      </c>
      <c r="H138" s="27"/>
      <c r="I138" s="28">
        <v>7424</v>
      </c>
      <c r="J138" s="28">
        <f>I138*H138</f>
        <v>0</v>
      </c>
    </row>
    <row r="139" spans="1:18" ht="17" thickBot="1" x14ac:dyDescent="0.25">
      <c r="A139" s="2"/>
      <c r="C139" s="2"/>
      <c r="D139" s="2"/>
      <c r="E139" s="2"/>
      <c r="F139" s="2"/>
      <c r="G139" s="103">
        <f>SUM(G134:G138)</f>
        <v>2520448</v>
      </c>
      <c r="H139" s="2"/>
      <c r="I139" s="2"/>
      <c r="J139" s="150">
        <f>SUM(J134:J138)</f>
        <v>304465.2</v>
      </c>
    </row>
    <row r="140" spans="1:18" ht="17" thickBot="1" x14ac:dyDescent="0.25">
      <c r="A140" s="30" t="s">
        <v>1892</v>
      </c>
      <c r="B140" s="2" t="s">
        <v>384</v>
      </c>
      <c r="C140" s="2" t="s">
        <v>385</v>
      </c>
      <c r="D140" s="2"/>
      <c r="E140" s="2"/>
      <c r="F140" s="2"/>
    </row>
    <row r="141" spans="1:18" ht="17" thickBot="1" x14ac:dyDescent="0.25">
      <c r="A141" s="192" t="s">
        <v>285</v>
      </c>
      <c r="B141" s="76" t="s">
        <v>1362</v>
      </c>
      <c r="C141" s="193" t="s">
        <v>36</v>
      </c>
      <c r="D141" s="192" t="s">
        <v>298</v>
      </c>
      <c r="E141" s="9">
        <v>60</v>
      </c>
      <c r="F141" s="106">
        <v>16234.2</v>
      </c>
      <c r="G141" s="106">
        <f>F141*E141</f>
        <v>974052</v>
      </c>
      <c r="H141" s="27">
        <v>15</v>
      </c>
      <c r="I141" s="199">
        <v>16234.2</v>
      </c>
      <c r="J141" s="199">
        <f>I141*H141</f>
        <v>243513</v>
      </c>
      <c r="K141" s="23"/>
      <c r="L141" s="241">
        <v>16234.2</v>
      </c>
      <c r="M141" s="241">
        <f>L141*K141</f>
        <v>0</v>
      </c>
    </row>
    <row r="142" spans="1:18" ht="17" thickBot="1" x14ac:dyDescent="0.25">
      <c r="A142" s="192" t="s">
        <v>140</v>
      </c>
      <c r="B142" s="76" t="s">
        <v>1345</v>
      </c>
      <c r="C142" s="193" t="s">
        <v>36</v>
      </c>
      <c r="D142" s="192" t="s">
        <v>335</v>
      </c>
      <c r="E142" s="9">
        <v>30</v>
      </c>
      <c r="F142" s="106">
        <v>9744</v>
      </c>
      <c r="G142" s="106">
        <f t="shared" ref="G142:G184" si="15">F142*E142</f>
        <v>292320</v>
      </c>
      <c r="H142" s="27"/>
      <c r="I142" s="199">
        <v>9744</v>
      </c>
      <c r="J142" s="199">
        <f t="shared" ref="J142:J184" si="16">I142*H142</f>
        <v>0</v>
      </c>
      <c r="K142" s="23"/>
      <c r="L142" s="241">
        <v>9744</v>
      </c>
      <c r="M142" s="241">
        <f t="shared" ref="M142:M184" si="17">L142*K142</f>
        <v>0</v>
      </c>
    </row>
    <row r="143" spans="1:18" ht="17" thickBot="1" x14ac:dyDescent="0.25">
      <c r="A143" s="192" t="s">
        <v>240</v>
      </c>
      <c r="B143" s="76" t="s">
        <v>889</v>
      </c>
      <c r="C143" s="193" t="s">
        <v>36</v>
      </c>
      <c r="D143" s="192" t="s">
        <v>303</v>
      </c>
      <c r="E143" s="9">
        <v>30</v>
      </c>
      <c r="F143" s="106">
        <v>6948.4</v>
      </c>
      <c r="G143" s="106">
        <f t="shared" si="15"/>
        <v>208452</v>
      </c>
      <c r="H143" s="27"/>
      <c r="I143" s="199">
        <v>6948.4</v>
      </c>
      <c r="J143" s="199">
        <f t="shared" si="16"/>
        <v>0</v>
      </c>
      <c r="K143" s="23"/>
      <c r="L143" s="241">
        <v>6948.4</v>
      </c>
      <c r="M143" s="241">
        <f t="shared" si="17"/>
        <v>0</v>
      </c>
    </row>
    <row r="144" spans="1:18" ht="17" thickBot="1" x14ac:dyDescent="0.25">
      <c r="A144" s="192" t="s">
        <v>1099</v>
      </c>
      <c r="B144" s="76" t="s">
        <v>960</v>
      </c>
      <c r="C144" s="193" t="s">
        <v>36</v>
      </c>
      <c r="D144" s="192" t="s">
        <v>349</v>
      </c>
      <c r="E144" s="9">
        <v>40</v>
      </c>
      <c r="F144" s="106">
        <v>5254.8</v>
      </c>
      <c r="G144" s="106">
        <f t="shared" si="15"/>
        <v>210192</v>
      </c>
      <c r="H144" s="27">
        <v>4</v>
      </c>
      <c r="I144" s="199">
        <v>5254.8</v>
      </c>
      <c r="J144" s="199">
        <f t="shared" si="16"/>
        <v>21019.200000000001</v>
      </c>
      <c r="K144" s="23">
        <v>12</v>
      </c>
      <c r="L144" s="241">
        <v>5254.8</v>
      </c>
      <c r="M144" s="241">
        <f t="shared" si="17"/>
        <v>63057.600000000006</v>
      </c>
    </row>
    <row r="145" spans="1:13" ht="17" thickBot="1" x14ac:dyDescent="0.25">
      <c r="A145" s="192" t="s">
        <v>795</v>
      </c>
      <c r="B145" s="76"/>
      <c r="C145" s="193" t="s">
        <v>36</v>
      </c>
      <c r="D145" s="192" t="s">
        <v>302</v>
      </c>
      <c r="E145" s="9">
        <v>40</v>
      </c>
      <c r="F145" s="106">
        <v>15097.4</v>
      </c>
      <c r="G145" s="106">
        <f t="shared" si="15"/>
        <v>603896</v>
      </c>
      <c r="H145" s="27"/>
      <c r="I145" s="199">
        <v>15097.4</v>
      </c>
      <c r="J145" s="199">
        <f t="shared" si="16"/>
        <v>0</v>
      </c>
      <c r="K145" s="23">
        <v>10</v>
      </c>
      <c r="L145" s="241">
        <v>15097.4</v>
      </c>
      <c r="M145" s="241">
        <f t="shared" si="17"/>
        <v>150974</v>
      </c>
    </row>
    <row r="146" spans="1:13" ht="17" thickBot="1" x14ac:dyDescent="0.25">
      <c r="A146" s="192" t="s">
        <v>45</v>
      </c>
      <c r="B146" s="76" t="s">
        <v>909</v>
      </c>
      <c r="C146" s="193" t="s">
        <v>36</v>
      </c>
      <c r="D146" s="192" t="s">
        <v>165</v>
      </c>
      <c r="E146" s="9">
        <v>20</v>
      </c>
      <c r="F146" s="106">
        <v>11194</v>
      </c>
      <c r="G146" s="106">
        <f t="shared" si="15"/>
        <v>223880</v>
      </c>
      <c r="H146" s="27">
        <v>5</v>
      </c>
      <c r="I146" s="199">
        <v>11194</v>
      </c>
      <c r="J146" s="199">
        <f t="shared" si="16"/>
        <v>55970</v>
      </c>
      <c r="K146" s="23"/>
      <c r="L146" s="241">
        <v>11194</v>
      </c>
      <c r="M146" s="241">
        <f t="shared" si="17"/>
        <v>0</v>
      </c>
    </row>
    <row r="147" spans="1:13" ht="17" thickBot="1" x14ac:dyDescent="0.25">
      <c r="A147" s="192" t="s">
        <v>797</v>
      </c>
      <c r="B147" s="76"/>
      <c r="C147" s="193" t="s">
        <v>36</v>
      </c>
      <c r="D147" s="192" t="s">
        <v>411</v>
      </c>
      <c r="E147" s="9">
        <v>40</v>
      </c>
      <c r="F147" s="106">
        <v>3016</v>
      </c>
      <c r="G147" s="106">
        <f t="shared" si="15"/>
        <v>120640</v>
      </c>
      <c r="H147" s="27"/>
      <c r="I147" s="199">
        <v>3016</v>
      </c>
      <c r="J147" s="199">
        <f t="shared" si="16"/>
        <v>0</v>
      </c>
      <c r="K147" s="23"/>
      <c r="L147" s="241">
        <v>3016</v>
      </c>
      <c r="M147" s="241">
        <f t="shared" si="17"/>
        <v>0</v>
      </c>
    </row>
    <row r="148" spans="1:13" ht="17" thickBot="1" x14ac:dyDescent="0.25">
      <c r="A148" s="192" t="s">
        <v>58</v>
      </c>
      <c r="B148" s="76" t="s">
        <v>847</v>
      </c>
      <c r="C148" s="193" t="s">
        <v>36</v>
      </c>
      <c r="D148" s="192" t="s">
        <v>648</v>
      </c>
      <c r="E148" s="9">
        <v>60</v>
      </c>
      <c r="F148" s="106">
        <v>17516</v>
      </c>
      <c r="G148" s="106">
        <f t="shared" si="15"/>
        <v>1050960</v>
      </c>
      <c r="H148" s="27">
        <v>2</v>
      </c>
      <c r="I148" s="199">
        <v>17516</v>
      </c>
      <c r="J148" s="199">
        <f t="shared" si="16"/>
        <v>35032</v>
      </c>
      <c r="K148" s="23">
        <v>6</v>
      </c>
      <c r="L148" s="241">
        <v>17516</v>
      </c>
      <c r="M148" s="241">
        <f t="shared" si="17"/>
        <v>105096</v>
      </c>
    </row>
    <row r="149" spans="1:13" ht="17" thickBot="1" x14ac:dyDescent="0.25">
      <c r="A149" s="192" t="s">
        <v>37</v>
      </c>
      <c r="B149" s="76"/>
      <c r="C149" s="193" t="s">
        <v>36</v>
      </c>
      <c r="D149" s="192" t="s">
        <v>112</v>
      </c>
      <c r="E149" s="9">
        <v>30</v>
      </c>
      <c r="F149" s="106">
        <v>16240</v>
      </c>
      <c r="G149" s="106">
        <f t="shared" si="15"/>
        <v>487200</v>
      </c>
      <c r="H149" s="27"/>
      <c r="I149" s="199">
        <v>16240</v>
      </c>
      <c r="J149" s="199">
        <f t="shared" si="16"/>
        <v>0</v>
      </c>
      <c r="K149" s="23"/>
      <c r="L149" s="241">
        <v>16240</v>
      </c>
      <c r="M149" s="241">
        <f t="shared" si="17"/>
        <v>0</v>
      </c>
    </row>
    <row r="150" spans="1:13" ht="17" thickBot="1" x14ac:dyDescent="0.25">
      <c r="A150" s="192" t="s">
        <v>45</v>
      </c>
      <c r="B150" s="76"/>
      <c r="C150" s="193" t="s">
        <v>36</v>
      </c>
      <c r="D150" s="192" t="s">
        <v>1729</v>
      </c>
      <c r="E150" s="9">
        <v>30</v>
      </c>
      <c r="F150" s="106">
        <v>10904</v>
      </c>
      <c r="G150" s="106">
        <f t="shared" si="15"/>
        <v>327120</v>
      </c>
      <c r="H150" s="27"/>
      <c r="I150" s="199">
        <v>10904</v>
      </c>
      <c r="J150" s="199">
        <f t="shared" si="16"/>
        <v>0</v>
      </c>
      <c r="K150" s="23">
        <v>14</v>
      </c>
      <c r="L150" s="241">
        <v>10904</v>
      </c>
      <c r="M150" s="241">
        <f t="shared" si="17"/>
        <v>152656</v>
      </c>
    </row>
    <row r="151" spans="1:13" ht="17" thickBot="1" x14ac:dyDescent="0.25">
      <c r="A151" s="192" t="s">
        <v>240</v>
      </c>
      <c r="B151" s="76"/>
      <c r="C151" s="193" t="s">
        <v>36</v>
      </c>
      <c r="D151" s="192" t="s">
        <v>1888</v>
      </c>
      <c r="E151" s="9">
        <v>40</v>
      </c>
      <c r="F151" s="106">
        <v>3764.2</v>
      </c>
      <c r="G151" s="106">
        <f t="shared" si="15"/>
        <v>150568</v>
      </c>
      <c r="H151" s="27"/>
      <c r="I151" s="199">
        <v>3764.2</v>
      </c>
      <c r="J151" s="199">
        <f t="shared" si="16"/>
        <v>0</v>
      </c>
      <c r="K151" s="23"/>
      <c r="L151" s="241">
        <v>3764.2</v>
      </c>
      <c r="M151" s="241">
        <f t="shared" si="17"/>
        <v>0</v>
      </c>
    </row>
    <row r="152" spans="1:13" ht="17" thickBot="1" x14ac:dyDescent="0.25">
      <c r="A152" s="192" t="s">
        <v>140</v>
      </c>
      <c r="B152" s="76" t="s">
        <v>1344</v>
      </c>
      <c r="C152" s="193" t="s">
        <v>36</v>
      </c>
      <c r="D152" s="192" t="s">
        <v>1159</v>
      </c>
      <c r="E152" s="9">
        <v>20</v>
      </c>
      <c r="F152" s="106">
        <v>13804</v>
      </c>
      <c r="G152" s="106">
        <f t="shared" si="15"/>
        <v>276080</v>
      </c>
      <c r="H152" s="27">
        <v>5</v>
      </c>
      <c r="I152" s="199">
        <v>13804</v>
      </c>
      <c r="J152" s="199">
        <f t="shared" si="16"/>
        <v>69020</v>
      </c>
      <c r="K152" s="23">
        <v>15</v>
      </c>
      <c r="L152" s="241">
        <v>13804</v>
      </c>
      <c r="M152" s="241">
        <f t="shared" si="17"/>
        <v>207060</v>
      </c>
    </row>
    <row r="153" spans="1:13" ht="17" thickBot="1" x14ac:dyDescent="0.25">
      <c r="A153" s="192" t="s">
        <v>242</v>
      </c>
      <c r="B153" s="76"/>
      <c r="C153" s="193" t="s">
        <v>36</v>
      </c>
      <c r="D153" s="192" t="s">
        <v>312</v>
      </c>
      <c r="E153" s="9">
        <v>60</v>
      </c>
      <c r="F153" s="106">
        <v>4321</v>
      </c>
      <c r="G153" s="106">
        <f t="shared" si="15"/>
        <v>259260</v>
      </c>
      <c r="H153" s="27"/>
      <c r="I153" s="199">
        <v>4321</v>
      </c>
      <c r="J153" s="199">
        <f t="shared" si="16"/>
        <v>0</v>
      </c>
      <c r="K153" s="23"/>
      <c r="L153" s="241">
        <v>4321</v>
      </c>
      <c r="M153" s="241">
        <f t="shared" si="17"/>
        <v>0</v>
      </c>
    </row>
    <row r="154" spans="1:13" ht="17" thickBot="1" x14ac:dyDescent="0.25">
      <c r="A154" s="192" t="s">
        <v>667</v>
      </c>
      <c r="B154" s="76"/>
      <c r="C154" s="193" t="s">
        <v>36</v>
      </c>
      <c r="D154" s="192" t="s">
        <v>1160</v>
      </c>
      <c r="E154" s="9">
        <v>30</v>
      </c>
      <c r="F154" s="106">
        <v>16240</v>
      </c>
      <c r="G154" s="106">
        <f t="shared" si="15"/>
        <v>487200</v>
      </c>
      <c r="H154" s="27"/>
      <c r="I154" s="199">
        <v>16240</v>
      </c>
      <c r="J154" s="199">
        <f t="shared" si="16"/>
        <v>0</v>
      </c>
      <c r="K154" s="23"/>
      <c r="L154" s="241">
        <v>16240</v>
      </c>
      <c r="M154" s="241">
        <f t="shared" si="17"/>
        <v>0</v>
      </c>
    </row>
    <row r="155" spans="1:13" ht="17" thickBot="1" x14ac:dyDescent="0.25">
      <c r="A155" s="192" t="s">
        <v>58</v>
      </c>
      <c r="B155" s="76" t="s">
        <v>960</v>
      </c>
      <c r="C155" s="193" t="s">
        <v>36</v>
      </c>
      <c r="D155" s="192" t="s">
        <v>357</v>
      </c>
      <c r="E155" s="9">
        <v>60</v>
      </c>
      <c r="F155" s="106">
        <v>6844</v>
      </c>
      <c r="G155" s="106">
        <f t="shared" si="15"/>
        <v>410640</v>
      </c>
      <c r="H155" s="27">
        <v>4</v>
      </c>
      <c r="I155" s="199">
        <v>6844</v>
      </c>
      <c r="J155" s="199">
        <f t="shared" si="16"/>
        <v>27376</v>
      </c>
      <c r="K155" s="23">
        <v>18</v>
      </c>
      <c r="L155" s="241">
        <v>6844</v>
      </c>
      <c r="M155" s="241">
        <f t="shared" si="17"/>
        <v>123192</v>
      </c>
    </row>
    <row r="156" spans="1:13" ht="17" thickBot="1" x14ac:dyDescent="0.25">
      <c r="A156" s="192" t="s">
        <v>285</v>
      </c>
      <c r="B156" s="76" t="s">
        <v>1336</v>
      </c>
      <c r="C156" s="193" t="s">
        <v>36</v>
      </c>
      <c r="D156" s="192" t="s">
        <v>1222</v>
      </c>
      <c r="E156" s="9">
        <v>60</v>
      </c>
      <c r="F156" s="106">
        <v>13108</v>
      </c>
      <c r="G156" s="106">
        <f t="shared" si="15"/>
        <v>786480</v>
      </c>
      <c r="H156" s="27">
        <v>8</v>
      </c>
      <c r="I156" s="199">
        <v>13108</v>
      </c>
      <c r="J156" s="199">
        <f t="shared" si="16"/>
        <v>104864</v>
      </c>
      <c r="K156" s="23"/>
      <c r="L156" s="241">
        <v>13108</v>
      </c>
      <c r="M156" s="241">
        <f t="shared" si="17"/>
        <v>0</v>
      </c>
    </row>
    <row r="157" spans="1:13" ht="17" thickBot="1" x14ac:dyDescent="0.25">
      <c r="A157" s="192" t="s">
        <v>285</v>
      </c>
      <c r="B157" s="76"/>
      <c r="C157" s="193" t="s">
        <v>36</v>
      </c>
      <c r="D157" s="192" t="s">
        <v>123</v>
      </c>
      <c r="E157" s="9">
        <v>30</v>
      </c>
      <c r="F157" s="106">
        <v>11368</v>
      </c>
      <c r="G157" s="106">
        <f t="shared" si="15"/>
        <v>341040</v>
      </c>
      <c r="H157" s="27"/>
      <c r="I157" s="199">
        <v>11368</v>
      </c>
      <c r="J157" s="199">
        <f t="shared" si="16"/>
        <v>0</v>
      </c>
      <c r="K157" s="23"/>
      <c r="L157" s="241">
        <v>11368</v>
      </c>
      <c r="M157" s="241">
        <f t="shared" si="17"/>
        <v>0</v>
      </c>
    </row>
    <row r="158" spans="1:13" ht="17" thickBot="1" x14ac:dyDescent="0.25">
      <c r="A158" s="192" t="s">
        <v>267</v>
      </c>
      <c r="B158" s="76"/>
      <c r="C158" s="193" t="s">
        <v>36</v>
      </c>
      <c r="D158" s="192" t="s">
        <v>244</v>
      </c>
      <c r="E158" s="9">
        <v>30</v>
      </c>
      <c r="F158" s="106">
        <v>17400</v>
      </c>
      <c r="G158" s="106">
        <f t="shared" si="15"/>
        <v>522000</v>
      </c>
      <c r="H158" s="27"/>
      <c r="I158" s="199">
        <v>17400</v>
      </c>
      <c r="J158" s="199">
        <f t="shared" si="16"/>
        <v>0</v>
      </c>
      <c r="K158" s="23"/>
      <c r="L158" s="241">
        <v>17400</v>
      </c>
      <c r="M158" s="241">
        <f t="shared" si="17"/>
        <v>0</v>
      </c>
    </row>
    <row r="159" spans="1:13" ht="17" thickBot="1" x14ac:dyDescent="0.25">
      <c r="A159" s="192" t="s">
        <v>45</v>
      </c>
      <c r="B159" s="76" t="s">
        <v>900</v>
      </c>
      <c r="C159" s="193" t="s">
        <v>36</v>
      </c>
      <c r="D159" s="192" t="s">
        <v>345</v>
      </c>
      <c r="E159" s="9">
        <v>60</v>
      </c>
      <c r="F159" s="106">
        <v>2204</v>
      </c>
      <c r="G159" s="106">
        <f t="shared" si="15"/>
        <v>132240</v>
      </c>
      <c r="H159" s="27"/>
      <c r="I159" s="199">
        <v>2204</v>
      </c>
      <c r="J159" s="199">
        <f t="shared" si="16"/>
        <v>0</v>
      </c>
      <c r="K159" s="23">
        <v>30</v>
      </c>
      <c r="L159" s="241">
        <v>2204</v>
      </c>
      <c r="M159" s="241">
        <f t="shared" si="17"/>
        <v>66120</v>
      </c>
    </row>
    <row r="160" spans="1:13" ht="17" thickBot="1" x14ac:dyDescent="0.25">
      <c r="A160" s="192" t="s">
        <v>1746</v>
      </c>
      <c r="B160" s="76" t="s">
        <v>891</v>
      </c>
      <c r="C160" s="193" t="s">
        <v>36</v>
      </c>
      <c r="D160" s="192" t="s">
        <v>330</v>
      </c>
      <c r="E160" s="9">
        <v>100</v>
      </c>
      <c r="F160" s="106">
        <v>2204</v>
      </c>
      <c r="G160" s="106">
        <f t="shared" si="15"/>
        <v>220400</v>
      </c>
      <c r="H160" s="27"/>
      <c r="I160" s="199">
        <v>2204</v>
      </c>
      <c r="J160" s="199">
        <f t="shared" si="16"/>
        <v>0</v>
      </c>
      <c r="K160" s="23">
        <v>25</v>
      </c>
      <c r="L160" s="241">
        <v>2204</v>
      </c>
      <c r="M160" s="241">
        <f t="shared" si="17"/>
        <v>55100</v>
      </c>
    </row>
    <row r="161" spans="1:13" ht="17" thickBot="1" x14ac:dyDescent="0.25">
      <c r="A161" s="192" t="s">
        <v>1244</v>
      </c>
      <c r="B161" s="76" t="s">
        <v>1341</v>
      </c>
      <c r="C161" s="193" t="s">
        <v>36</v>
      </c>
      <c r="D161" s="192" t="s">
        <v>1889</v>
      </c>
      <c r="E161" s="9">
        <v>60</v>
      </c>
      <c r="F161" s="106">
        <v>12992</v>
      </c>
      <c r="G161" s="106">
        <f t="shared" si="15"/>
        <v>779520</v>
      </c>
      <c r="H161" s="27">
        <v>12</v>
      </c>
      <c r="I161" s="199">
        <v>12992</v>
      </c>
      <c r="J161" s="199">
        <f t="shared" si="16"/>
        <v>155904</v>
      </c>
      <c r="K161" s="23"/>
      <c r="L161" s="241">
        <v>12992</v>
      </c>
      <c r="M161" s="241">
        <f t="shared" si="17"/>
        <v>0</v>
      </c>
    </row>
    <row r="162" spans="1:13" ht="17" thickBot="1" x14ac:dyDescent="0.25">
      <c r="A162" s="192" t="s">
        <v>240</v>
      </c>
      <c r="B162" s="76"/>
      <c r="C162" s="193" t="s">
        <v>36</v>
      </c>
      <c r="D162" s="192" t="s">
        <v>305</v>
      </c>
      <c r="E162" s="9">
        <v>60</v>
      </c>
      <c r="F162" s="106">
        <v>4321</v>
      </c>
      <c r="G162" s="106">
        <f t="shared" si="15"/>
        <v>259260</v>
      </c>
      <c r="H162" s="27"/>
      <c r="I162" s="199">
        <v>4321</v>
      </c>
      <c r="J162" s="199">
        <f t="shared" si="16"/>
        <v>0</v>
      </c>
      <c r="K162" s="23"/>
      <c r="L162" s="241">
        <v>4321</v>
      </c>
      <c r="M162" s="241">
        <f t="shared" si="17"/>
        <v>0</v>
      </c>
    </row>
    <row r="163" spans="1:13" ht="17" thickBot="1" x14ac:dyDescent="0.25">
      <c r="A163" s="192" t="s">
        <v>45</v>
      </c>
      <c r="B163" s="76"/>
      <c r="C163" s="193" t="s">
        <v>36</v>
      </c>
      <c r="D163" s="192" t="s">
        <v>39</v>
      </c>
      <c r="E163" s="9">
        <v>40</v>
      </c>
      <c r="F163" s="106">
        <v>14952.4</v>
      </c>
      <c r="G163" s="106">
        <f t="shared" si="15"/>
        <v>598096</v>
      </c>
      <c r="H163" s="27"/>
      <c r="I163" s="199">
        <v>14952.4</v>
      </c>
      <c r="J163" s="199">
        <f t="shared" si="16"/>
        <v>0</v>
      </c>
      <c r="K163" s="23"/>
      <c r="L163" s="241">
        <v>14952.4</v>
      </c>
      <c r="M163" s="241">
        <f t="shared" si="17"/>
        <v>0</v>
      </c>
    </row>
    <row r="164" spans="1:13" ht="17" thickBot="1" x14ac:dyDescent="0.25">
      <c r="A164" s="192" t="s">
        <v>240</v>
      </c>
      <c r="B164" s="76" t="s">
        <v>845</v>
      </c>
      <c r="C164" s="193" t="s">
        <v>36</v>
      </c>
      <c r="D164" s="192" t="s">
        <v>205</v>
      </c>
      <c r="E164" s="9">
        <v>20</v>
      </c>
      <c r="F164" s="106">
        <v>10846</v>
      </c>
      <c r="G164" s="106">
        <f t="shared" si="15"/>
        <v>216920</v>
      </c>
      <c r="H164" s="27"/>
      <c r="I164" s="199">
        <v>10846</v>
      </c>
      <c r="J164" s="199">
        <f t="shared" si="16"/>
        <v>0</v>
      </c>
      <c r="K164" s="23">
        <v>6</v>
      </c>
      <c r="L164" s="241">
        <v>10846</v>
      </c>
      <c r="M164" s="241">
        <f t="shared" si="17"/>
        <v>65076</v>
      </c>
    </row>
    <row r="165" spans="1:13" ht="17" thickBot="1" x14ac:dyDescent="0.25">
      <c r="A165" s="192" t="s">
        <v>1099</v>
      </c>
      <c r="B165" s="76" t="s">
        <v>897</v>
      </c>
      <c r="C165" s="193" t="s">
        <v>36</v>
      </c>
      <c r="D165" s="192" t="s">
        <v>336</v>
      </c>
      <c r="E165" s="9">
        <v>40</v>
      </c>
      <c r="F165" s="106">
        <v>8816</v>
      </c>
      <c r="G165" s="106">
        <f t="shared" si="15"/>
        <v>352640</v>
      </c>
      <c r="H165" s="27"/>
      <c r="I165" s="199">
        <v>8816</v>
      </c>
      <c r="J165" s="199">
        <f t="shared" si="16"/>
        <v>0</v>
      </c>
      <c r="K165" s="23">
        <v>12</v>
      </c>
      <c r="L165" s="241">
        <v>8816</v>
      </c>
      <c r="M165" s="241">
        <f t="shared" si="17"/>
        <v>105792</v>
      </c>
    </row>
    <row r="166" spans="1:13" ht="17" thickBot="1" x14ac:dyDescent="0.25">
      <c r="A166" s="192" t="s">
        <v>280</v>
      </c>
      <c r="B166" s="76"/>
      <c r="C166" s="193" t="s">
        <v>36</v>
      </c>
      <c r="D166" s="192" t="s">
        <v>780</v>
      </c>
      <c r="E166" s="9">
        <v>20</v>
      </c>
      <c r="F166" s="106">
        <v>9396</v>
      </c>
      <c r="G166" s="106">
        <f t="shared" si="15"/>
        <v>187920</v>
      </c>
      <c r="H166" s="27"/>
      <c r="I166" s="199">
        <v>9396</v>
      </c>
      <c r="J166" s="199">
        <f t="shared" si="16"/>
        <v>0</v>
      </c>
      <c r="K166" s="23"/>
      <c r="L166" s="241">
        <v>9396</v>
      </c>
      <c r="M166" s="241">
        <f t="shared" si="17"/>
        <v>0</v>
      </c>
    </row>
    <row r="167" spans="1:13" ht="17" thickBot="1" x14ac:dyDescent="0.25">
      <c r="A167" s="192" t="s">
        <v>238</v>
      </c>
      <c r="B167" s="76"/>
      <c r="C167" s="193" t="s">
        <v>36</v>
      </c>
      <c r="D167" s="192" t="s">
        <v>41</v>
      </c>
      <c r="E167" s="9">
        <v>30</v>
      </c>
      <c r="F167" s="106">
        <v>17400</v>
      </c>
      <c r="G167" s="106">
        <f t="shared" si="15"/>
        <v>522000</v>
      </c>
      <c r="H167" s="27"/>
      <c r="I167" s="199">
        <v>17400</v>
      </c>
      <c r="J167" s="199">
        <f t="shared" si="16"/>
        <v>0</v>
      </c>
      <c r="K167" s="23"/>
      <c r="L167" s="241">
        <v>17400</v>
      </c>
      <c r="M167" s="241">
        <f t="shared" si="17"/>
        <v>0</v>
      </c>
    </row>
    <row r="168" spans="1:13" ht="17" thickBot="1" x14ac:dyDescent="0.25">
      <c r="A168" s="192" t="s">
        <v>45</v>
      </c>
      <c r="B168" s="76" t="s">
        <v>841</v>
      </c>
      <c r="C168" s="193" t="s">
        <v>36</v>
      </c>
      <c r="D168" s="192" t="s">
        <v>295</v>
      </c>
      <c r="E168" s="9">
        <v>30</v>
      </c>
      <c r="F168" s="106">
        <v>11948</v>
      </c>
      <c r="G168" s="106">
        <f t="shared" si="15"/>
        <v>358440</v>
      </c>
      <c r="H168" s="27">
        <v>6</v>
      </c>
      <c r="I168" s="199">
        <v>11948</v>
      </c>
      <c r="J168" s="199">
        <f t="shared" si="16"/>
        <v>71688</v>
      </c>
      <c r="K168" s="23">
        <v>9</v>
      </c>
      <c r="L168" s="241">
        <v>11948</v>
      </c>
      <c r="M168" s="241">
        <f t="shared" si="17"/>
        <v>107532</v>
      </c>
    </row>
    <row r="169" spans="1:13" ht="17" thickBot="1" x14ac:dyDescent="0.25">
      <c r="A169" s="192" t="s">
        <v>46</v>
      </c>
      <c r="B169" s="76" t="s">
        <v>2037</v>
      </c>
      <c r="C169" s="193" t="s">
        <v>36</v>
      </c>
      <c r="D169" s="192" t="s">
        <v>404</v>
      </c>
      <c r="E169" s="9">
        <v>30</v>
      </c>
      <c r="F169" s="106">
        <v>11948</v>
      </c>
      <c r="G169" s="106">
        <f t="shared" si="15"/>
        <v>358440</v>
      </c>
      <c r="H169" s="27"/>
      <c r="I169" s="199">
        <v>11948</v>
      </c>
      <c r="J169" s="199">
        <f t="shared" si="16"/>
        <v>0</v>
      </c>
      <c r="K169" s="23">
        <v>12</v>
      </c>
      <c r="L169" s="241">
        <v>11948</v>
      </c>
      <c r="M169" s="241">
        <f t="shared" si="17"/>
        <v>143376</v>
      </c>
    </row>
    <row r="170" spans="1:13" ht="17" thickBot="1" x14ac:dyDescent="0.25">
      <c r="A170" s="192" t="s">
        <v>45</v>
      </c>
      <c r="B170" s="76" t="s">
        <v>1342</v>
      </c>
      <c r="C170" s="193" t="s">
        <v>36</v>
      </c>
      <c r="D170" s="192" t="s">
        <v>1109</v>
      </c>
      <c r="E170" s="9">
        <v>20</v>
      </c>
      <c r="F170" s="106">
        <v>10846</v>
      </c>
      <c r="G170" s="106">
        <f t="shared" si="15"/>
        <v>216920</v>
      </c>
      <c r="H170" s="27">
        <v>5</v>
      </c>
      <c r="I170" s="199">
        <v>10846</v>
      </c>
      <c r="J170" s="199">
        <f t="shared" si="16"/>
        <v>54230</v>
      </c>
      <c r="K170" s="23"/>
      <c r="L170" s="241">
        <v>10846</v>
      </c>
      <c r="M170" s="241">
        <f t="shared" si="17"/>
        <v>0</v>
      </c>
    </row>
    <row r="171" spans="1:13" ht="17" thickBot="1" x14ac:dyDescent="0.25">
      <c r="A171" s="192" t="s">
        <v>283</v>
      </c>
      <c r="B171" s="76" t="s">
        <v>1950</v>
      </c>
      <c r="C171" s="193" t="s">
        <v>36</v>
      </c>
      <c r="D171" s="192" t="s">
        <v>1890</v>
      </c>
      <c r="E171" s="9">
        <v>20</v>
      </c>
      <c r="F171" s="106">
        <v>5220</v>
      </c>
      <c r="G171" s="106">
        <f t="shared" si="15"/>
        <v>104400</v>
      </c>
      <c r="H171" s="27">
        <v>5</v>
      </c>
      <c r="I171" s="199">
        <v>5220</v>
      </c>
      <c r="J171" s="199">
        <f t="shared" si="16"/>
        <v>26100</v>
      </c>
      <c r="K171" s="23">
        <v>15</v>
      </c>
      <c r="L171" s="241">
        <v>5220</v>
      </c>
      <c r="M171" s="241">
        <f t="shared" si="17"/>
        <v>78300</v>
      </c>
    </row>
    <row r="172" spans="1:13" ht="17" thickBot="1" x14ac:dyDescent="0.25">
      <c r="A172" s="192" t="s">
        <v>1591</v>
      </c>
      <c r="B172" s="76"/>
      <c r="C172" s="193" t="s">
        <v>36</v>
      </c>
      <c r="D172" s="192" t="s">
        <v>996</v>
      </c>
      <c r="E172" s="9">
        <v>20</v>
      </c>
      <c r="F172" s="106">
        <v>10904</v>
      </c>
      <c r="G172" s="106">
        <f t="shared" si="15"/>
        <v>218080</v>
      </c>
      <c r="H172" s="27"/>
      <c r="I172" s="199">
        <v>10904</v>
      </c>
      <c r="J172" s="199">
        <f t="shared" si="16"/>
        <v>0</v>
      </c>
      <c r="K172" s="23"/>
      <c r="L172" s="241">
        <v>10904</v>
      </c>
      <c r="M172" s="241">
        <f t="shared" si="17"/>
        <v>0</v>
      </c>
    </row>
    <row r="173" spans="1:13" ht="17" thickBot="1" x14ac:dyDescent="0.25">
      <c r="A173" s="192" t="s">
        <v>140</v>
      </c>
      <c r="B173" s="76"/>
      <c r="C173" s="193" t="s">
        <v>36</v>
      </c>
      <c r="D173" s="9" t="s">
        <v>1226</v>
      </c>
      <c r="E173" s="9">
        <v>60</v>
      </c>
      <c r="F173" s="106">
        <v>16228.4</v>
      </c>
      <c r="G173" s="106">
        <f t="shared" si="15"/>
        <v>973704</v>
      </c>
      <c r="H173" s="27"/>
      <c r="I173" s="199">
        <v>16228.4</v>
      </c>
      <c r="J173" s="199">
        <f t="shared" si="16"/>
        <v>0</v>
      </c>
      <c r="K173" s="23"/>
      <c r="L173" s="241">
        <v>16228.4</v>
      </c>
      <c r="M173" s="241">
        <f t="shared" si="17"/>
        <v>0</v>
      </c>
    </row>
    <row r="174" spans="1:13" ht="17" thickBot="1" x14ac:dyDescent="0.25">
      <c r="A174" s="192" t="s">
        <v>239</v>
      </c>
      <c r="B174" s="76" t="s">
        <v>1346</v>
      </c>
      <c r="C174" s="193" t="s">
        <v>36</v>
      </c>
      <c r="D174" s="9" t="s">
        <v>331</v>
      </c>
      <c r="E174" s="9">
        <v>30</v>
      </c>
      <c r="F174" s="106">
        <v>6902</v>
      </c>
      <c r="G174" s="106">
        <f t="shared" si="15"/>
        <v>207060</v>
      </c>
      <c r="H174" s="27"/>
      <c r="I174" s="199">
        <v>6902</v>
      </c>
      <c r="J174" s="199">
        <f t="shared" si="16"/>
        <v>0</v>
      </c>
      <c r="K174" s="23">
        <v>12</v>
      </c>
      <c r="L174" s="241">
        <v>6902</v>
      </c>
      <c r="M174" s="241">
        <f t="shared" si="17"/>
        <v>82824</v>
      </c>
    </row>
    <row r="175" spans="1:13" ht="17" thickBot="1" x14ac:dyDescent="0.25">
      <c r="A175" s="192" t="s">
        <v>1099</v>
      </c>
      <c r="B175" s="76" t="s">
        <v>847</v>
      </c>
      <c r="C175" s="193" t="s">
        <v>36</v>
      </c>
      <c r="D175" s="9" t="s">
        <v>346</v>
      </c>
      <c r="E175" s="9">
        <v>60</v>
      </c>
      <c r="F175" s="106">
        <v>15532.4</v>
      </c>
      <c r="G175" s="106">
        <f t="shared" si="15"/>
        <v>931944</v>
      </c>
      <c r="H175" s="27"/>
      <c r="I175" s="199">
        <v>15532.4</v>
      </c>
      <c r="J175" s="199">
        <f t="shared" si="16"/>
        <v>0</v>
      </c>
      <c r="K175" s="23">
        <v>10</v>
      </c>
      <c r="L175" s="241">
        <v>15532.4</v>
      </c>
      <c r="M175" s="241">
        <f t="shared" si="17"/>
        <v>155324</v>
      </c>
    </row>
    <row r="176" spans="1:13" ht="17" thickBot="1" x14ac:dyDescent="0.25">
      <c r="A176" s="192" t="s">
        <v>242</v>
      </c>
      <c r="B176" s="76"/>
      <c r="C176" s="193" t="s">
        <v>36</v>
      </c>
      <c r="D176" s="9" t="s">
        <v>1107</v>
      </c>
      <c r="E176" s="9">
        <v>60</v>
      </c>
      <c r="F176" s="106">
        <v>11832</v>
      </c>
      <c r="G176" s="106">
        <f t="shared" si="15"/>
        <v>709920</v>
      </c>
      <c r="H176" s="27"/>
      <c r="I176" s="199">
        <v>11832</v>
      </c>
      <c r="J176" s="199">
        <f t="shared" si="16"/>
        <v>0</v>
      </c>
      <c r="K176" s="23"/>
      <c r="L176" s="241">
        <v>11832</v>
      </c>
      <c r="M176" s="241">
        <f t="shared" si="17"/>
        <v>0</v>
      </c>
    </row>
    <row r="177" spans="1:13" ht="17" thickBot="1" x14ac:dyDescent="0.25">
      <c r="A177" s="192" t="s">
        <v>58</v>
      </c>
      <c r="B177" s="76" t="s">
        <v>847</v>
      </c>
      <c r="C177" s="193" t="s">
        <v>36</v>
      </c>
      <c r="D177" s="9" t="s">
        <v>648</v>
      </c>
      <c r="E177" s="9">
        <v>60</v>
      </c>
      <c r="F177" s="106">
        <v>17516</v>
      </c>
      <c r="G177" s="106">
        <f t="shared" si="15"/>
        <v>1050960</v>
      </c>
      <c r="H177" s="27"/>
      <c r="I177" s="199">
        <v>17516</v>
      </c>
      <c r="J177" s="199">
        <f t="shared" si="16"/>
        <v>0</v>
      </c>
      <c r="K177" s="23"/>
      <c r="L177" s="241">
        <v>17516</v>
      </c>
      <c r="M177" s="241">
        <f t="shared" si="17"/>
        <v>0</v>
      </c>
    </row>
    <row r="178" spans="1:13" ht="17" thickBot="1" x14ac:dyDescent="0.25">
      <c r="A178" s="192" t="s">
        <v>1891</v>
      </c>
      <c r="B178" s="76"/>
      <c r="C178" s="193" t="s">
        <v>36</v>
      </c>
      <c r="D178" s="9" t="s">
        <v>1111</v>
      </c>
      <c r="E178" s="9">
        <v>60</v>
      </c>
      <c r="F178" s="106">
        <v>14500</v>
      </c>
      <c r="G178" s="106">
        <f t="shared" si="15"/>
        <v>870000</v>
      </c>
      <c r="H178" s="27"/>
      <c r="I178" s="199">
        <v>14500</v>
      </c>
      <c r="J178" s="199">
        <f t="shared" si="16"/>
        <v>0</v>
      </c>
      <c r="K178" s="23"/>
      <c r="L178" s="241">
        <v>14500</v>
      </c>
      <c r="M178" s="241">
        <f t="shared" si="17"/>
        <v>0</v>
      </c>
    </row>
    <row r="179" spans="1:13" ht="17" thickBot="1" x14ac:dyDescent="0.25">
      <c r="A179" s="192" t="s">
        <v>58</v>
      </c>
      <c r="B179" s="76" t="s">
        <v>911</v>
      </c>
      <c r="C179" s="193" t="s">
        <v>36</v>
      </c>
      <c r="D179" s="9" t="s">
        <v>306</v>
      </c>
      <c r="E179" s="9">
        <v>64</v>
      </c>
      <c r="F179" s="106">
        <v>136764</v>
      </c>
      <c r="G179" s="106">
        <f t="shared" si="15"/>
        <v>8752896</v>
      </c>
      <c r="H179" s="27">
        <v>28</v>
      </c>
      <c r="I179" s="199">
        <v>136764</v>
      </c>
      <c r="J179" s="199">
        <f t="shared" si="16"/>
        <v>3829392</v>
      </c>
      <c r="K179" s="23"/>
      <c r="L179" s="241">
        <v>136764</v>
      </c>
      <c r="M179" s="241">
        <f t="shared" si="17"/>
        <v>0</v>
      </c>
    </row>
    <row r="180" spans="1:13" ht="17" thickBot="1" x14ac:dyDescent="0.25">
      <c r="A180" s="192" t="s">
        <v>35</v>
      </c>
      <c r="B180" s="76" t="s">
        <v>905</v>
      </c>
      <c r="C180" s="193" t="s">
        <v>36</v>
      </c>
      <c r="D180" s="9" t="s">
        <v>111</v>
      </c>
      <c r="E180" s="9">
        <v>30</v>
      </c>
      <c r="F180" s="106">
        <v>11600</v>
      </c>
      <c r="G180" s="106">
        <f t="shared" si="15"/>
        <v>348000</v>
      </c>
      <c r="H180" s="27"/>
      <c r="I180" s="199">
        <v>11600</v>
      </c>
      <c r="J180" s="199">
        <f t="shared" si="16"/>
        <v>0</v>
      </c>
      <c r="K180" s="23">
        <v>6</v>
      </c>
      <c r="L180" s="241">
        <v>11600</v>
      </c>
      <c r="M180" s="241">
        <f t="shared" si="17"/>
        <v>69600</v>
      </c>
    </row>
    <row r="181" spans="1:13" ht="17" thickBot="1" x14ac:dyDescent="0.25">
      <c r="A181" s="192" t="s">
        <v>285</v>
      </c>
      <c r="B181" s="76" t="s">
        <v>888</v>
      </c>
      <c r="C181" s="193" t="s">
        <v>36</v>
      </c>
      <c r="D181" s="9" t="s">
        <v>326</v>
      </c>
      <c r="E181" s="9">
        <v>30</v>
      </c>
      <c r="F181" s="106">
        <v>11600</v>
      </c>
      <c r="G181" s="106">
        <f t="shared" si="15"/>
        <v>348000</v>
      </c>
      <c r="H181" s="27"/>
      <c r="I181" s="199">
        <v>11600</v>
      </c>
      <c r="J181" s="199">
        <f t="shared" si="16"/>
        <v>0</v>
      </c>
      <c r="K181" s="23">
        <v>6</v>
      </c>
      <c r="L181" s="241">
        <v>11600</v>
      </c>
      <c r="M181" s="241">
        <f t="shared" si="17"/>
        <v>69600</v>
      </c>
    </row>
    <row r="182" spans="1:13" ht="17" thickBot="1" x14ac:dyDescent="0.25">
      <c r="A182" s="192" t="s">
        <v>290</v>
      </c>
      <c r="B182" s="76" t="s">
        <v>1965</v>
      </c>
      <c r="C182" s="193" t="s">
        <v>36</v>
      </c>
      <c r="D182" s="9" t="s">
        <v>1150</v>
      </c>
      <c r="E182" s="9">
        <v>30</v>
      </c>
      <c r="F182" s="106">
        <v>2876.8</v>
      </c>
      <c r="G182" s="106">
        <f t="shared" si="15"/>
        <v>86304</v>
      </c>
      <c r="H182" s="27">
        <v>5</v>
      </c>
      <c r="I182" s="199">
        <v>2876.8</v>
      </c>
      <c r="J182" s="199">
        <f t="shared" si="16"/>
        <v>14384</v>
      </c>
      <c r="K182" s="23"/>
      <c r="L182" s="241">
        <v>2876.8</v>
      </c>
      <c r="M182" s="241">
        <f t="shared" si="17"/>
        <v>0</v>
      </c>
    </row>
    <row r="183" spans="1:13" ht="17" thickBot="1" x14ac:dyDescent="0.25">
      <c r="A183" s="192" t="s">
        <v>1651</v>
      </c>
      <c r="B183" s="76"/>
      <c r="C183" s="193" t="s">
        <v>36</v>
      </c>
      <c r="D183" s="9" t="s">
        <v>800</v>
      </c>
      <c r="E183" s="9">
        <v>60</v>
      </c>
      <c r="F183" s="106">
        <v>13920</v>
      </c>
      <c r="G183" s="106">
        <f t="shared" si="15"/>
        <v>835200</v>
      </c>
      <c r="H183" s="27"/>
      <c r="I183" s="199">
        <v>13920</v>
      </c>
      <c r="J183" s="199">
        <f t="shared" si="16"/>
        <v>0</v>
      </c>
      <c r="K183" s="23"/>
      <c r="L183" s="241">
        <v>13920</v>
      </c>
      <c r="M183" s="241">
        <f t="shared" si="17"/>
        <v>0</v>
      </c>
    </row>
    <row r="184" spans="1:13" ht="17" thickBot="1" x14ac:dyDescent="0.25">
      <c r="A184" s="192" t="s">
        <v>58</v>
      </c>
      <c r="B184" s="76" t="s">
        <v>849</v>
      </c>
      <c r="C184" s="193" t="s">
        <v>36</v>
      </c>
      <c r="D184" s="9" t="s">
        <v>122</v>
      </c>
      <c r="E184" s="9">
        <v>100</v>
      </c>
      <c r="F184" s="106">
        <v>2679.6</v>
      </c>
      <c r="G184" s="106">
        <f t="shared" si="15"/>
        <v>267960</v>
      </c>
      <c r="H184" s="27">
        <v>25</v>
      </c>
      <c r="I184" s="199">
        <v>2679.6</v>
      </c>
      <c r="J184" s="199">
        <f t="shared" si="16"/>
        <v>66990</v>
      </c>
      <c r="K184" s="23"/>
      <c r="L184" s="241">
        <v>2679.6</v>
      </c>
      <c r="M184" s="241">
        <f t="shared" si="17"/>
        <v>0</v>
      </c>
    </row>
    <row r="185" spans="1:13" ht="17" thickBot="1" x14ac:dyDescent="0.25">
      <c r="A185" s="2"/>
      <c r="C185" s="2"/>
      <c r="D185" s="2"/>
      <c r="E185" s="2"/>
      <c r="F185" s="105"/>
      <c r="G185" s="166">
        <f>SUM(G141:G184)</f>
        <v>27639204</v>
      </c>
      <c r="H185" s="2"/>
      <c r="I185" s="105"/>
      <c r="J185" s="198">
        <f>SUM(J141:J184)</f>
        <v>4775482.2</v>
      </c>
      <c r="K185" s="2"/>
      <c r="L185" s="105"/>
      <c r="M185" s="242">
        <f>SUM(M141:M184)</f>
        <v>1800679.6</v>
      </c>
    </row>
    <row r="186" spans="1:13" x14ac:dyDescent="0.2">
      <c r="A186" s="248"/>
    </row>
    <row r="187" spans="1:13" x14ac:dyDescent="0.2">
      <c r="A187" s="248"/>
      <c r="E187" s="2"/>
      <c r="F187" s="249"/>
      <c r="G187" s="62"/>
    </row>
    <row r="188" spans="1:13" x14ac:dyDescent="0.2">
      <c r="G188" s="62"/>
    </row>
    <row r="189" spans="1:13" ht="17" thickBot="1" x14ac:dyDescent="0.25">
      <c r="A189" s="256" t="s">
        <v>2071</v>
      </c>
      <c r="G189" s="62"/>
    </row>
    <row r="190" spans="1:13" ht="17" thickBot="1" x14ac:dyDescent="0.25">
      <c r="A190" s="9" t="s">
        <v>334</v>
      </c>
      <c r="B190" s="76" t="s">
        <v>1559</v>
      </c>
      <c r="C190" s="9" t="s">
        <v>36</v>
      </c>
      <c r="D190" s="9" t="s">
        <v>2054</v>
      </c>
      <c r="E190" s="9">
        <v>60</v>
      </c>
      <c r="F190" s="10">
        <v>1798</v>
      </c>
      <c r="G190" s="10">
        <f>F190*E190</f>
        <v>107880</v>
      </c>
      <c r="H190" s="23">
        <v>12</v>
      </c>
      <c r="I190" s="24">
        <v>1798</v>
      </c>
      <c r="J190" s="24">
        <f>I190*H190</f>
        <v>21576</v>
      </c>
    </row>
    <row r="191" spans="1:13" ht="17" thickBot="1" x14ac:dyDescent="0.25">
      <c r="A191" s="9" t="s">
        <v>115</v>
      </c>
      <c r="B191" s="76" t="s">
        <v>984</v>
      </c>
      <c r="C191" s="9" t="s">
        <v>36</v>
      </c>
      <c r="D191" s="9" t="s">
        <v>450</v>
      </c>
      <c r="E191" s="9">
        <v>90</v>
      </c>
      <c r="F191" s="10">
        <v>3340.8</v>
      </c>
      <c r="G191" s="10">
        <f t="shared" ref="G191:G207" si="18">F191*E191</f>
        <v>300672</v>
      </c>
      <c r="H191" s="23">
        <v>5</v>
      </c>
      <c r="I191" s="24">
        <v>3340.8</v>
      </c>
      <c r="J191" s="24">
        <f t="shared" ref="J191:J207" si="19">I191*H191</f>
        <v>16704</v>
      </c>
    </row>
    <row r="192" spans="1:13" ht="17" thickBot="1" x14ac:dyDescent="0.25">
      <c r="A192" s="9" t="s">
        <v>61</v>
      </c>
      <c r="B192" s="76" t="s">
        <v>947</v>
      </c>
      <c r="C192" s="9" t="s">
        <v>36</v>
      </c>
      <c r="D192" s="9" t="s">
        <v>2055</v>
      </c>
      <c r="E192" s="9">
        <v>50</v>
      </c>
      <c r="F192" s="10">
        <v>7714</v>
      </c>
      <c r="G192" s="10">
        <f t="shared" si="18"/>
        <v>385700</v>
      </c>
      <c r="H192" s="23"/>
      <c r="I192" s="24">
        <v>7714</v>
      </c>
      <c r="J192" s="24">
        <f t="shared" si="19"/>
        <v>0</v>
      </c>
    </row>
    <row r="193" spans="1:10" ht="17" thickBot="1" x14ac:dyDescent="0.25">
      <c r="A193" s="9" t="s">
        <v>62</v>
      </c>
      <c r="B193" s="76" t="s">
        <v>979</v>
      </c>
      <c r="C193" s="9" t="s">
        <v>36</v>
      </c>
      <c r="D193" s="9" t="s">
        <v>2056</v>
      </c>
      <c r="E193" s="9">
        <v>60</v>
      </c>
      <c r="F193" s="10">
        <v>9628</v>
      </c>
      <c r="G193" s="10">
        <f t="shared" si="18"/>
        <v>577680</v>
      </c>
      <c r="H193" s="23"/>
      <c r="I193" s="24">
        <v>9628</v>
      </c>
      <c r="J193" s="24">
        <f t="shared" si="19"/>
        <v>0</v>
      </c>
    </row>
    <row r="194" spans="1:10" ht="17" thickBot="1" x14ac:dyDescent="0.25">
      <c r="A194" s="9" t="s">
        <v>76</v>
      </c>
      <c r="B194" s="76" t="s">
        <v>955</v>
      </c>
      <c r="C194" s="9" t="s">
        <v>36</v>
      </c>
      <c r="D194" s="9" t="s">
        <v>27</v>
      </c>
      <c r="E194" s="9">
        <v>180</v>
      </c>
      <c r="F194" s="10">
        <v>3514.8</v>
      </c>
      <c r="G194" s="10">
        <f t="shared" si="18"/>
        <v>632664</v>
      </c>
      <c r="H194" s="23"/>
      <c r="I194" s="24">
        <v>3514.8</v>
      </c>
      <c r="J194" s="24">
        <f t="shared" si="19"/>
        <v>0</v>
      </c>
    </row>
    <row r="195" spans="1:10" ht="17" thickBot="1" x14ac:dyDescent="0.25">
      <c r="A195" s="9" t="s">
        <v>115</v>
      </c>
      <c r="B195" s="76" t="s">
        <v>858</v>
      </c>
      <c r="C195" s="9" t="s">
        <v>36</v>
      </c>
      <c r="D195" s="9" t="s">
        <v>2057</v>
      </c>
      <c r="E195" s="9">
        <v>60</v>
      </c>
      <c r="F195" s="10">
        <v>10428.4</v>
      </c>
      <c r="G195" s="10">
        <f t="shared" si="18"/>
        <v>625704</v>
      </c>
      <c r="H195" s="23">
        <v>30</v>
      </c>
      <c r="I195" s="24">
        <v>10428.4</v>
      </c>
      <c r="J195" s="24">
        <f t="shared" si="19"/>
        <v>312852</v>
      </c>
    </row>
    <row r="196" spans="1:10" ht="17" thickBot="1" x14ac:dyDescent="0.25">
      <c r="A196" s="9" t="s">
        <v>642</v>
      </c>
      <c r="B196" s="76" t="s">
        <v>858</v>
      </c>
      <c r="C196" s="9" t="s">
        <v>36</v>
      </c>
      <c r="D196" s="9" t="s">
        <v>2058</v>
      </c>
      <c r="E196" s="9">
        <v>90</v>
      </c>
      <c r="F196" s="10">
        <v>10788</v>
      </c>
      <c r="G196" s="10">
        <f t="shared" si="18"/>
        <v>970920</v>
      </c>
      <c r="H196" s="23">
        <v>45</v>
      </c>
      <c r="I196" s="24">
        <v>10788</v>
      </c>
      <c r="J196" s="24">
        <f t="shared" si="19"/>
        <v>485460</v>
      </c>
    </row>
    <row r="197" spans="1:10" ht="17" thickBot="1" x14ac:dyDescent="0.25">
      <c r="A197" s="9" t="s">
        <v>114</v>
      </c>
      <c r="B197" s="76" t="s">
        <v>978</v>
      </c>
      <c r="C197" s="9" t="s">
        <v>36</v>
      </c>
      <c r="D197" s="9" t="s">
        <v>2059</v>
      </c>
      <c r="E197" s="9">
        <v>60</v>
      </c>
      <c r="F197" s="10">
        <v>4640</v>
      </c>
      <c r="G197" s="10">
        <f t="shared" si="18"/>
        <v>278400</v>
      </c>
      <c r="H197" s="23">
        <v>30</v>
      </c>
      <c r="I197" s="24">
        <v>4640</v>
      </c>
      <c r="J197" s="24">
        <f t="shared" si="19"/>
        <v>139200</v>
      </c>
    </row>
    <row r="198" spans="1:10" ht="17" thickBot="1" x14ac:dyDescent="0.25">
      <c r="A198" s="9" t="s">
        <v>74</v>
      </c>
      <c r="B198" s="76" t="s">
        <v>1580</v>
      </c>
      <c r="C198" s="9" t="s">
        <v>36</v>
      </c>
      <c r="D198" s="9" t="s">
        <v>2060</v>
      </c>
      <c r="E198" s="9">
        <v>30</v>
      </c>
      <c r="F198" s="10">
        <v>4002</v>
      </c>
      <c r="G198" s="10">
        <f t="shared" si="18"/>
        <v>120060</v>
      </c>
      <c r="H198" s="23">
        <v>15</v>
      </c>
      <c r="I198" s="24">
        <v>4002</v>
      </c>
      <c r="J198" s="24">
        <f t="shared" si="19"/>
        <v>60030</v>
      </c>
    </row>
    <row r="199" spans="1:10" ht="17" thickBot="1" x14ac:dyDescent="0.25">
      <c r="A199" s="9" t="s">
        <v>642</v>
      </c>
      <c r="B199" s="76" t="s">
        <v>1965</v>
      </c>
      <c r="C199" s="9" t="s">
        <v>4</v>
      </c>
      <c r="D199" s="9" t="s">
        <v>2061</v>
      </c>
      <c r="E199" s="9">
        <v>150</v>
      </c>
      <c r="F199" s="10">
        <v>4460.2</v>
      </c>
      <c r="G199" s="10">
        <f t="shared" si="18"/>
        <v>669030</v>
      </c>
      <c r="H199" s="23"/>
      <c r="I199" s="24">
        <v>4460.2</v>
      </c>
      <c r="J199" s="24">
        <f t="shared" si="19"/>
        <v>0</v>
      </c>
    </row>
    <row r="200" spans="1:10" ht="17" thickBot="1" x14ac:dyDescent="0.25">
      <c r="A200" s="9" t="s">
        <v>89</v>
      </c>
      <c r="B200" s="76" t="s">
        <v>972</v>
      </c>
      <c r="C200" s="9" t="s">
        <v>36</v>
      </c>
      <c r="D200" s="9" t="s">
        <v>2062</v>
      </c>
      <c r="E200" s="9">
        <v>150</v>
      </c>
      <c r="F200" s="10">
        <v>12064</v>
      </c>
      <c r="G200" s="10">
        <f t="shared" si="18"/>
        <v>1809600</v>
      </c>
      <c r="H200" s="23"/>
      <c r="I200" s="24">
        <v>12064</v>
      </c>
      <c r="J200" s="24">
        <f t="shared" si="19"/>
        <v>0</v>
      </c>
    </row>
    <row r="201" spans="1:10" ht="17" thickBot="1" x14ac:dyDescent="0.25">
      <c r="A201" s="9" t="s">
        <v>76</v>
      </c>
      <c r="B201" s="76" t="s">
        <v>957</v>
      </c>
      <c r="C201" s="9" t="s">
        <v>36</v>
      </c>
      <c r="D201" s="9" t="s">
        <v>2063</v>
      </c>
      <c r="E201" s="9">
        <v>60</v>
      </c>
      <c r="F201" s="10">
        <v>4616.8</v>
      </c>
      <c r="G201" s="10">
        <f t="shared" si="18"/>
        <v>277008</v>
      </c>
      <c r="H201" s="23">
        <v>30</v>
      </c>
      <c r="I201" s="24">
        <v>4616.8</v>
      </c>
      <c r="J201" s="24">
        <f t="shared" si="19"/>
        <v>138504</v>
      </c>
    </row>
    <row r="202" spans="1:10" ht="17" thickBot="1" x14ac:dyDescent="0.25">
      <c r="A202" s="9" t="s">
        <v>2064</v>
      </c>
      <c r="B202" s="76" t="s">
        <v>2086</v>
      </c>
      <c r="C202" s="9" t="s">
        <v>36</v>
      </c>
      <c r="D202" s="9" t="s">
        <v>2065</v>
      </c>
      <c r="E202" s="9">
        <v>60</v>
      </c>
      <c r="F202" s="10">
        <v>13496.6</v>
      </c>
      <c r="G202" s="10">
        <f t="shared" si="18"/>
        <v>809796</v>
      </c>
      <c r="H202" s="23"/>
      <c r="I202" s="24">
        <v>13496.6</v>
      </c>
      <c r="J202" s="24">
        <f t="shared" si="19"/>
        <v>0</v>
      </c>
    </row>
    <row r="203" spans="1:10" ht="17" thickBot="1" x14ac:dyDescent="0.25">
      <c r="A203" s="9" t="s">
        <v>76</v>
      </c>
      <c r="B203" s="76" t="s">
        <v>860</v>
      </c>
      <c r="C203" s="9" t="s">
        <v>36</v>
      </c>
      <c r="D203" s="9" t="s">
        <v>2066</v>
      </c>
      <c r="E203" s="9">
        <v>60</v>
      </c>
      <c r="F203" s="10">
        <v>1763.2</v>
      </c>
      <c r="G203" s="10">
        <f t="shared" si="18"/>
        <v>105792</v>
      </c>
      <c r="H203" s="23">
        <v>30</v>
      </c>
      <c r="I203" s="24">
        <v>1763.2</v>
      </c>
      <c r="J203" s="24">
        <f t="shared" si="19"/>
        <v>52896</v>
      </c>
    </row>
    <row r="204" spans="1:10" ht="17" thickBot="1" x14ac:dyDescent="0.25">
      <c r="A204" s="9" t="s">
        <v>61</v>
      </c>
      <c r="B204" s="76" t="s">
        <v>2085</v>
      </c>
      <c r="C204" s="9" t="s">
        <v>36</v>
      </c>
      <c r="D204" s="9" t="s">
        <v>2067</v>
      </c>
      <c r="E204" s="9">
        <v>90</v>
      </c>
      <c r="F204" s="10">
        <v>6194.4</v>
      </c>
      <c r="G204" s="10">
        <f t="shared" si="18"/>
        <v>557496</v>
      </c>
      <c r="H204" s="23">
        <v>8</v>
      </c>
      <c r="I204" s="24">
        <v>6194.4</v>
      </c>
      <c r="J204" s="24">
        <f t="shared" si="19"/>
        <v>49555.199999999997</v>
      </c>
    </row>
    <row r="205" spans="1:10" ht="17" thickBot="1" x14ac:dyDescent="0.25">
      <c r="A205" s="9" t="s">
        <v>60</v>
      </c>
      <c r="B205" s="76" t="s">
        <v>836</v>
      </c>
      <c r="C205" s="9" t="s">
        <v>36</v>
      </c>
      <c r="D205" s="9" t="s">
        <v>2068</v>
      </c>
      <c r="E205" s="9">
        <v>70</v>
      </c>
      <c r="F205" s="10">
        <v>6960</v>
      </c>
      <c r="G205" s="10">
        <f t="shared" si="18"/>
        <v>487200</v>
      </c>
      <c r="H205" s="23">
        <v>35</v>
      </c>
      <c r="I205" s="24">
        <v>6960</v>
      </c>
      <c r="J205" s="24">
        <f t="shared" si="19"/>
        <v>243600</v>
      </c>
    </row>
    <row r="206" spans="1:10" ht="17" thickBot="1" x14ac:dyDescent="0.25">
      <c r="A206" s="9" t="s">
        <v>115</v>
      </c>
      <c r="B206" s="76" t="s">
        <v>954</v>
      </c>
      <c r="C206" s="9" t="s">
        <v>36</v>
      </c>
      <c r="D206" s="9" t="s">
        <v>2069</v>
      </c>
      <c r="E206" s="9">
        <v>180</v>
      </c>
      <c r="F206" s="10">
        <v>15080</v>
      </c>
      <c r="G206" s="10">
        <f t="shared" si="18"/>
        <v>2714400</v>
      </c>
      <c r="H206" s="23"/>
      <c r="I206" s="24">
        <v>15080</v>
      </c>
      <c r="J206" s="24">
        <f t="shared" si="19"/>
        <v>0</v>
      </c>
    </row>
    <row r="207" spans="1:10" ht="17" thickBot="1" x14ac:dyDescent="0.25">
      <c r="A207" s="9" t="s">
        <v>114</v>
      </c>
      <c r="B207" s="76" t="s">
        <v>1578</v>
      </c>
      <c r="C207" s="9" t="s">
        <v>36</v>
      </c>
      <c r="D207" s="9" t="s">
        <v>2070</v>
      </c>
      <c r="E207" s="9">
        <v>80</v>
      </c>
      <c r="F207" s="10">
        <v>6612</v>
      </c>
      <c r="G207" s="10">
        <f t="shared" si="18"/>
        <v>528960</v>
      </c>
      <c r="H207" s="23">
        <v>7</v>
      </c>
      <c r="I207" s="24">
        <v>6612</v>
      </c>
      <c r="J207" s="24">
        <f t="shared" si="19"/>
        <v>46284</v>
      </c>
    </row>
    <row r="208" spans="1:10" ht="17" thickBot="1" x14ac:dyDescent="0.25">
      <c r="E208" s="255"/>
      <c r="F208" s="255"/>
      <c r="G208" s="257">
        <f>SUM(G187:G207)</f>
        <v>11958962</v>
      </c>
      <c r="H208" s="255"/>
      <c r="I208" s="255"/>
      <c r="J208" s="259">
        <f>SUM(J187:J207)</f>
        <v>1566661.2</v>
      </c>
    </row>
    <row r="210" spans="1:10" ht="19" thickBot="1" x14ac:dyDescent="0.25">
      <c r="A210" s="276" t="s">
        <v>2137</v>
      </c>
      <c r="B210" s="2" t="s">
        <v>2135</v>
      </c>
      <c r="C210" s="274" t="s">
        <v>2136</v>
      </c>
    </row>
    <row r="211" spans="1:10" ht="17" thickBot="1" x14ac:dyDescent="0.25">
      <c r="A211" s="9" t="s">
        <v>342</v>
      </c>
      <c r="B211" s="9"/>
      <c r="C211" s="9" t="s">
        <v>36</v>
      </c>
      <c r="D211" s="266"/>
      <c r="E211" s="9">
        <v>44</v>
      </c>
      <c r="F211" s="10">
        <v>10672</v>
      </c>
      <c r="G211" s="10">
        <f>F211*E211</f>
        <v>469568</v>
      </c>
      <c r="H211" s="23">
        <v>44</v>
      </c>
      <c r="I211" s="24">
        <v>10672</v>
      </c>
      <c r="J211" s="24">
        <f>I211*H211</f>
        <v>469568</v>
      </c>
    </row>
    <row r="212" spans="1:10" ht="17" thickBot="1" x14ac:dyDescent="0.25">
      <c r="A212" s="9" t="s">
        <v>642</v>
      </c>
      <c r="B212" s="9"/>
      <c r="C212" s="9" t="s">
        <v>36</v>
      </c>
      <c r="D212" s="9" t="s">
        <v>2134</v>
      </c>
      <c r="E212" s="9">
        <v>500</v>
      </c>
      <c r="F212" s="10">
        <v>3851.2</v>
      </c>
      <c r="G212" s="10">
        <f>F212*E212</f>
        <v>1925600</v>
      </c>
      <c r="H212" s="23">
        <v>500</v>
      </c>
      <c r="I212" s="24">
        <v>3851.2</v>
      </c>
      <c r="J212" s="24">
        <f>I212*H212</f>
        <v>1925600</v>
      </c>
    </row>
    <row r="213" spans="1:10" ht="17" thickBot="1" x14ac:dyDescent="0.25">
      <c r="F213" s="3"/>
      <c r="G213" s="12">
        <f>G212+G211</f>
        <v>2395168</v>
      </c>
      <c r="I213" s="3"/>
      <c r="J213" s="26">
        <f>J212+J211</f>
        <v>2395168</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AC53D-3177-C44C-8779-4DF652A2F604}">
  <dimension ref="A2:P222"/>
  <sheetViews>
    <sheetView topLeftCell="C43" workbookViewId="0">
      <selection activeCell="Q66" sqref="Q66"/>
    </sheetView>
  </sheetViews>
  <sheetFormatPr baseColWidth="10" defaultRowHeight="16" x14ac:dyDescent="0.2"/>
  <cols>
    <col min="1" max="1" width="75.33203125" style="13" customWidth="1"/>
    <col min="2" max="2" width="25.33203125" style="85" customWidth="1"/>
    <col min="4" max="4" width="47.1640625" customWidth="1"/>
    <col min="5" max="5" width="11" bestFit="1" customWidth="1"/>
    <col min="6" max="6" width="13.5" style="1" customWidth="1"/>
    <col min="7" max="7" width="13" style="1" bestFit="1" customWidth="1"/>
    <col min="10" max="10" width="12.5" customWidth="1"/>
  </cols>
  <sheetData>
    <row r="2" spans="1:10" ht="39" thickBot="1" x14ac:dyDescent="0.25">
      <c r="A2" s="6" t="s">
        <v>966</v>
      </c>
      <c r="B2" s="82"/>
      <c r="C2" s="2" t="s">
        <v>143</v>
      </c>
      <c r="D2" s="2" t="s">
        <v>144</v>
      </c>
      <c r="E2" s="2"/>
      <c r="F2" s="3"/>
      <c r="G2" s="3"/>
    </row>
    <row r="3" spans="1:10" ht="18" thickBot="1" x14ac:dyDescent="0.25">
      <c r="A3" s="8" t="s">
        <v>145</v>
      </c>
      <c r="B3" s="75" t="s">
        <v>914</v>
      </c>
      <c r="C3" s="9" t="s">
        <v>4</v>
      </c>
      <c r="D3" s="9" t="s">
        <v>146</v>
      </c>
      <c r="E3" s="9">
        <v>3</v>
      </c>
      <c r="F3" s="10">
        <v>6148</v>
      </c>
      <c r="G3" s="10">
        <f>E3*F3</f>
        <v>18444</v>
      </c>
      <c r="H3" s="18">
        <v>3</v>
      </c>
      <c r="I3" s="19">
        <v>6148</v>
      </c>
      <c r="J3" s="19">
        <f>H3*I3</f>
        <v>18444</v>
      </c>
    </row>
    <row r="4" spans="1:10" ht="18" thickBot="1" x14ac:dyDescent="0.25">
      <c r="A4" s="8" t="s">
        <v>57</v>
      </c>
      <c r="B4" s="75" t="s">
        <v>915</v>
      </c>
      <c r="C4" s="9" t="s">
        <v>4</v>
      </c>
      <c r="D4" s="9" t="s">
        <v>148</v>
      </c>
      <c r="E4" s="9">
        <v>10</v>
      </c>
      <c r="F4" s="10">
        <v>4408</v>
      </c>
      <c r="G4" s="10">
        <f>E4*F4</f>
        <v>44080</v>
      </c>
      <c r="H4" s="18">
        <v>10</v>
      </c>
      <c r="I4" s="19">
        <v>4408</v>
      </c>
      <c r="J4" s="19">
        <f>H4*I4</f>
        <v>44080</v>
      </c>
    </row>
    <row r="5" spans="1:10" ht="18" thickBot="1" x14ac:dyDescent="0.25">
      <c r="A5" s="8" t="s">
        <v>46</v>
      </c>
      <c r="B5" s="75" t="s">
        <v>916</v>
      </c>
      <c r="C5" s="9" t="s">
        <v>4</v>
      </c>
      <c r="D5" s="9" t="s">
        <v>147</v>
      </c>
      <c r="E5" s="9">
        <v>6</v>
      </c>
      <c r="F5" s="10">
        <v>8236</v>
      </c>
      <c r="G5" s="10">
        <f>E5*F5</f>
        <v>49416</v>
      </c>
      <c r="H5" s="18">
        <v>6</v>
      </c>
      <c r="I5" s="19">
        <v>8236</v>
      </c>
      <c r="J5" s="19">
        <f>H5*I5</f>
        <v>49416</v>
      </c>
    </row>
    <row r="6" spans="1:10" ht="17" thickBot="1" x14ac:dyDescent="0.25">
      <c r="A6" s="4"/>
      <c r="B6" s="79"/>
      <c r="C6" s="2"/>
      <c r="D6" s="2"/>
      <c r="E6" s="2"/>
      <c r="F6" s="3"/>
      <c r="G6" s="12">
        <f>SUM(G3:G5)</f>
        <v>111940</v>
      </c>
      <c r="H6" s="2"/>
      <c r="I6" s="3"/>
      <c r="J6" s="34">
        <f>SUM(J3:J5)</f>
        <v>111940</v>
      </c>
    </row>
    <row r="7" spans="1:10" ht="20" thickBot="1" x14ac:dyDescent="0.25">
      <c r="A7" s="6" t="s">
        <v>149</v>
      </c>
      <c r="B7" s="82"/>
      <c r="C7" s="2" t="s">
        <v>181</v>
      </c>
      <c r="D7" s="2"/>
      <c r="E7" s="2"/>
      <c r="F7" s="3"/>
      <c r="G7" s="3"/>
    </row>
    <row r="8" spans="1:10" ht="18" thickBot="1" x14ac:dyDescent="0.25">
      <c r="A8" s="8" t="s">
        <v>150</v>
      </c>
      <c r="B8" s="75" t="s">
        <v>970</v>
      </c>
      <c r="C8" s="9" t="s">
        <v>4</v>
      </c>
      <c r="D8" s="9" t="s">
        <v>151</v>
      </c>
      <c r="E8" s="9">
        <v>10</v>
      </c>
      <c r="F8" s="10">
        <v>8236</v>
      </c>
      <c r="G8" s="10">
        <f>E8*F8</f>
        <v>82360</v>
      </c>
      <c r="H8" s="18">
        <v>10</v>
      </c>
      <c r="I8" s="19">
        <v>8236</v>
      </c>
      <c r="J8" s="19">
        <f>H8*I8</f>
        <v>82360</v>
      </c>
    </row>
    <row r="9" spans="1:10" ht="18" thickBot="1" x14ac:dyDescent="0.25">
      <c r="A9" s="8" t="s">
        <v>59</v>
      </c>
      <c r="B9" s="81" t="s">
        <v>917</v>
      </c>
      <c r="C9" s="9" t="s">
        <v>4</v>
      </c>
      <c r="D9" s="9" t="s">
        <v>152</v>
      </c>
      <c r="E9" s="9">
        <v>12</v>
      </c>
      <c r="F9" s="10">
        <v>3248</v>
      </c>
      <c r="G9" s="10">
        <f>E9*F9</f>
        <v>38976</v>
      </c>
      <c r="H9" s="18">
        <v>12</v>
      </c>
      <c r="I9" s="19">
        <v>3248</v>
      </c>
      <c r="J9" s="19">
        <f>H9*I9</f>
        <v>38976</v>
      </c>
    </row>
    <row r="10" spans="1:10" ht="17" thickBot="1" x14ac:dyDescent="0.25">
      <c r="A10" s="4"/>
      <c r="B10" s="79"/>
      <c r="C10" s="2"/>
      <c r="D10" s="2"/>
      <c r="E10" s="2"/>
      <c r="F10" s="3"/>
      <c r="G10" s="12">
        <f>SUM(G8:G9)</f>
        <v>121336</v>
      </c>
      <c r="H10" s="2"/>
      <c r="I10" s="3"/>
      <c r="J10" s="34">
        <f>SUM(J8:J9)</f>
        <v>121336</v>
      </c>
    </row>
    <row r="11" spans="1:10" ht="18" thickBot="1" x14ac:dyDescent="0.25">
      <c r="A11" s="7" t="s">
        <v>565</v>
      </c>
      <c r="B11" s="80"/>
      <c r="C11" s="2" t="s">
        <v>143</v>
      </c>
      <c r="D11" s="2" t="s">
        <v>144</v>
      </c>
      <c r="E11" s="2"/>
      <c r="F11" s="38"/>
      <c r="G11" s="38"/>
    </row>
    <row r="12" spans="1:10" ht="18" thickBot="1" x14ac:dyDescent="0.25">
      <c r="A12" s="8" t="s">
        <v>566</v>
      </c>
      <c r="B12" s="75"/>
      <c r="C12" s="9" t="s">
        <v>4</v>
      </c>
      <c r="D12" s="9" t="s">
        <v>567</v>
      </c>
      <c r="E12" s="9">
        <v>12</v>
      </c>
      <c r="F12" s="40">
        <v>2668</v>
      </c>
      <c r="G12" s="40">
        <f>E12*F12</f>
        <v>32016</v>
      </c>
      <c r="H12" s="18">
        <v>12</v>
      </c>
      <c r="I12" s="53">
        <v>2668</v>
      </c>
      <c r="J12" s="53">
        <f>H12*I12</f>
        <v>32016</v>
      </c>
    </row>
    <row r="13" spans="1:10" ht="18" thickBot="1" x14ac:dyDescent="0.25">
      <c r="A13" s="8" t="s">
        <v>568</v>
      </c>
      <c r="B13" s="75"/>
      <c r="C13" s="9" t="s">
        <v>4</v>
      </c>
      <c r="D13" s="9" t="s">
        <v>569</v>
      </c>
      <c r="E13" s="9">
        <v>18</v>
      </c>
      <c r="F13" s="40">
        <v>11600</v>
      </c>
      <c r="G13" s="40">
        <f t="shared" ref="G13:G22" si="0">E13*F13</f>
        <v>208800</v>
      </c>
      <c r="H13" s="18">
        <v>18</v>
      </c>
      <c r="I13" s="53">
        <v>11600</v>
      </c>
      <c r="J13" s="53">
        <f t="shared" ref="J13:J22" si="1">H13*I13</f>
        <v>208800</v>
      </c>
    </row>
    <row r="14" spans="1:10" ht="18" thickBot="1" x14ac:dyDescent="0.25">
      <c r="A14" s="8" t="s">
        <v>570</v>
      </c>
      <c r="B14" s="75"/>
      <c r="C14" s="9" t="s">
        <v>4</v>
      </c>
      <c r="D14" s="9" t="s">
        <v>571</v>
      </c>
      <c r="E14" s="9">
        <v>2</v>
      </c>
      <c r="F14" s="40">
        <v>9048</v>
      </c>
      <c r="G14" s="40">
        <f t="shared" si="0"/>
        <v>18096</v>
      </c>
      <c r="H14" s="18">
        <v>2</v>
      </c>
      <c r="I14" s="53">
        <v>9048</v>
      </c>
      <c r="J14" s="53">
        <f t="shared" si="1"/>
        <v>18096</v>
      </c>
    </row>
    <row r="15" spans="1:10" ht="18" thickBot="1" x14ac:dyDescent="0.25">
      <c r="A15" s="8" t="s">
        <v>572</v>
      </c>
      <c r="B15" s="75"/>
      <c r="C15" s="9" t="s">
        <v>4</v>
      </c>
      <c r="D15" s="9" t="s">
        <v>573</v>
      </c>
      <c r="E15" s="9">
        <v>6</v>
      </c>
      <c r="F15" s="40">
        <v>12992</v>
      </c>
      <c r="G15" s="40">
        <f t="shared" si="0"/>
        <v>77952</v>
      </c>
      <c r="H15" s="18">
        <v>6</v>
      </c>
      <c r="I15" s="53">
        <v>12992</v>
      </c>
      <c r="J15" s="53">
        <f t="shared" si="1"/>
        <v>77952</v>
      </c>
    </row>
    <row r="16" spans="1:10" ht="18" thickBot="1" x14ac:dyDescent="0.25">
      <c r="A16" s="8" t="s">
        <v>574</v>
      </c>
      <c r="B16" s="75"/>
      <c r="C16" s="9" t="s">
        <v>4</v>
      </c>
      <c r="D16" s="9" t="s">
        <v>575</v>
      </c>
      <c r="E16" s="9">
        <v>6</v>
      </c>
      <c r="F16" s="40">
        <v>2900</v>
      </c>
      <c r="G16" s="40">
        <f t="shared" si="0"/>
        <v>17400</v>
      </c>
      <c r="H16" s="18">
        <v>6</v>
      </c>
      <c r="I16" s="53">
        <v>2900</v>
      </c>
      <c r="J16" s="53">
        <f t="shared" si="1"/>
        <v>17400</v>
      </c>
    </row>
    <row r="17" spans="1:10" ht="18" thickBot="1" x14ac:dyDescent="0.25">
      <c r="A17" s="8" t="s">
        <v>574</v>
      </c>
      <c r="B17" s="75"/>
      <c r="C17" s="9" t="s">
        <v>4</v>
      </c>
      <c r="D17" s="9" t="s">
        <v>576</v>
      </c>
      <c r="E17" s="9">
        <v>6</v>
      </c>
      <c r="F17" s="40">
        <v>11832</v>
      </c>
      <c r="G17" s="40">
        <f t="shared" si="0"/>
        <v>70992</v>
      </c>
      <c r="H17" s="18">
        <v>6</v>
      </c>
      <c r="I17" s="53">
        <v>11832</v>
      </c>
      <c r="J17" s="53">
        <f t="shared" si="1"/>
        <v>70992</v>
      </c>
    </row>
    <row r="18" spans="1:10" ht="18" thickBot="1" x14ac:dyDescent="0.25">
      <c r="A18" s="8" t="s">
        <v>572</v>
      </c>
      <c r="B18" s="75"/>
      <c r="C18" s="9" t="s">
        <v>4</v>
      </c>
      <c r="D18" s="9" t="s">
        <v>577</v>
      </c>
      <c r="E18" s="9">
        <v>10</v>
      </c>
      <c r="F18" s="40">
        <v>4060</v>
      </c>
      <c r="G18" s="40">
        <f t="shared" si="0"/>
        <v>40600</v>
      </c>
      <c r="H18" s="18">
        <v>10</v>
      </c>
      <c r="I18" s="53">
        <v>4060</v>
      </c>
      <c r="J18" s="53">
        <f t="shared" si="1"/>
        <v>40600</v>
      </c>
    </row>
    <row r="19" spans="1:10" ht="18" thickBot="1" x14ac:dyDescent="0.25">
      <c r="A19" s="8" t="s">
        <v>578</v>
      </c>
      <c r="B19" s="75"/>
      <c r="C19" s="9" t="s">
        <v>4</v>
      </c>
      <c r="D19" s="9" t="s">
        <v>579</v>
      </c>
      <c r="E19" s="9">
        <v>6</v>
      </c>
      <c r="F19" s="40">
        <v>10092</v>
      </c>
      <c r="G19" s="40">
        <f t="shared" si="0"/>
        <v>60552</v>
      </c>
      <c r="H19" s="18">
        <v>6</v>
      </c>
      <c r="I19" s="53">
        <v>10092</v>
      </c>
      <c r="J19" s="53">
        <f t="shared" si="1"/>
        <v>60552</v>
      </c>
    </row>
    <row r="20" spans="1:10" ht="18" thickBot="1" x14ac:dyDescent="0.25">
      <c r="A20" s="8" t="s">
        <v>572</v>
      </c>
      <c r="B20" s="75"/>
      <c r="C20" s="9" t="s">
        <v>4</v>
      </c>
      <c r="D20" s="9" t="s">
        <v>580</v>
      </c>
      <c r="E20" s="9">
        <v>20</v>
      </c>
      <c r="F20" s="40">
        <v>2900</v>
      </c>
      <c r="G20" s="40">
        <f t="shared" si="0"/>
        <v>58000</v>
      </c>
      <c r="H20" s="18">
        <v>20</v>
      </c>
      <c r="I20" s="53">
        <v>2900</v>
      </c>
      <c r="J20" s="53">
        <f t="shared" si="1"/>
        <v>58000</v>
      </c>
    </row>
    <row r="21" spans="1:10" ht="18" thickBot="1" x14ac:dyDescent="0.25">
      <c r="A21" s="8" t="s">
        <v>581</v>
      </c>
      <c r="B21" s="75"/>
      <c r="C21" s="9" t="s">
        <v>4</v>
      </c>
      <c r="D21" s="9" t="s">
        <v>582</v>
      </c>
      <c r="E21" s="9">
        <v>6</v>
      </c>
      <c r="F21" s="40">
        <v>10208</v>
      </c>
      <c r="G21" s="40">
        <f t="shared" si="0"/>
        <v>61248</v>
      </c>
      <c r="H21" s="18">
        <v>6</v>
      </c>
      <c r="I21" s="53">
        <v>10208</v>
      </c>
      <c r="J21" s="53">
        <f t="shared" si="1"/>
        <v>61248</v>
      </c>
    </row>
    <row r="22" spans="1:10" ht="18" thickBot="1" x14ac:dyDescent="0.25">
      <c r="A22" s="8" t="s">
        <v>570</v>
      </c>
      <c r="B22" s="75"/>
      <c r="C22" s="9" t="s">
        <v>4</v>
      </c>
      <c r="D22" s="9" t="s">
        <v>583</v>
      </c>
      <c r="E22" s="9">
        <v>3</v>
      </c>
      <c r="F22" s="40">
        <v>9396</v>
      </c>
      <c r="G22" s="40">
        <f t="shared" si="0"/>
        <v>28188</v>
      </c>
      <c r="H22" s="18">
        <v>3</v>
      </c>
      <c r="I22" s="53">
        <v>9396</v>
      </c>
      <c r="J22" s="53">
        <f t="shared" si="1"/>
        <v>28188</v>
      </c>
    </row>
    <row r="23" spans="1:10" ht="17" thickBot="1" x14ac:dyDescent="0.25">
      <c r="A23" s="4"/>
      <c r="B23" s="79"/>
      <c r="C23" s="2"/>
      <c r="D23" s="2"/>
      <c r="E23" s="2"/>
      <c r="F23" s="38"/>
      <c r="G23" s="50">
        <f>SUM(G12:G22)</f>
        <v>673844</v>
      </c>
      <c r="H23" s="2"/>
      <c r="I23" s="38"/>
      <c r="J23" s="54">
        <f>SUM(J12:J22)</f>
        <v>673844</v>
      </c>
    </row>
    <row r="24" spans="1:10" x14ac:dyDescent="0.2">
      <c r="A24" s="4"/>
      <c r="B24" s="79"/>
      <c r="C24" s="2"/>
      <c r="D24" s="2"/>
      <c r="E24" s="2"/>
      <c r="F24" s="3"/>
      <c r="G24" s="33"/>
    </row>
    <row r="26" spans="1:10" ht="17" thickBot="1" x14ac:dyDescent="0.25">
      <c r="A26" s="45" t="s">
        <v>502</v>
      </c>
      <c r="B26" s="83"/>
      <c r="C26" s="45" t="s">
        <v>503</v>
      </c>
      <c r="D26" s="45" t="s">
        <v>504</v>
      </c>
      <c r="E26" s="45"/>
      <c r="F26" s="45"/>
    </row>
    <row r="27" spans="1:10" ht="17" thickBot="1" x14ac:dyDescent="0.25">
      <c r="A27" s="47" t="s">
        <v>505</v>
      </c>
      <c r="B27" s="84"/>
      <c r="C27" s="47" t="s">
        <v>4</v>
      </c>
      <c r="D27" s="16"/>
      <c r="E27" s="48">
        <v>71176</v>
      </c>
      <c r="F27" s="47">
        <v>70</v>
      </c>
      <c r="G27" s="48">
        <f>E27*F27</f>
        <v>4982320</v>
      </c>
    </row>
    <row r="28" spans="1:10" ht="17" thickBot="1" x14ac:dyDescent="0.25">
      <c r="A28" s="47" t="s">
        <v>506</v>
      </c>
      <c r="B28" s="84"/>
      <c r="C28" s="47" t="s">
        <v>4</v>
      </c>
      <c r="D28" s="16"/>
      <c r="E28" s="48">
        <v>6500</v>
      </c>
      <c r="F28" s="47">
        <v>2</v>
      </c>
      <c r="G28" s="48">
        <f t="shared" ref="G28:G62" si="2">E28*F28</f>
        <v>13000</v>
      </c>
    </row>
    <row r="29" spans="1:10" ht="17" thickBot="1" x14ac:dyDescent="0.25">
      <c r="A29" s="47" t="s">
        <v>507</v>
      </c>
      <c r="B29" s="84"/>
      <c r="C29" s="47" t="s">
        <v>4</v>
      </c>
      <c r="D29" s="16"/>
      <c r="E29" s="48">
        <v>10304</v>
      </c>
      <c r="F29" s="47">
        <v>2</v>
      </c>
      <c r="G29" s="48">
        <f t="shared" si="2"/>
        <v>20608</v>
      </c>
    </row>
    <row r="30" spans="1:10" ht="17" thickBot="1" x14ac:dyDescent="0.25">
      <c r="A30" s="47" t="s">
        <v>508</v>
      </c>
      <c r="B30" s="84"/>
      <c r="C30" s="47" t="s">
        <v>4</v>
      </c>
      <c r="D30" s="16"/>
      <c r="E30" s="48">
        <v>6500</v>
      </c>
      <c r="F30" s="47">
        <v>80</v>
      </c>
      <c r="G30" s="48">
        <f t="shared" si="2"/>
        <v>520000</v>
      </c>
    </row>
    <row r="31" spans="1:10" ht="17" thickBot="1" x14ac:dyDescent="0.25">
      <c r="A31" s="47" t="s">
        <v>509</v>
      </c>
      <c r="B31" s="84"/>
      <c r="C31" s="47" t="s">
        <v>4</v>
      </c>
      <c r="D31" s="16"/>
      <c r="E31" s="48">
        <v>15000</v>
      </c>
      <c r="F31" s="47">
        <v>2</v>
      </c>
      <c r="G31" s="48">
        <f t="shared" si="2"/>
        <v>30000</v>
      </c>
    </row>
    <row r="32" spans="1:10" ht="17" thickBot="1" x14ac:dyDescent="0.25">
      <c r="A32" s="47" t="s">
        <v>510</v>
      </c>
      <c r="B32" s="84"/>
      <c r="C32" s="47" t="s">
        <v>4</v>
      </c>
      <c r="D32" s="16"/>
      <c r="E32" s="48">
        <v>6000</v>
      </c>
      <c r="F32" s="47">
        <v>100</v>
      </c>
      <c r="G32" s="48">
        <f t="shared" si="2"/>
        <v>600000</v>
      </c>
    </row>
    <row r="33" spans="1:7" ht="17" thickBot="1" x14ac:dyDescent="0.25">
      <c r="A33" s="47" t="s">
        <v>511</v>
      </c>
      <c r="B33" s="84"/>
      <c r="C33" s="47" t="s">
        <v>4</v>
      </c>
      <c r="D33" s="16"/>
      <c r="E33" s="48">
        <v>7280</v>
      </c>
      <c r="F33" s="47">
        <v>20</v>
      </c>
      <c r="G33" s="48">
        <f t="shared" si="2"/>
        <v>145600</v>
      </c>
    </row>
    <row r="34" spans="1:7" ht="17" thickBot="1" x14ac:dyDescent="0.25">
      <c r="A34" s="47" t="s">
        <v>512</v>
      </c>
      <c r="B34" s="84"/>
      <c r="C34" s="47" t="s">
        <v>4</v>
      </c>
      <c r="D34" s="16"/>
      <c r="E34" s="48">
        <v>13955.2</v>
      </c>
      <c r="F34" s="47">
        <v>20</v>
      </c>
      <c r="G34" s="48">
        <f t="shared" si="2"/>
        <v>279104</v>
      </c>
    </row>
    <row r="35" spans="1:7" ht="17" thickBot="1" x14ac:dyDescent="0.25">
      <c r="A35" s="47" t="s">
        <v>513</v>
      </c>
      <c r="B35" s="84"/>
      <c r="C35" s="47" t="s">
        <v>4</v>
      </c>
      <c r="D35" s="16"/>
      <c r="E35" s="48">
        <v>4200</v>
      </c>
      <c r="F35" s="47">
        <v>2</v>
      </c>
      <c r="G35" s="48">
        <f t="shared" si="2"/>
        <v>8400</v>
      </c>
    </row>
    <row r="36" spans="1:7" ht="17" thickBot="1" x14ac:dyDescent="0.25">
      <c r="A36" s="47" t="s">
        <v>514</v>
      </c>
      <c r="B36" s="84"/>
      <c r="C36" s="47" t="s">
        <v>4</v>
      </c>
      <c r="D36" s="16"/>
      <c r="E36" s="48">
        <v>6000</v>
      </c>
      <c r="F36" s="47">
        <v>10</v>
      </c>
      <c r="G36" s="48">
        <f t="shared" si="2"/>
        <v>60000</v>
      </c>
    </row>
    <row r="37" spans="1:7" ht="17" thickBot="1" x14ac:dyDescent="0.25">
      <c r="A37" s="47" t="s">
        <v>515</v>
      </c>
      <c r="B37" s="84"/>
      <c r="C37" s="47" t="s">
        <v>4</v>
      </c>
      <c r="D37" s="16"/>
      <c r="E37" s="48">
        <v>17000</v>
      </c>
      <c r="F37" s="47">
        <v>1</v>
      </c>
      <c r="G37" s="48">
        <f t="shared" si="2"/>
        <v>17000</v>
      </c>
    </row>
    <row r="38" spans="1:7" ht="17" thickBot="1" x14ac:dyDescent="0.25">
      <c r="A38" s="47" t="s">
        <v>516</v>
      </c>
      <c r="B38" s="84"/>
      <c r="C38" s="47" t="s">
        <v>4</v>
      </c>
      <c r="D38" s="16"/>
      <c r="E38" s="48">
        <v>18000</v>
      </c>
      <c r="F38" s="47">
        <v>4</v>
      </c>
      <c r="G38" s="48">
        <f t="shared" si="2"/>
        <v>72000</v>
      </c>
    </row>
    <row r="39" spans="1:7" ht="17" thickBot="1" x14ac:dyDescent="0.25">
      <c r="A39" s="47" t="s">
        <v>517</v>
      </c>
      <c r="B39" s="84"/>
      <c r="C39" s="47" t="s">
        <v>4</v>
      </c>
      <c r="D39" s="16"/>
      <c r="E39" s="48">
        <v>7280</v>
      </c>
      <c r="F39" s="47">
        <v>5</v>
      </c>
      <c r="G39" s="48">
        <f t="shared" si="2"/>
        <v>36400</v>
      </c>
    </row>
    <row r="40" spans="1:7" ht="17" thickBot="1" x14ac:dyDescent="0.25">
      <c r="A40" s="47" t="s">
        <v>518</v>
      </c>
      <c r="B40" s="84"/>
      <c r="C40" s="47" t="s">
        <v>4</v>
      </c>
      <c r="D40" s="16"/>
      <c r="E40" s="48">
        <v>7728</v>
      </c>
      <c r="F40" s="47">
        <v>20</v>
      </c>
      <c r="G40" s="48">
        <f t="shared" si="2"/>
        <v>154560</v>
      </c>
    </row>
    <row r="41" spans="1:7" ht="17" thickBot="1" x14ac:dyDescent="0.25">
      <c r="A41" s="47" t="s">
        <v>519</v>
      </c>
      <c r="B41" s="84"/>
      <c r="C41" s="47" t="s">
        <v>4</v>
      </c>
      <c r="D41" s="16"/>
      <c r="E41" s="48">
        <v>9408</v>
      </c>
      <c r="F41" s="47">
        <v>10</v>
      </c>
      <c r="G41" s="48">
        <f t="shared" si="2"/>
        <v>94080</v>
      </c>
    </row>
    <row r="42" spans="1:7" ht="17" thickBot="1" x14ac:dyDescent="0.25">
      <c r="A42" s="47" t="s">
        <v>520</v>
      </c>
      <c r="B42" s="84"/>
      <c r="C42" s="47" t="s">
        <v>4</v>
      </c>
      <c r="D42" s="16"/>
      <c r="E42" s="48">
        <v>15000</v>
      </c>
      <c r="F42" s="47">
        <v>2</v>
      </c>
      <c r="G42" s="48">
        <f t="shared" si="2"/>
        <v>30000</v>
      </c>
    </row>
    <row r="43" spans="1:7" ht="17" thickBot="1" x14ac:dyDescent="0.25">
      <c r="A43" s="47" t="s">
        <v>521</v>
      </c>
      <c r="B43" s="84"/>
      <c r="C43" s="47" t="s">
        <v>4</v>
      </c>
      <c r="D43" s="16"/>
      <c r="E43" s="48">
        <v>6200</v>
      </c>
      <c r="F43" s="47">
        <v>5</v>
      </c>
      <c r="G43" s="48">
        <f t="shared" si="2"/>
        <v>31000</v>
      </c>
    </row>
    <row r="44" spans="1:7" ht="17" thickBot="1" x14ac:dyDescent="0.25">
      <c r="A44" s="47" t="s">
        <v>522</v>
      </c>
      <c r="B44" s="84"/>
      <c r="C44" s="47" t="s">
        <v>4</v>
      </c>
      <c r="D44" s="16"/>
      <c r="E44" s="48">
        <v>16500</v>
      </c>
      <c r="F44" s="47">
        <v>2</v>
      </c>
      <c r="G44" s="48">
        <f t="shared" si="2"/>
        <v>33000</v>
      </c>
    </row>
    <row r="45" spans="1:7" ht="17" thickBot="1" x14ac:dyDescent="0.25">
      <c r="A45" s="47" t="s">
        <v>523</v>
      </c>
      <c r="B45" s="84"/>
      <c r="C45" s="47" t="s">
        <v>4</v>
      </c>
      <c r="D45" s="16"/>
      <c r="E45" s="48">
        <v>17200</v>
      </c>
      <c r="F45" s="47">
        <v>2</v>
      </c>
      <c r="G45" s="48">
        <f t="shared" si="2"/>
        <v>34400</v>
      </c>
    </row>
    <row r="46" spans="1:7" ht="17" thickBot="1" x14ac:dyDescent="0.25">
      <c r="A46" s="47" t="s">
        <v>524</v>
      </c>
      <c r="B46" s="84"/>
      <c r="C46" s="47" t="s">
        <v>4</v>
      </c>
      <c r="D46" s="16"/>
      <c r="E46" s="48">
        <v>12500</v>
      </c>
      <c r="F46" s="47">
        <v>3</v>
      </c>
      <c r="G46" s="48">
        <f t="shared" si="2"/>
        <v>37500</v>
      </c>
    </row>
    <row r="47" spans="1:7" ht="17" thickBot="1" x14ac:dyDescent="0.25">
      <c r="A47" s="47" t="s">
        <v>525</v>
      </c>
      <c r="B47" s="84"/>
      <c r="C47" s="47" t="s">
        <v>4</v>
      </c>
      <c r="D47" s="16"/>
      <c r="E47" s="48">
        <v>1160</v>
      </c>
      <c r="F47" s="47">
        <v>80</v>
      </c>
      <c r="G47" s="48">
        <f t="shared" si="2"/>
        <v>92800</v>
      </c>
    </row>
    <row r="48" spans="1:7" ht="17" thickBot="1" x14ac:dyDescent="0.25">
      <c r="A48" s="47" t="s">
        <v>526</v>
      </c>
      <c r="B48" s="84"/>
      <c r="C48" s="47" t="s">
        <v>4</v>
      </c>
      <c r="D48" s="16"/>
      <c r="E48" s="48">
        <v>5500</v>
      </c>
      <c r="F48" s="47">
        <v>6</v>
      </c>
      <c r="G48" s="48">
        <f t="shared" si="2"/>
        <v>33000</v>
      </c>
    </row>
    <row r="49" spans="1:9" ht="17" thickBot="1" x14ac:dyDescent="0.25">
      <c r="A49" s="47" t="s">
        <v>527</v>
      </c>
      <c r="B49" s="84"/>
      <c r="C49" s="47" t="s">
        <v>4</v>
      </c>
      <c r="D49" s="16"/>
      <c r="E49" s="48">
        <v>10500</v>
      </c>
      <c r="F49" s="47">
        <v>6</v>
      </c>
      <c r="G49" s="48">
        <f t="shared" si="2"/>
        <v>63000</v>
      </c>
    </row>
    <row r="50" spans="1:9" ht="17" thickBot="1" x14ac:dyDescent="0.25">
      <c r="A50" s="47" t="s">
        <v>528</v>
      </c>
      <c r="B50" s="84"/>
      <c r="C50" s="47" t="s">
        <v>4</v>
      </c>
      <c r="D50" s="16"/>
      <c r="E50" s="48">
        <v>12500</v>
      </c>
      <c r="F50" s="47">
        <v>5</v>
      </c>
      <c r="G50" s="48">
        <f t="shared" si="2"/>
        <v>62500</v>
      </c>
    </row>
    <row r="51" spans="1:9" ht="17" thickBot="1" x14ac:dyDescent="0.25">
      <c r="A51" s="47" t="s">
        <v>529</v>
      </c>
      <c r="B51" s="84"/>
      <c r="C51" s="47" t="s">
        <v>4</v>
      </c>
      <c r="D51" s="16"/>
      <c r="E51" s="48">
        <v>5000</v>
      </c>
      <c r="F51" s="47">
        <v>5</v>
      </c>
      <c r="G51" s="48">
        <f t="shared" si="2"/>
        <v>25000</v>
      </c>
    </row>
    <row r="52" spans="1:9" ht="17" thickBot="1" x14ac:dyDescent="0.25">
      <c r="A52" s="47" t="s">
        <v>530</v>
      </c>
      <c r="B52" s="84"/>
      <c r="C52" s="47" t="s">
        <v>4</v>
      </c>
      <c r="D52" s="16"/>
      <c r="E52" s="48">
        <v>12000</v>
      </c>
      <c r="F52" s="47">
        <v>2</v>
      </c>
      <c r="G52" s="48">
        <f t="shared" si="2"/>
        <v>24000</v>
      </c>
    </row>
    <row r="53" spans="1:9" ht="17" thickBot="1" x14ac:dyDescent="0.25">
      <c r="A53" s="47" t="s">
        <v>531</v>
      </c>
      <c r="B53" s="84"/>
      <c r="C53" s="47" t="s">
        <v>4</v>
      </c>
      <c r="D53" s="16"/>
      <c r="E53" s="48">
        <v>5500</v>
      </c>
      <c r="F53" s="47">
        <v>5</v>
      </c>
      <c r="G53" s="48">
        <f t="shared" si="2"/>
        <v>27500</v>
      </c>
    </row>
    <row r="54" spans="1:9" ht="17" thickBot="1" x14ac:dyDescent="0.25">
      <c r="A54" s="47" t="s">
        <v>532</v>
      </c>
      <c r="B54" s="84"/>
      <c r="C54" s="47" t="s">
        <v>4</v>
      </c>
      <c r="D54" s="16"/>
      <c r="E54" s="48">
        <v>8000</v>
      </c>
      <c r="F54" s="47">
        <v>6</v>
      </c>
      <c r="G54" s="48">
        <f t="shared" si="2"/>
        <v>48000</v>
      </c>
    </row>
    <row r="55" spans="1:9" ht="17" thickBot="1" x14ac:dyDescent="0.25">
      <c r="A55" s="47" t="s">
        <v>533</v>
      </c>
      <c r="B55" s="84"/>
      <c r="C55" s="47" t="s">
        <v>4</v>
      </c>
      <c r="D55" s="16"/>
      <c r="E55" s="48">
        <v>8000</v>
      </c>
      <c r="F55" s="47">
        <v>6</v>
      </c>
      <c r="G55" s="48">
        <f t="shared" si="2"/>
        <v>48000</v>
      </c>
    </row>
    <row r="56" spans="1:9" ht="17" thickBot="1" x14ac:dyDescent="0.25">
      <c r="A56" s="47" t="s">
        <v>534</v>
      </c>
      <c r="B56" s="84"/>
      <c r="C56" s="47" t="s">
        <v>4</v>
      </c>
      <c r="D56" s="16"/>
      <c r="E56" s="48">
        <v>10200</v>
      </c>
      <c r="F56" s="47">
        <v>5</v>
      </c>
      <c r="G56" s="48">
        <f t="shared" si="2"/>
        <v>51000</v>
      </c>
    </row>
    <row r="57" spans="1:9" ht="17" thickBot="1" x14ac:dyDescent="0.25">
      <c r="A57" s="47" t="s">
        <v>535</v>
      </c>
      <c r="B57" s="84"/>
      <c r="C57" s="47" t="s">
        <v>4</v>
      </c>
      <c r="D57" s="16"/>
      <c r="E57" s="47">
        <v>700</v>
      </c>
      <c r="F57" s="47">
        <v>10</v>
      </c>
      <c r="G57" s="48">
        <f t="shared" si="2"/>
        <v>7000</v>
      </c>
    </row>
    <row r="58" spans="1:9" ht="17" thickBot="1" x14ac:dyDescent="0.25">
      <c r="A58" s="47" t="s">
        <v>536</v>
      </c>
      <c r="B58" s="84"/>
      <c r="C58" s="47" t="s">
        <v>4</v>
      </c>
      <c r="D58" s="16"/>
      <c r="E58" s="48">
        <v>8900</v>
      </c>
      <c r="F58" s="47">
        <v>2</v>
      </c>
      <c r="G58" s="48">
        <f t="shared" si="2"/>
        <v>17800</v>
      </c>
    </row>
    <row r="59" spans="1:9" ht="17" thickBot="1" x14ac:dyDescent="0.25">
      <c r="A59" s="47" t="s">
        <v>537</v>
      </c>
      <c r="B59" s="84"/>
      <c r="C59" s="47" t="s">
        <v>4</v>
      </c>
      <c r="D59" s="16"/>
      <c r="E59" s="48">
        <v>5700</v>
      </c>
      <c r="F59" s="47">
        <v>5</v>
      </c>
      <c r="G59" s="48">
        <f t="shared" si="2"/>
        <v>28500</v>
      </c>
    </row>
    <row r="60" spans="1:9" ht="17" thickBot="1" x14ac:dyDescent="0.25">
      <c r="A60" s="47" t="s">
        <v>538</v>
      </c>
      <c r="B60" s="84"/>
      <c r="C60" s="47" t="s">
        <v>4</v>
      </c>
      <c r="D60" s="16"/>
      <c r="E60" s="48">
        <v>8200</v>
      </c>
      <c r="F60" s="47">
        <v>5</v>
      </c>
      <c r="G60" s="48">
        <f t="shared" si="2"/>
        <v>41000</v>
      </c>
    </row>
    <row r="61" spans="1:9" ht="17" thickBot="1" x14ac:dyDescent="0.25">
      <c r="A61" s="47" t="s">
        <v>539</v>
      </c>
      <c r="B61" s="84"/>
      <c r="C61" s="47" t="s">
        <v>4</v>
      </c>
      <c r="D61" s="16"/>
      <c r="E61" s="48">
        <v>11200</v>
      </c>
      <c r="F61" s="47">
        <v>5</v>
      </c>
      <c r="G61" s="48">
        <f t="shared" si="2"/>
        <v>56000</v>
      </c>
    </row>
    <row r="62" spans="1:9" ht="17" thickBot="1" x14ac:dyDescent="0.25">
      <c r="A62" s="47" t="s">
        <v>540</v>
      </c>
      <c r="B62" s="84"/>
      <c r="C62" s="47" t="s">
        <v>4</v>
      </c>
      <c r="D62" s="16"/>
      <c r="E62" s="48">
        <v>11200</v>
      </c>
      <c r="F62" s="47">
        <v>5</v>
      </c>
      <c r="G62" s="48">
        <f t="shared" si="2"/>
        <v>56000</v>
      </c>
    </row>
    <row r="63" spans="1:9" ht="17" thickBot="1" x14ac:dyDescent="0.25">
      <c r="A63" s="45"/>
      <c r="B63" s="83"/>
      <c r="C63" s="46"/>
      <c r="E63" s="46"/>
      <c r="F63" s="46"/>
      <c r="G63" s="49">
        <f>SUM(G27:G62)</f>
        <v>7880072</v>
      </c>
    </row>
    <row r="64" spans="1:9" x14ac:dyDescent="0.2">
      <c r="A64" s="4"/>
      <c r="B64" s="79"/>
      <c r="C64" s="2"/>
      <c r="D64" s="2"/>
      <c r="E64" s="2"/>
      <c r="F64" s="3"/>
      <c r="G64" s="3"/>
      <c r="H64" s="2"/>
      <c r="I64" s="2"/>
    </row>
    <row r="65" spans="1:16" ht="18" thickBot="1" x14ac:dyDescent="0.25">
      <c r="A65" s="7" t="s">
        <v>638</v>
      </c>
      <c r="B65" s="80"/>
      <c r="C65" s="2" t="s">
        <v>558</v>
      </c>
      <c r="D65" s="2" t="s">
        <v>559</v>
      </c>
      <c r="E65" s="2"/>
      <c r="F65" s="2"/>
      <c r="G65" s="2"/>
      <c r="H65" s="2"/>
      <c r="I65" s="2"/>
      <c r="N65" s="36">
        <v>46175</v>
      </c>
    </row>
    <row r="66" spans="1:16" ht="18" thickBot="1" x14ac:dyDescent="0.25">
      <c r="A66" s="8" t="s">
        <v>60</v>
      </c>
      <c r="B66" s="75"/>
      <c r="C66" s="9" t="s">
        <v>4</v>
      </c>
      <c r="D66" s="9" t="s">
        <v>560</v>
      </c>
      <c r="E66" s="9">
        <v>20</v>
      </c>
      <c r="F66" s="40">
        <v>3480</v>
      </c>
      <c r="G66" s="40">
        <f>E66*F66</f>
        <v>69600</v>
      </c>
      <c r="H66" s="18">
        <v>5</v>
      </c>
      <c r="I66" s="53">
        <v>3480</v>
      </c>
      <c r="J66" s="53">
        <f>H66*I66</f>
        <v>17400</v>
      </c>
      <c r="K66" s="27">
        <v>2</v>
      </c>
      <c r="L66" s="183">
        <v>3480</v>
      </c>
      <c r="M66" s="183">
        <f>K66*L66</f>
        <v>6960</v>
      </c>
      <c r="N66" s="23"/>
      <c r="O66" s="39">
        <v>3480</v>
      </c>
      <c r="P66" s="39">
        <f>N66*O66</f>
        <v>0</v>
      </c>
    </row>
    <row r="67" spans="1:16" ht="18" thickBot="1" x14ac:dyDescent="0.25">
      <c r="A67" s="8" t="s">
        <v>60</v>
      </c>
      <c r="B67" s="75"/>
      <c r="C67" s="9" t="s">
        <v>4</v>
      </c>
      <c r="D67" s="9" t="s">
        <v>561</v>
      </c>
      <c r="E67" s="9">
        <v>30</v>
      </c>
      <c r="F67" s="40">
        <v>29464</v>
      </c>
      <c r="G67" s="40">
        <f>E67*F67</f>
        <v>883920</v>
      </c>
      <c r="H67" s="18"/>
      <c r="I67" s="53">
        <v>29464</v>
      </c>
      <c r="J67" s="53">
        <f>H67*I67</f>
        <v>0</v>
      </c>
      <c r="K67" s="27"/>
      <c r="L67" s="183">
        <v>29464</v>
      </c>
      <c r="M67" s="183">
        <f>K67*L67</f>
        <v>0</v>
      </c>
      <c r="N67" s="23">
        <v>3</v>
      </c>
      <c r="O67" s="39">
        <v>29464</v>
      </c>
      <c r="P67" s="39">
        <f>N67*O67</f>
        <v>88392</v>
      </c>
    </row>
    <row r="68" spans="1:16" ht="18" thickBot="1" x14ac:dyDescent="0.25">
      <c r="A68" s="8" t="s">
        <v>60</v>
      </c>
      <c r="B68" s="75"/>
      <c r="C68" s="9" t="s">
        <v>36</v>
      </c>
      <c r="D68" s="9" t="s">
        <v>562</v>
      </c>
      <c r="E68" s="9">
        <v>40</v>
      </c>
      <c r="F68" s="40">
        <v>17400</v>
      </c>
      <c r="G68" s="40">
        <f>E68*F68</f>
        <v>696000</v>
      </c>
      <c r="H68" s="18">
        <v>5</v>
      </c>
      <c r="I68" s="53">
        <v>17400</v>
      </c>
      <c r="J68" s="53">
        <f>H68*I68</f>
        <v>87000</v>
      </c>
      <c r="K68" s="27"/>
      <c r="L68" s="183">
        <v>17400</v>
      </c>
      <c r="M68" s="183">
        <f>K68*L68</f>
        <v>0</v>
      </c>
      <c r="N68" s="23">
        <v>3</v>
      </c>
      <c r="O68" s="39">
        <v>17400</v>
      </c>
      <c r="P68" s="39">
        <f>N68*O68</f>
        <v>52200</v>
      </c>
    </row>
    <row r="69" spans="1:16" ht="18" thickBot="1" x14ac:dyDescent="0.25">
      <c r="A69" s="8" t="s">
        <v>60</v>
      </c>
      <c r="B69" s="75"/>
      <c r="C69" s="9" t="s">
        <v>36</v>
      </c>
      <c r="D69" s="9" t="s">
        <v>563</v>
      </c>
      <c r="E69" s="9">
        <v>30</v>
      </c>
      <c r="F69" s="40">
        <v>29464</v>
      </c>
      <c r="G69" s="40">
        <f>E69*F69</f>
        <v>883920</v>
      </c>
      <c r="H69" s="18"/>
      <c r="I69" s="53">
        <v>29464</v>
      </c>
      <c r="J69" s="53">
        <f>H69*I69</f>
        <v>0</v>
      </c>
      <c r="K69" s="27"/>
      <c r="L69" s="183">
        <v>29464</v>
      </c>
      <c r="M69" s="183">
        <f>K69*L69</f>
        <v>0</v>
      </c>
      <c r="N69" s="23">
        <v>3</v>
      </c>
      <c r="O69" s="39">
        <v>29464</v>
      </c>
      <c r="P69" s="39">
        <f>N69*O69</f>
        <v>88392</v>
      </c>
    </row>
    <row r="70" spans="1:16" ht="18" thickBot="1" x14ac:dyDescent="0.25">
      <c r="A70" s="8" t="s">
        <v>60</v>
      </c>
      <c r="B70" s="75"/>
      <c r="C70" s="9" t="s">
        <v>36</v>
      </c>
      <c r="D70" s="9" t="s">
        <v>564</v>
      </c>
      <c r="E70" s="9">
        <v>40</v>
      </c>
      <c r="F70" s="40">
        <v>12760</v>
      </c>
      <c r="G70" s="40">
        <f>E70*F70</f>
        <v>510400</v>
      </c>
      <c r="H70" s="18"/>
      <c r="I70" s="53">
        <v>12760</v>
      </c>
      <c r="J70" s="53">
        <f>H70*I70</f>
        <v>0</v>
      </c>
      <c r="K70" s="27">
        <v>3</v>
      </c>
      <c r="L70" s="183">
        <v>12760</v>
      </c>
      <c r="M70" s="183">
        <f>K70*L70</f>
        <v>38280</v>
      </c>
      <c r="N70" s="23"/>
      <c r="O70" s="39">
        <v>12760</v>
      </c>
      <c r="P70" s="39">
        <f>N70*O70</f>
        <v>0</v>
      </c>
    </row>
    <row r="71" spans="1:16" ht="17" thickBot="1" x14ac:dyDescent="0.25">
      <c r="A71" s="4"/>
      <c r="B71" s="79"/>
      <c r="C71" s="2"/>
      <c r="D71" s="2"/>
      <c r="E71" s="2"/>
      <c r="F71" s="38"/>
      <c r="G71" s="50">
        <f>SUM(G66:G70)</f>
        <v>3043840</v>
      </c>
      <c r="H71" s="2"/>
      <c r="I71" s="38"/>
      <c r="J71" s="54">
        <f>SUM(J66:J70)</f>
        <v>104400</v>
      </c>
      <c r="K71" s="2"/>
      <c r="L71" s="38"/>
      <c r="M71" s="209">
        <f>SUM(M66:M70)</f>
        <v>45240</v>
      </c>
      <c r="N71" s="2"/>
      <c r="O71" s="38"/>
      <c r="P71" s="261">
        <f>SUM(P66:P70)</f>
        <v>228984</v>
      </c>
    </row>
    <row r="72" spans="1:16" ht="18" thickBot="1" x14ac:dyDescent="0.25">
      <c r="A72" s="7" t="s">
        <v>639</v>
      </c>
      <c r="B72" s="80"/>
      <c r="C72" s="2"/>
      <c r="D72" s="2"/>
      <c r="E72" s="2"/>
      <c r="F72" s="38"/>
      <c r="G72" s="38"/>
      <c r="H72" s="2"/>
      <c r="I72" s="2"/>
      <c r="N72" s="36">
        <v>46175</v>
      </c>
    </row>
    <row r="73" spans="1:16" ht="18" thickBot="1" x14ac:dyDescent="0.25">
      <c r="A73" s="8" t="s">
        <v>60</v>
      </c>
      <c r="B73" s="75"/>
      <c r="C73" s="9" t="s">
        <v>36</v>
      </c>
      <c r="D73" s="9" t="s">
        <v>584</v>
      </c>
      <c r="E73" s="9">
        <v>23</v>
      </c>
      <c r="F73" s="40">
        <v>17400</v>
      </c>
      <c r="G73" s="40">
        <f>E73*F73</f>
        <v>400200</v>
      </c>
      <c r="H73" s="18">
        <v>5</v>
      </c>
      <c r="I73" s="53">
        <v>17400</v>
      </c>
      <c r="J73" s="53">
        <f>H73*I73</f>
        <v>87000</v>
      </c>
      <c r="K73" s="27"/>
      <c r="L73" s="183">
        <v>17400</v>
      </c>
      <c r="M73" s="183">
        <f>K73*L73</f>
        <v>0</v>
      </c>
      <c r="N73" s="23">
        <v>2</v>
      </c>
      <c r="O73" s="39">
        <v>17400</v>
      </c>
      <c r="P73" s="39">
        <f>N73*O73</f>
        <v>34800</v>
      </c>
    </row>
    <row r="74" spans="1:16" ht="18" thickBot="1" x14ac:dyDescent="0.25">
      <c r="A74" s="8" t="s">
        <v>585</v>
      </c>
      <c r="B74" s="75"/>
      <c r="C74" s="9" t="s">
        <v>36</v>
      </c>
      <c r="D74" s="9" t="s">
        <v>586</v>
      </c>
      <c r="E74" s="9">
        <v>25</v>
      </c>
      <c r="F74" s="40">
        <v>5800</v>
      </c>
      <c r="G74" s="40">
        <f>E74*F74</f>
        <v>145000</v>
      </c>
      <c r="H74" s="18"/>
      <c r="I74" s="53">
        <v>5800</v>
      </c>
      <c r="J74" s="53">
        <f>H74*I74</f>
        <v>0</v>
      </c>
      <c r="K74" s="27"/>
      <c r="L74" s="183">
        <v>5800</v>
      </c>
      <c r="M74" s="183">
        <f>K74*L74</f>
        <v>0</v>
      </c>
      <c r="N74" s="23"/>
      <c r="O74" s="39">
        <v>5800</v>
      </c>
      <c r="P74" s="39">
        <f>N74*O74</f>
        <v>0</v>
      </c>
    </row>
    <row r="75" spans="1:16" ht="18" thickBot="1" x14ac:dyDescent="0.25">
      <c r="A75" s="8" t="s">
        <v>60</v>
      </c>
      <c r="B75" s="75"/>
      <c r="C75" s="9" t="s">
        <v>36</v>
      </c>
      <c r="D75" s="9" t="s">
        <v>587</v>
      </c>
      <c r="E75" s="9">
        <v>50</v>
      </c>
      <c r="F75" s="40">
        <v>15080</v>
      </c>
      <c r="G75" s="40">
        <f>E75*F75</f>
        <v>754000</v>
      </c>
      <c r="H75" s="18">
        <v>5</v>
      </c>
      <c r="I75" s="53">
        <v>15080</v>
      </c>
      <c r="J75" s="53">
        <f>H75*I75</f>
        <v>75400</v>
      </c>
      <c r="K75" s="27"/>
      <c r="L75" s="183">
        <v>15080</v>
      </c>
      <c r="M75" s="183">
        <f>K75*L75</f>
        <v>0</v>
      </c>
      <c r="N75" s="23"/>
      <c r="O75" s="39">
        <v>15080</v>
      </c>
      <c r="P75" s="39">
        <f>N75*O75</f>
        <v>0</v>
      </c>
    </row>
    <row r="76" spans="1:16" ht="18" thickBot="1" x14ac:dyDescent="0.25">
      <c r="A76" s="8" t="s">
        <v>60</v>
      </c>
      <c r="B76" s="75"/>
      <c r="C76" s="9" t="s">
        <v>36</v>
      </c>
      <c r="D76" s="9" t="s">
        <v>588</v>
      </c>
      <c r="E76" s="9">
        <v>40</v>
      </c>
      <c r="F76" s="40">
        <v>15080</v>
      </c>
      <c r="G76" s="40">
        <f>E76*F76</f>
        <v>603200</v>
      </c>
      <c r="H76" s="18">
        <v>5</v>
      </c>
      <c r="I76" s="53">
        <v>15080</v>
      </c>
      <c r="J76" s="53">
        <f>H76*I76</f>
        <v>75400</v>
      </c>
      <c r="K76" s="27"/>
      <c r="L76" s="183">
        <v>15080</v>
      </c>
      <c r="M76" s="183">
        <f>K76*L76</f>
        <v>0</v>
      </c>
      <c r="N76" s="23">
        <v>3</v>
      </c>
      <c r="O76" s="39">
        <v>15080</v>
      </c>
      <c r="P76" s="39">
        <f>N76*O76</f>
        <v>45240</v>
      </c>
    </row>
    <row r="77" spans="1:16" ht="18" thickBot="1" x14ac:dyDescent="0.25">
      <c r="A77" s="8" t="s">
        <v>60</v>
      </c>
      <c r="B77" s="75"/>
      <c r="C77" s="9" t="s">
        <v>36</v>
      </c>
      <c r="D77" s="9" t="s">
        <v>589</v>
      </c>
      <c r="E77" s="9">
        <v>20</v>
      </c>
      <c r="F77" s="40">
        <v>6960</v>
      </c>
      <c r="G77" s="40">
        <f>E77*F77</f>
        <v>139200</v>
      </c>
      <c r="H77" s="18">
        <v>5</v>
      </c>
      <c r="I77" s="53">
        <v>6960</v>
      </c>
      <c r="J77" s="53">
        <f>H77*I77</f>
        <v>34800</v>
      </c>
      <c r="K77" s="27">
        <v>2</v>
      </c>
      <c r="L77" s="183">
        <v>6960</v>
      </c>
      <c r="M77" s="183">
        <f>K77*L77</f>
        <v>13920</v>
      </c>
      <c r="N77" s="23"/>
      <c r="O77" s="39">
        <v>6960</v>
      </c>
      <c r="P77" s="39">
        <f>N77*O77</f>
        <v>0</v>
      </c>
    </row>
    <row r="78" spans="1:16" ht="17" thickBot="1" x14ac:dyDescent="0.25">
      <c r="A78" s="4"/>
      <c r="B78" s="79"/>
      <c r="C78" s="2"/>
      <c r="D78" s="2"/>
      <c r="E78" s="2"/>
      <c r="F78" s="38"/>
      <c r="G78" s="50">
        <f>SUM(G73:G77)</f>
        <v>2041600</v>
      </c>
      <c r="H78" s="2"/>
      <c r="I78" s="38"/>
      <c r="J78" s="54">
        <f>SUM(J73:J77)</f>
        <v>272600</v>
      </c>
      <c r="K78" s="2"/>
      <c r="L78" s="38"/>
      <c r="M78" s="209">
        <f>SUM(M73:M77)</f>
        <v>13920</v>
      </c>
      <c r="N78" s="2"/>
      <c r="O78" s="38"/>
      <c r="P78" s="261">
        <f>SUM(P73:P77)</f>
        <v>80040</v>
      </c>
    </row>
    <row r="79" spans="1:16" x14ac:dyDescent="0.2">
      <c r="A79" s="4"/>
      <c r="B79" s="79"/>
      <c r="C79" s="2"/>
      <c r="D79" s="2"/>
      <c r="E79" s="2"/>
      <c r="F79" s="38"/>
      <c r="G79" s="38"/>
      <c r="H79" s="2"/>
      <c r="I79" s="2"/>
    </row>
    <row r="81" spans="1:13" ht="17" thickBot="1" x14ac:dyDescent="0.25">
      <c r="A81" s="30" t="s">
        <v>1389</v>
      </c>
      <c r="B81" s="131" t="s">
        <v>558</v>
      </c>
      <c r="C81" s="2" t="s">
        <v>559</v>
      </c>
      <c r="D81" s="2"/>
      <c r="E81" s="3"/>
      <c r="F81" s="3"/>
      <c r="K81" s="36">
        <v>46175</v>
      </c>
    </row>
    <row r="82" spans="1:13" ht="17" thickBot="1" x14ac:dyDescent="0.25">
      <c r="A82" s="9" t="s">
        <v>1933</v>
      </c>
      <c r="B82" s="122"/>
      <c r="C82" s="122" t="s">
        <v>36</v>
      </c>
      <c r="D82" s="9"/>
      <c r="E82" s="9">
        <v>50</v>
      </c>
      <c r="F82" s="10">
        <v>5800</v>
      </c>
      <c r="G82" s="10">
        <f>F82*E82</f>
        <v>290000</v>
      </c>
      <c r="H82" s="27">
        <v>4</v>
      </c>
      <c r="I82" s="28">
        <v>5800</v>
      </c>
      <c r="J82" s="28">
        <f>I82*H82</f>
        <v>23200</v>
      </c>
      <c r="K82" s="23"/>
      <c r="L82" s="24">
        <v>5800</v>
      </c>
      <c r="M82" s="24">
        <f>L82*K82</f>
        <v>0</v>
      </c>
    </row>
    <row r="83" spans="1:13" ht="17" thickBot="1" x14ac:dyDescent="0.25">
      <c r="A83" s="9" t="s">
        <v>1388</v>
      </c>
      <c r="B83" s="122"/>
      <c r="C83" s="122" t="s">
        <v>36</v>
      </c>
      <c r="D83" s="9"/>
      <c r="E83" s="9">
        <v>40</v>
      </c>
      <c r="F83" s="10">
        <v>9280</v>
      </c>
      <c r="G83" s="10">
        <f>F83*E83</f>
        <v>371200</v>
      </c>
      <c r="H83" s="27"/>
      <c r="I83" s="28">
        <v>9280</v>
      </c>
      <c r="J83" s="28">
        <f>I83*H83</f>
        <v>0</v>
      </c>
      <c r="K83" s="23">
        <v>3</v>
      </c>
      <c r="L83" s="24">
        <v>9280</v>
      </c>
      <c r="M83" s="24">
        <f>L83*K83</f>
        <v>27840</v>
      </c>
    </row>
    <row r="84" spans="1:13" ht="17" thickBot="1" x14ac:dyDescent="0.25">
      <c r="A84" s="2"/>
      <c r="B84" s="131"/>
      <c r="C84" s="131"/>
      <c r="D84" s="2"/>
      <c r="E84" s="2"/>
      <c r="F84" s="3"/>
      <c r="G84" s="12">
        <f>SUM(G82:G83)</f>
        <v>661200</v>
      </c>
      <c r="H84" s="2"/>
      <c r="I84" s="3"/>
      <c r="J84" s="148">
        <f>SUM(J82:J83)</f>
        <v>23200</v>
      </c>
      <c r="K84" s="2"/>
      <c r="L84" s="3"/>
      <c r="M84" s="26">
        <f>SUM(M82:M83)</f>
        <v>27840</v>
      </c>
    </row>
    <row r="85" spans="1:13" ht="17" thickBot="1" x14ac:dyDescent="0.25">
      <c r="A85" s="30" t="s">
        <v>1688</v>
      </c>
      <c r="B85" s="2" t="s">
        <v>804</v>
      </c>
      <c r="C85" s="2" t="s">
        <v>542</v>
      </c>
      <c r="D85" s="2"/>
      <c r="E85" s="2"/>
      <c r="F85" s="2"/>
    </row>
    <row r="86" spans="1:13" ht="17" thickBot="1" x14ac:dyDescent="0.25">
      <c r="A86" s="9" t="s">
        <v>1658</v>
      </c>
      <c r="B86" s="169"/>
      <c r="C86" s="9" t="s">
        <v>36</v>
      </c>
      <c r="D86" s="9"/>
      <c r="E86" s="9">
        <v>5</v>
      </c>
      <c r="F86" s="10">
        <v>17516</v>
      </c>
      <c r="G86" s="10">
        <f t="shared" ref="G86:G116" si="3">F86*E86</f>
        <v>87580</v>
      </c>
      <c r="H86" s="23">
        <v>1</v>
      </c>
      <c r="I86" s="24">
        <v>17516</v>
      </c>
      <c r="J86" s="24">
        <f t="shared" ref="J86:J116" si="4">I86*H86</f>
        <v>17516</v>
      </c>
    </row>
    <row r="87" spans="1:13" ht="17" thickBot="1" x14ac:dyDescent="0.25">
      <c r="A87" s="9" t="s">
        <v>1659</v>
      </c>
      <c r="B87" s="169"/>
      <c r="C87" s="9" t="s">
        <v>36</v>
      </c>
      <c r="D87" s="9"/>
      <c r="E87" s="9">
        <v>5</v>
      </c>
      <c r="F87" s="10">
        <v>12760</v>
      </c>
      <c r="G87" s="10">
        <f t="shared" si="3"/>
        <v>63800</v>
      </c>
      <c r="H87" s="23"/>
      <c r="I87" s="24">
        <v>12760</v>
      </c>
      <c r="J87" s="24">
        <f t="shared" si="4"/>
        <v>0</v>
      </c>
    </row>
    <row r="88" spans="1:13" ht="17" thickBot="1" x14ac:dyDescent="0.25">
      <c r="A88" s="9" t="s">
        <v>1660</v>
      </c>
      <c r="B88" s="169"/>
      <c r="C88" s="9" t="s">
        <v>36</v>
      </c>
      <c r="D88" s="9"/>
      <c r="E88" s="9">
        <v>10</v>
      </c>
      <c r="F88" s="10">
        <v>2320</v>
      </c>
      <c r="G88" s="10">
        <f t="shared" si="3"/>
        <v>23200</v>
      </c>
      <c r="H88" s="23">
        <v>3</v>
      </c>
      <c r="I88" s="24">
        <v>2320</v>
      </c>
      <c r="J88" s="24">
        <f t="shared" si="4"/>
        <v>6960</v>
      </c>
    </row>
    <row r="89" spans="1:13" ht="17" thickBot="1" x14ac:dyDescent="0.25">
      <c r="A89" s="9" t="s">
        <v>1661</v>
      </c>
      <c r="B89" s="169"/>
      <c r="C89" s="9" t="s">
        <v>36</v>
      </c>
      <c r="D89" s="9"/>
      <c r="E89" s="9">
        <v>3</v>
      </c>
      <c r="F89" s="10">
        <v>11600</v>
      </c>
      <c r="G89" s="10">
        <f t="shared" si="3"/>
        <v>34800</v>
      </c>
      <c r="H89" s="23">
        <v>1</v>
      </c>
      <c r="I89" s="24">
        <v>11600</v>
      </c>
      <c r="J89" s="24">
        <f t="shared" si="4"/>
        <v>11600</v>
      </c>
    </row>
    <row r="90" spans="1:13" ht="17" thickBot="1" x14ac:dyDescent="0.25">
      <c r="A90" s="9" t="s">
        <v>1662</v>
      </c>
      <c r="B90" s="169"/>
      <c r="C90" s="9" t="s">
        <v>36</v>
      </c>
      <c r="D90" s="9"/>
      <c r="E90" s="9">
        <v>10</v>
      </c>
      <c r="F90" s="10">
        <v>13920</v>
      </c>
      <c r="G90" s="10">
        <f t="shared" si="3"/>
        <v>139200</v>
      </c>
      <c r="H90" s="23">
        <v>3</v>
      </c>
      <c r="I90" s="24">
        <v>13920</v>
      </c>
      <c r="J90" s="24">
        <f t="shared" si="4"/>
        <v>41760</v>
      </c>
    </row>
    <row r="91" spans="1:13" ht="17" thickBot="1" x14ac:dyDescent="0.25">
      <c r="A91" s="9" t="s">
        <v>1663</v>
      </c>
      <c r="B91" s="169"/>
      <c r="C91" s="9" t="s">
        <v>36</v>
      </c>
      <c r="D91" s="9"/>
      <c r="E91" s="9">
        <v>3</v>
      </c>
      <c r="F91" s="10">
        <v>20648</v>
      </c>
      <c r="G91" s="10">
        <f t="shared" si="3"/>
        <v>61944</v>
      </c>
      <c r="H91" s="23"/>
      <c r="I91" s="24">
        <v>20648</v>
      </c>
      <c r="J91" s="24">
        <f t="shared" si="4"/>
        <v>0</v>
      </c>
    </row>
    <row r="92" spans="1:13" ht="17" thickBot="1" x14ac:dyDescent="0.25">
      <c r="A92" s="9" t="s">
        <v>1664</v>
      </c>
      <c r="B92" s="169"/>
      <c r="C92" s="9" t="s">
        <v>36</v>
      </c>
      <c r="D92" s="9"/>
      <c r="E92" s="9">
        <v>5</v>
      </c>
      <c r="F92" s="10">
        <v>17864</v>
      </c>
      <c r="G92" s="10">
        <f t="shared" si="3"/>
        <v>89320</v>
      </c>
      <c r="H92" s="23">
        <v>2</v>
      </c>
      <c r="I92" s="24">
        <v>17864</v>
      </c>
      <c r="J92" s="24">
        <f t="shared" si="4"/>
        <v>35728</v>
      </c>
    </row>
    <row r="93" spans="1:13" ht="17" thickBot="1" x14ac:dyDescent="0.25">
      <c r="A93" s="9" t="s">
        <v>1665</v>
      </c>
      <c r="B93" s="169"/>
      <c r="C93" s="9" t="s">
        <v>36</v>
      </c>
      <c r="D93" s="9"/>
      <c r="E93" s="9">
        <v>40</v>
      </c>
      <c r="F93" s="10">
        <v>3480</v>
      </c>
      <c r="G93" s="10">
        <f t="shared" si="3"/>
        <v>139200</v>
      </c>
      <c r="H93" s="23">
        <v>10</v>
      </c>
      <c r="I93" s="24">
        <v>3480</v>
      </c>
      <c r="J93" s="24">
        <f t="shared" si="4"/>
        <v>34800</v>
      </c>
    </row>
    <row r="94" spans="1:13" ht="17" thickBot="1" x14ac:dyDescent="0.25">
      <c r="A94" s="9" t="s">
        <v>1666</v>
      </c>
      <c r="B94" s="169"/>
      <c r="C94" s="9" t="s">
        <v>36</v>
      </c>
      <c r="D94" s="9"/>
      <c r="E94" s="9">
        <v>10</v>
      </c>
      <c r="F94" s="10">
        <v>5289.6</v>
      </c>
      <c r="G94" s="10">
        <f t="shared" si="3"/>
        <v>52896</v>
      </c>
      <c r="H94" s="23">
        <v>2</v>
      </c>
      <c r="I94" s="24">
        <v>5289.6</v>
      </c>
      <c r="J94" s="24">
        <f t="shared" si="4"/>
        <v>10579.2</v>
      </c>
    </row>
    <row r="95" spans="1:13" ht="17" thickBot="1" x14ac:dyDescent="0.25">
      <c r="A95" s="9" t="s">
        <v>1667</v>
      </c>
      <c r="B95" s="169"/>
      <c r="C95" s="9" t="s">
        <v>36</v>
      </c>
      <c r="D95" s="9"/>
      <c r="E95" s="9">
        <v>9</v>
      </c>
      <c r="F95" s="10">
        <v>13920</v>
      </c>
      <c r="G95" s="10">
        <f t="shared" si="3"/>
        <v>125280</v>
      </c>
      <c r="H95" s="23"/>
      <c r="I95" s="24">
        <v>13920</v>
      </c>
      <c r="J95" s="24">
        <f t="shared" si="4"/>
        <v>0</v>
      </c>
    </row>
    <row r="96" spans="1:13" ht="17" thickBot="1" x14ac:dyDescent="0.25">
      <c r="A96" s="9" t="s">
        <v>1668</v>
      </c>
      <c r="B96" s="169"/>
      <c r="C96" s="9" t="s">
        <v>36</v>
      </c>
      <c r="D96" s="9"/>
      <c r="E96" s="9">
        <v>5</v>
      </c>
      <c r="F96" s="10">
        <v>9860</v>
      </c>
      <c r="G96" s="10">
        <f t="shared" si="3"/>
        <v>49300</v>
      </c>
      <c r="H96" s="23">
        <v>2</v>
      </c>
      <c r="I96" s="24">
        <v>9860</v>
      </c>
      <c r="J96" s="24">
        <f t="shared" si="4"/>
        <v>19720</v>
      </c>
    </row>
    <row r="97" spans="1:10" ht="17" thickBot="1" x14ac:dyDescent="0.25">
      <c r="A97" s="9" t="s">
        <v>1669</v>
      </c>
      <c r="B97" s="169"/>
      <c r="C97" s="9" t="s">
        <v>36</v>
      </c>
      <c r="D97" s="9"/>
      <c r="E97" s="9">
        <v>8</v>
      </c>
      <c r="F97" s="10">
        <v>13340</v>
      </c>
      <c r="G97" s="10">
        <f t="shared" si="3"/>
        <v>106720</v>
      </c>
      <c r="H97" s="23"/>
      <c r="I97" s="24">
        <v>13340</v>
      </c>
      <c r="J97" s="24">
        <f t="shared" si="4"/>
        <v>0</v>
      </c>
    </row>
    <row r="98" spans="1:10" ht="17" thickBot="1" x14ac:dyDescent="0.25">
      <c r="A98" s="9" t="s">
        <v>1670</v>
      </c>
      <c r="B98" s="169"/>
      <c r="C98" s="9" t="s">
        <v>36</v>
      </c>
      <c r="D98" s="9"/>
      <c r="E98" s="9">
        <v>5</v>
      </c>
      <c r="F98" s="10">
        <v>12760</v>
      </c>
      <c r="G98" s="10">
        <f t="shared" si="3"/>
        <v>63800</v>
      </c>
      <c r="H98" s="23"/>
      <c r="I98" s="24">
        <v>12760</v>
      </c>
      <c r="J98" s="24">
        <f t="shared" si="4"/>
        <v>0</v>
      </c>
    </row>
    <row r="99" spans="1:10" ht="17" thickBot="1" x14ac:dyDescent="0.25">
      <c r="A99" s="9" t="s">
        <v>1671</v>
      </c>
      <c r="B99" s="169"/>
      <c r="C99" s="9" t="s">
        <v>36</v>
      </c>
      <c r="D99" s="9"/>
      <c r="E99" s="9">
        <v>8</v>
      </c>
      <c r="F99" s="10">
        <v>12760</v>
      </c>
      <c r="G99" s="10">
        <f t="shared" si="3"/>
        <v>102080</v>
      </c>
      <c r="H99" s="23"/>
      <c r="I99" s="24">
        <v>12760</v>
      </c>
      <c r="J99" s="24">
        <f t="shared" si="4"/>
        <v>0</v>
      </c>
    </row>
    <row r="100" spans="1:10" ht="17" thickBot="1" x14ac:dyDescent="0.25">
      <c r="A100" s="9" t="s">
        <v>1672</v>
      </c>
      <c r="B100" s="169"/>
      <c r="C100" s="9" t="s">
        <v>36</v>
      </c>
      <c r="D100" s="9"/>
      <c r="E100" s="9">
        <v>10</v>
      </c>
      <c r="F100" s="10">
        <v>10324</v>
      </c>
      <c r="G100" s="10">
        <f t="shared" si="3"/>
        <v>103240</v>
      </c>
      <c r="H100" s="23"/>
      <c r="I100" s="24">
        <v>10324</v>
      </c>
      <c r="J100" s="24">
        <f t="shared" si="4"/>
        <v>0</v>
      </c>
    </row>
    <row r="101" spans="1:10" ht="17" thickBot="1" x14ac:dyDescent="0.25">
      <c r="A101" s="9" t="s">
        <v>1673</v>
      </c>
      <c r="B101" s="169"/>
      <c r="C101" s="9" t="s">
        <v>36</v>
      </c>
      <c r="D101" s="9"/>
      <c r="E101" s="9">
        <v>5</v>
      </c>
      <c r="F101" s="10">
        <v>12760</v>
      </c>
      <c r="G101" s="10">
        <f t="shared" si="3"/>
        <v>63800</v>
      </c>
      <c r="H101" s="23"/>
      <c r="I101" s="24">
        <v>12760</v>
      </c>
      <c r="J101" s="24">
        <f t="shared" si="4"/>
        <v>0</v>
      </c>
    </row>
    <row r="102" spans="1:10" ht="17" thickBot="1" x14ac:dyDescent="0.25">
      <c r="A102" s="9" t="s">
        <v>1674</v>
      </c>
      <c r="B102" s="169"/>
      <c r="C102" s="9" t="s">
        <v>36</v>
      </c>
      <c r="D102" s="9"/>
      <c r="E102" s="9">
        <v>5</v>
      </c>
      <c r="F102" s="10">
        <v>5127.2</v>
      </c>
      <c r="G102" s="10">
        <f t="shared" si="3"/>
        <v>25636</v>
      </c>
      <c r="H102" s="23"/>
      <c r="I102" s="24">
        <v>5127.2</v>
      </c>
      <c r="J102" s="24">
        <f t="shared" si="4"/>
        <v>0</v>
      </c>
    </row>
    <row r="103" spans="1:10" ht="17" thickBot="1" x14ac:dyDescent="0.25">
      <c r="A103" s="9" t="s">
        <v>1675</v>
      </c>
      <c r="B103" s="169"/>
      <c r="C103" s="9" t="s">
        <v>36</v>
      </c>
      <c r="D103" s="9"/>
      <c r="E103" s="9">
        <v>3</v>
      </c>
      <c r="F103" s="10">
        <v>13920</v>
      </c>
      <c r="G103" s="10">
        <f t="shared" si="3"/>
        <v>41760</v>
      </c>
      <c r="H103" s="23"/>
      <c r="I103" s="24">
        <v>13920</v>
      </c>
      <c r="J103" s="24">
        <f t="shared" si="4"/>
        <v>0</v>
      </c>
    </row>
    <row r="104" spans="1:10" ht="17" thickBot="1" x14ac:dyDescent="0.25">
      <c r="A104" s="9" t="s">
        <v>1676</v>
      </c>
      <c r="B104" s="169"/>
      <c r="C104" s="9" t="s">
        <v>36</v>
      </c>
      <c r="D104" s="9"/>
      <c r="E104" s="9">
        <v>10</v>
      </c>
      <c r="F104" s="10">
        <v>8120</v>
      </c>
      <c r="G104" s="10">
        <f t="shared" si="3"/>
        <v>81200</v>
      </c>
      <c r="H104" s="23">
        <v>3</v>
      </c>
      <c r="I104" s="24">
        <v>8120</v>
      </c>
      <c r="J104" s="24">
        <f t="shared" si="4"/>
        <v>24360</v>
      </c>
    </row>
    <row r="105" spans="1:10" ht="17" thickBot="1" x14ac:dyDescent="0.25">
      <c r="A105" s="9" t="s">
        <v>806</v>
      </c>
      <c r="B105" s="169"/>
      <c r="C105" s="9" t="s">
        <v>36</v>
      </c>
      <c r="D105" s="9"/>
      <c r="E105" s="9">
        <v>5</v>
      </c>
      <c r="F105" s="10">
        <v>3480</v>
      </c>
      <c r="G105" s="10">
        <f t="shared" si="3"/>
        <v>17400</v>
      </c>
      <c r="H105" s="23"/>
      <c r="I105" s="24">
        <v>3480</v>
      </c>
      <c r="J105" s="24">
        <f t="shared" si="4"/>
        <v>0</v>
      </c>
    </row>
    <row r="106" spans="1:10" ht="17" thickBot="1" x14ac:dyDescent="0.25">
      <c r="A106" s="9" t="s">
        <v>1677</v>
      </c>
      <c r="B106" s="169"/>
      <c r="C106" s="9" t="s">
        <v>36</v>
      </c>
      <c r="D106" s="9"/>
      <c r="E106" s="9">
        <v>5</v>
      </c>
      <c r="F106" s="10">
        <v>1044</v>
      </c>
      <c r="G106" s="10">
        <f t="shared" si="3"/>
        <v>5220</v>
      </c>
      <c r="H106" s="23">
        <v>2</v>
      </c>
      <c r="I106" s="24">
        <v>1044</v>
      </c>
      <c r="J106" s="24">
        <f t="shared" si="4"/>
        <v>2088</v>
      </c>
    </row>
    <row r="107" spans="1:10" ht="17" thickBot="1" x14ac:dyDescent="0.25">
      <c r="A107" s="9" t="s">
        <v>1678</v>
      </c>
      <c r="B107" s="169"/>
      <c r="C107" s="9" t="s">
        <v>36</v>
      </c>
      <c r="D107" s="9"/>
      <c r="E107" s="9">
        <v>3</v>
      </c>
      <c r="F107" s="10">
        <v>13920</v>
      </c>
      <c r="G107" s="10">
        <f t="shared" si="3"/>
        <v>41760</v>
      </c>
      <c r="H107" s="23">
        <v>1</v>
      </c>
      <c r="I107" s="24">
        <v>13920</v>
      </c>
      <c r="J107" s="24">
        <f t="shared" si="4"/>
        <v>13920</v>
      </c>
    </row>
    <row r="108" spans="1:10" ht="18" thickBot="1" x14ac:dyDescent="0.25">
      <c r="A108" s="11" t="s">
        <v>1679</v>
      </c>
      <c r="B108" s="169"/>
      <c r="C108" s="9" t="s">
        <v>36</v>
      </c>
      <c r="D108" s="9"/>
      <c r="E108" s="9">
        <v>5</v>
      </c>
      <c r="F108" s="10">
        <v>3944</v>
      </c>
      <c r="G108" s="10">
        <f t="shared" si="3"/>
        <v>19720</v>
      </c>
      <c r="H108" s="23">
        <v>2</v>
      </c>
      <c r="I108" s="24">
        <v>3944</v>
      </c>
      <c r="J108" s="24">
        <f t="shared" si="4"/>
        <v>7888</v>
      </c>
    </row>
    <row r="109" spans="1:10" ht="17" thickBot="1" x14ac:dyDescent="0.25">
      <c r="A109" s="9" t="s">
        <v>1680</v>
      </c>
      <c r="B109" s="169"/>
      <c r="C109" s="9" t="s">
        <v>36</v>
      </c>
      <c r="D109" s="9"/>
      <c r="E109" s="9">
        <v>3</v>
      </c>
      <c r="F109" s="10">
        <v>8120</v>
      </c>
      <c r="G109" s="10">
        <f t="shared" si="3"/>
        <v>24360</v>
      </c>
      <c r="H109" s="23"/>
      <c r="I109" s="24">
        <v>8120</v>
      </c>
      <c r="J109" s="24">
        <f t="shared" si="4"/>
        <v>0</v>
      </c>
    </row>
    <row r="110" spans="1:10" ht="17" thickBot="1" x14ac:dyDescent="0.25">
      <c r="A110" s="9" t="s">
        <v>1681</v>
      </c>
      <c r="B110" s="169"/>
      <c r="C110" s="9" t="s">
        <v>36</v>
      </c>
      <c r="D110" s="9"/>
      <c r="E110" s="9">
        <v>3</v>
      </c>
      <c r="F110" s="10">
        <v>8120</v>
      </c>
      <c r="G110" s="10">
        <f t="shared" si="3"/>
        <v>24360</v>
      </c>
      <c r="H110" s="23">
        <v>1</v>
      </c>
      <c r="I110" s="24">
        <v>8120</v>
      </c>
      <c r="J110" s="24">
        <f t="shared" si="4"/>
        <v>8120</v>
      </c>
    </row>
    <row r="111" spans="1:10" ht="17" thickBot="1" x14ac:dyDescent="0.25">
      <c r="A111" s="9" t="s">
        <v>1682</v>
      </c>
      <c r="B111" s="169"/>
      <c r="C111" s="9" t="s">
        <v>36</v>
      </c>
      <c r="D111" s="9"/>
      <c r="E111" s="9">
        <v>5</v>
      </c>
      <c r="F111" s="10">
        <v>1160</v>
      </c>
      <c r="G111" s="10">
        <f t="shared" si="3"/>
        <v>5800</v>
      </c>
      <c r="H111" s="23">
        <v>2</v>
      </c>
      <c r="I111" s="24">
        <v>1160</v>
      </c>
      <c r="J111" s="24">
        <f t="shared" si="4"/>
        <v>2320</v>
      </c>
    </row>
    <row r="112" spans="1:10" ht="17" thickBot="1" x14ac:dyDescent="0.25">
      <c r="A112" s="9" t="s">
        <v>1683</v>
      </c>
      <c r="B112" s="169"/>
      <c r="C112" s="9" t="s">
        <v>36</v>
      </c>
      <c r="D112" s="9"/>
      <c r="E112" s="9">
        <v>6</v>
      </c>
      <c r="F112" s="10">
        <v>12760</v>
      </c>
      <c r="G112" s="10">
        <f t="shared" si="3"/>
        <v>76560</v>
      </c>
      <c r="H112" s="23"/>
      <c r="I112" s="24">
        <v>12760</v>
      </c>
      <c r="J112" s="24">
        <f t="shared" si="4"/>
        <v>0</v>
      </c>
    </row>
    <row r="113" spans="1:10" ht="17" thickBot="1" x14ac:dyDescent="0.25">
      <c r="A113" s="9" t="s">
        <v>1684</v>
      </c>
      <c r="B113" s="169"/>
      <c r="C113" s="9" t="s">
        <v>36</v>
      </c>
      <c r="D113" s="9"/>
      <c r="E113" s="9">
        <v>5</v>
      </c>
      <c r="F113" s="10">
        <v>12760</v>
      </c>
      <c r="G113" s="10">
        <f t="shared" si="3"/>
        <v>63800</v>
      </c>
      <c r="H113" s="23"/>
      <c r="I113" s="24">
        <v>12760</v>
      </c>
      <c r="J113" s="24">
        <f t="shared" si="4"/>
        <v>0</v>
      </c>
    </row>
    <row r="114" spans="1:10" ht="17" thickBot="1" x14ac:dyDescent="0.25">
      <c r="A114" s="9" t="s">
        <v>1685</v>
      </c>
      <c r="B114" s="169"/>
      <c r="C114" s="9" t="s">
        <v>36</v>
      </c>
      <c r="D114" s="9"/>
      <c r="E114" s="9">
        <v>10</v>
      </c>
      <c r="F114" s="10">
        <v>3480</v>
      </c>
      <c r="G114" s="10">
        <f t="shared" si="3"/>
        <v>34800</v>
      </c>
      <c r="H114" s="23"/>
      <c r="I114" s="24">
        <v>3480</v>
      </c>
      <c r="J114" s="24">
        <f t="shared" si="4"/>
        <v>0</v>
      </c>
    </row>
    <row r="115" spans="1:10" ht="17" thickBot="1" x14ac:dyDescent="0.25">
      <c r="A115" s="9" t="s">
        <v>1686</v>
      </c>
      <c r="B115" s="169"/>
      <c r="C115" s="9" t="s">
        <v>36</v>
      </c>
      <c r="D115" s="9"/>
      <c r="E115" s="9">
        <v>5</v>
      </c>
      <c r="F115" s="10">
        <v>10788</v>
      </c>
      <c r="G115" s="10">
        <f t="shared" si="3"/>
        <v>53940</v>
      </c>
      <c r="H115" s="23"/>
      <c r="I115" s="24">
        <v>10788</v>
      </c>
      <c r="J115" s="24">
        <f t="shared" si="4"/>
        <v>0</v>
      </c>
    </row>
    <row r="116" spans="1:10" ht="17" thickBot="1" x14ac:dyDescent="0.25">
      <c r="A116" s="9" t="s">
        <v>1687</v>
      </c>
      <c r="B116" s="169"/>
      <c r="C116" s="9" t="s">
        <v>36</v>
      </c>
      <c r="D116" s="9"/>
      <c r="E116" s="9">
        <v>5</v>
      </c>
      <c r="F116" s="10">
        <v>11368</v>
      </c>
      <c r="G116" s="10">
        <f t="shared" si="3"/>
        <v>56840</v>
      </c>
      <c r="H116" s="23">
        <v>1</v>
      </c>
      <c r="I116" s="24">
        <v>11368</v>
      </c>
      <c r="J116" s="24">
        <f t="shared" si="4"/>
        <v>11368</v>
      </c>
    </row>
    <row r="117" spans="1:10" ht="17" thickBot="1" x14ac:dyDescent="0.25">
      <c r="A117" s="2"/>
      <c r="C117" s="2"/>
      <c r="D117" s="2"/>
      <c r="E117" s="2"/>
      <c r="F117" s="3"/>
      <c r="G117" s="12">
        <f>SUM(G86:G116)</f>
        <v>1879316</v>
      </c>
      <c r="H117" s="2"/>
      <c r="I117" s="3"/>
      <c r="J117" s="26">
        <f>SUM(J86:J116)</f>
        <v>248727.2</v>
      </c>
    </row>
    <row r="118" spans="1:10" ht="18" thickBot="1" x14ac:dyDescent="0.25">
      <c r="A118" s="7" t="s">
        <v>1357</v>
      </c>
      <c r="B118" s="80"/>
      <c r="C118" s="2" t="s">
        <v>541</v>
      </c>
      <c r="D118" s="2" t="s">
        <v>542</v>
      </c>
      <c r="E118" s="2"/>
      <c r="F118" s="2"/>
      <c r="G118" s="2"/>
      <c r="H118" s="2"/>
      <c r="I118" s="2"/>
      <c r="J118" s="2"/>
    </row>
    <row r="119" spans="1:10" ht="18" thickBot="1" x14ac:dyDescent="0.25">
      <c r="A119" s="8" t="s">
        <v>60</v>
      </c>
      <c r="B119" s="75"/>
      <c r="C119" s="9" t="s">
        <v>36</v>
      </c>
      <c r="D119" s="9" t="s">
        <v>543</v>
      </c>
      <c r="E119" s="9">
        <v>10</v>
      </c>
      <c r="F119" s="10">
        <v>2320</v>
      </c>
      <c r="G119" s="10">
        <f>E119*F119</f>
        <v>23200</v>
      </c>
      <c r="H119" s="18">
        <v>5</v>
      </c>
      <c r="I119" s="19">
        <v>2320</v>
      </c>
      <c r="J119" s="19">
        <f>H119*I119</f>
        <v>11600</v>
      </c>
    </row>
    <row r="120" spans="1:10" ht="18" thickBot="1" x14ac:dyDescent="0.25">
      <c r="A120" s="8" t="s">
        <v>60</v>
      </c>
      <c r="B120" s="75"/>
      <c r="C120" s="9" t="s">
        <v>4</v>
      </c>
      <c r="D120" s="9" t="s">
        <v>544</v>
      </c>
      <c r="E120" s="9">
        <v>5</v>
      </c>
      <c r="F120" s="10">
        <v>1160</v>
      </c>
      <c r="G120" s="10">
        <f t="shared" ref="G120:G130" si="5">E120*F120</f>
        <v>5800</v>
      </c>
      <c r="H120" s="18">
        <v>3</v>
      </c>
      <c r="I120" s="19">
        <v>1160</v>
      </c>
      <c r="J120" s="19">
        <f t="shared" ref="J120:J130" si="6">H120*I120</f>
        <v>3480</v>
      </c>
    </row>
    <row r="121" spans="1:10" ht="18" thickBot="1" x14ac:dyDescent="0.25">
      <c r="A121" s="8" t="s">
        <v>60</v>
      </c>
      <c r="B121" s="75"/>
      <c r="C121" s="9" t="s">
        <v>4</v>
      </c>
      <c r="D121" s="9" t="s">
        <v>545</v>
      </c>
      <c r="E121" s="9">
        <v>5</v>
      </c>
      <c r="F121" s="10">
        <v>904.8</v>
      </c>
      <c r="G121" s="10">
        <f t="shared" si="5"/>
        <v>4524</v>
      </c>
      <c r="H121" s="18">
        <v>3</v>
      </c>
      <c r="I121" s="19">
        <v>904.8</v>
      </c>
      <c r="J121" s="19">
        <f t="shared" si="6"/>
        <v>2714.3999999999996</v>
      </c>
    </row>
    <row r="122" spans="1:10" ht="18" thickBot="1" x14ac:dyDescent="0.25">
      <c r="A122" s="8" t="s">
        <v>546</v>
      </c>
      <c r="B122" s="75"/>
      <c r="C122" s="9" t="s">
        <v>4</v>
      </c>
      <c r="D122" s="9" t="s">
        <v>547</v>
      </c>
      <c r="E122" s="9">
        <v>15</v>
      </c>
      <c r="F122" s="10">
        <v>6960</v>
      </c>
      <c r="G122" s="10">
        <f t="shared" si="5"/>
        <v>104400</v>
      </c>
      <c r="H122" s="18">
        <v>4</v>
      </c>
      <c r="I122" s="19">
        <v>6960</v>
      </c>
      <c r="J122" s="19">
        <f t="shared" si="6"/>
        <v>27840</v>
      </c>
    </row>
    <row r="123" spans="1:10" ht="18" thickBot="1" x14ac:dyDescent="0.25">
      <c r="A123" s="8" t="s">
        <v>548</v>
      </c>
      <c r="B123" s="75"/>
      <c r="C123" s="9" t="s">
        <v>4</v>
      </c>
      <c r="D123" s="9" t="s">
        <v>549</v>
      </c>
      <c r="E123" s="9">
        <v>30</v>
      </c>
      <c r="F123" s="10">
        <v>3248</v>
      </c>
      <c r="G123" s="10">
        <f t="shared" si="5"/>
        <v>97440</v>
      </c>
      <c r="H123" s="18">
        <v>15</v>
      </c>
      <c r="I123" s="19">
        <v>3248</v>
      </c>
      <c r="J123" s="19">
        <f t="shared" si="6"/>
        <v>48720</v>
      </c>
    </row>
    <row r="124" spans="1:10" ht="18" thickBot="1" x14ac:dyDescent="0.25">
      <c r="A124" s="8" t="s">
        <v>60</v>
      </c>
      <c r="B124" s="75"/>
      <c r="C124" s="9" t="s">
        <v>4</v>
      </c>
      <c r="D124" s="9" t="s">
        <v>550</v>
      </c>
      <c r="E124" s="9">
        <v>10</v>
      </c>
      <c r="F124" s="10">
        <v>2088</v>
      </c>
      <c r="G124" s="10">
        <f t="shared" si="5"/>
        <v>20880</v>
      </c>
      <c r="H124" s="18">
        <v>5</v>
      </c>
      <c r="I124" s="19">
        <v>2088</v>
      </c>
      <c r="J124" s="19">
        <f t="shared" si="6"/>
        <v>10440</v>
      </c>
    </row>
    <row r="125" spans="1:10" ht="18" thickBot="1" x14ac:dyDescent="0.25">
      <c r="A125" s="8" t="s">
        <v>551</v>
      </c>
      <c r="B125" s="75"/>
      <c r="C125" s="9" t="s">
        <v>4</v>
      </c>
      <c r="D125" s="9" t="s">
        <v>552</v>
      </c>
      <c r="E125" s="9">
        <v>15</v>
      </c>
      <c r="F125" s="10">
        <v>2320</v>
      </c>
      <c r="G125" s="10">
        <f t="shared" si="5"/>
        <v>34800</v>
      </c>
      <c r="H125" s="18">
        <v>1</v>
      </c>
      <c r="I125" s="19">
        <v>2320</v>
      </c>
      <c r="J125" s="19">
        <f t="shared" si="6"/>
        <v>2320</v>
      </c>
    </row>
    <row r="126" spans="1:10" ht="18" thickBot="1" x14ac:dyDescent="0.25">
      <c r="A126" s="8" t="s">
        <v>60</v>
      </c>
      <c r="B126" s="75"/>
      <c r="C126" s="9" t="s">
        <v>4</v>
      </c>
      <c r="D126" s="43" t="s">
        <v>553</v>
      </c>
      <c r="E126" s="9">
        <v>5</v>
      </c>
      <c r="F126" s="10">
        <v>2320</v>
      </c>
      <c r="G126" s="10">
        <f t="shared" si="5"/>
        <v>11600</v>
      </c>
      <c r="H126" s="18">
        <v>3</v>
      </c>
      <c r="I126" s="19">
        <v>2320</v>
      </c>
      <c r="J126" s="19">
        <f t="shared" si="6"/>
        <v>6960</v>
      </c>
    </row>
    <row r="127" spans="1:10" ht="18" thickBot="1" x14ac:dyDescent="0.25">
      <c r="A127" s="8" t="s">
        <v>60</v>
      </c>
      <c r="B127" s="75"/>
      <c r="C127" s="9" t="s">
        <v>4</v>
      </c>
      <c r="D127" s="9" t="s">
        <v>554</v>
      </c>
      <c r="E127" s="9">
        <v>10</v>
      </c>
      <c r="F127" s="10">
        <v>1160</v>
      </c>
      <c r="G127" s="10">
        <f t="shared" si="5"/>
        <v>11600</v>
      </c>
      <c r="H127" s="18">
        <v>4</v>
      </c>
      <c r="I127" s="19">
        <v>1160</v>
      </c>
      <c r="J127" s="19">
        <f t="shared" si="6"/>
        <v>4640</v>
      </c>
    </row>
    <row r="128" spans="1:10" ht="18" thickBot="1" x14ac:dyDescent="0.25">
      <c r="A128" s="8" t="s">
        <v>60</v>
      </c>
      <c r="B128" s="75"/>
      <c r="C128" s="9" t="s">
        <v>4</v>
      </c>
      <c r="D128" s="9" t="s">
        <v>555</v>
      </c>
      <c r="E128" s="9">
        <v>5</v>
      </c>
      <c r="F128" s="10">
        <v>4060</v>
      </c>
      <c r="G128" s="10">
        <f t="shared" si="5"/>
        <v>20300</v>
      </c>
      <c r="H128" s="18">
        <v>1</v>
      </c>
      <c r="I128" s="19">
        <v>4060</v>
      </c>
      <c r="J128" s="19">
        <f t="shared" si="6"/>
        <v>4060</v>
      </c>
    </row>
    <row r="129" spans="1:10" ht="18" thickBot="1" x14ac:dyDescent="0.25">
      <c r="A129" s="8" t="s">
        <v>60</v>
      </c>
      <c r="B129" s="75"/>
      <c r="C129" s="9" t="s">
        <v>4</v>
      </c>
      <c r="D129" s="43" t="s">
        <v>556</v>
      </c>
      <c r="E129" s="9">
        <v>10</v>
      </c>
      <c r="F129" s="10">
        <v>2320</v>
      </c>
      <c r="G129" s="10">
        <f t="shared" si="5"/>
        <v>23200</v>
      </c>
      <c r="H129" s="18">
        <v>5</v>
      </c>
      <c r="I129" s="19">
        <v>2320</v>
      </c>
      <c r="J129" s="19">
        <f t="shared" si="6"/>
        <v>11600</v>
      </c>
    </row>
    <row r="130" spans="1:10" ht="18" thickBot="1" x14ac:dyDescent="0.25">
      <c r="A130" s="8" t="s">
        <v>435</v>
      </c>
      <c r="B130" s="75"/>
      <c r="C130" s="9" t="s">
        <v>4</v>
      </c>
      <c r="D130" s="9" t="s">
        <v>557</v>
      </c>
      <c r="E130" s="9">
        <v>5</v>
      </c>
      <c r="F130" s="10">
        <v>3712</v>
      </c>
      <c r="G130" s="10">
        <f t="shared" si="5"/>
        <v>18560</v>
      </c>
      <c r="H130" s="18">
        <v>3</v>
      </c>
      <c r="I130" s="19">
        <v>3712</v>
      </c>
      <c r="J130" s="19">
        <f t="shared" si="6"/>
        <v>11136</v>
      </c>
    </row>
    <row r="131" spans="1:10" ht="17" thickBot="1" x14ac:dyDescent="0.25">
      <c r="A131" s="4"/>
      <c r="B131" s="79"/>
      <c r="C131" s="2"/>
      <c r="D131" s="2"/>
      <c r="E131" s="2"/>
      <c r="F131" s="3"/>
      <c r="G131" s="37">
        <f>SUM(G119:G130)</f>
        <v>376304</v>
      </c>
      <c r="H131" s="2"/>
      <c r="I131" s="3"/>
      <c r="J131" s="110">
        <f>SUM(J119:J130)</f>
        <v>145510.39999999999</v>
      </c>
    </row>
    <row r="132" spans="1:10" ht="17" thickBot="1" x14ac:dyDescent="0.25">
      <c r="A132" s="30" t="s">
        <v>815</v>
      </c>
      <c r="B132" s="74"/>
      <c r="C132" s="2" t="s">
        <v>804</v>
      </c>
      <c r="D132" s="2" t="s">
        <v>542</v>
      </c>
      <c r="E132" s="2"/>
      <c r="F132" s="3"/>
      <c r="G132" s="3"/>
    </row>
    <row r="133" spans="1:10" ht="17" thickBot="1" x14ac:dyDescent="0.25">
      <c r="A133" s="9" t="s">
        <v>805</v>
      </c>
      <c r="B133" s="76"/>
      <c r="C133" s="9" t="s">
        <v>36</v>
      </c>
      <c r="D133" s="9"/>
      <c r="E133" s="9">
        <v>5</v>
      </c>
      <c r="F133" s="10">
        <v>2204</v>
      </c>
      <c r="G133" s="10">
        <f>F133*E133</f>
        <v>11020</v>
      </c>
      <c r="H133" s="23">
        <v>2</v>
      </c>
      <c r="I133" s="24">
        <v>2204</v>
      </c>
      <c r="J133" s="24">
        <f>I133*H133</f>
        <v>4408</v>
      </c>
    </row>
    <row r="134" spans="1:10" ht="17" thickBot="1" x14ac:dyDescent="0.25">
      <c r="A134" s="9" t="s">
        <v>806</v>
      </c>
      <c r="B134" s="76"/>
      <c r="C134" s="9" t="s">
        <v>36</v>
      </c>
      <c r="D134" s="9"/>
      <c r="E134" s="9">
        <v>5</v>
      </c>
      <c r="F134" s="10">
        <v>3480</v>
      </c>
      <c r="G134" s="10">
        <f t="shared" ref="G134:G142" si="7">F134*E134</f>
        <v>17400</v>
      </c>
      <c r="H134" s="23"/>
      <c r="I134" s="24">
        <v>3480</v>
      </c>
      <c r="J134" s="24">
        <f t="shared" ref="J134:J142" si="8">I134*H134</f>
        <v>0</v>
      </c>
    </row>
    <row r="135" spans="1:10" ht="17" thickBot="1" x14ac:dyDescent="0.25">
      <c r="A135" s="9" t="s">
        <v>807</v>
      </c>
      <c r="B135" s="76"/>
      <c r="C135" s="9" t="s">
        <v>36</v>
      </c>
      <c r="D135" s="9"/>
      <c r="E135" s="9">
        <v>7</v>
      </c>
      <c r="F135" s="10">
        <v>3712</v>
      </c>
      <c r="G135" s="10">
        <f t="shared" si="7"/>
        <v>25984</v>
      </c>
      <c r="H135" s="23"/>
      <c r="I135" s="24">
        <v>3712</v>
      </c>
      <c r="J135" s="24">
        <f t="shared" si="8"/>
        <v>0</v>
      </c>
    </row>
    <row r="136" spans="1:10" ht="17" thickBot="1" x14ac:dyDescent="0.25">
      <c r="A136" s="9" t="s">
        <v>808</v>
      </c>
      <c r="B136" s="76"/>
      <c r="C136" s="9" t="s">
        <v>36</v>
      </c>
      <c r="D136" s="9"/>
      <c r="E136" s="9">
        <v>16</v>
      </c>
      <c r="F136" s="10">
        <v>4408</v>
      </c>
      <c r="G136" s="10">
        <f t="shared" si="7"/>
        <v>70528</v>
      </c>
      <c r="H136" s="23">
        <v>4</v>
      </c>
      <c r="I136" s="24">
        <v>4408</v>
      </c>
      <c r="J136" s="24">
        <f t="shared" si="8"/>
        <v>17632</v>
      </c>
    </row>
    <row r="137" spans="1:10" ht="17" thickBot="1" x14ac:dyDescent="0.25">
      <c r="A137" s="9" t="s">
        <v>809</v>
      </c>
      <c r="B137" s="76"/>
      <c r="C137" s="9" t="s">
        <v>36</v>
      </c>
      <c r="D137" s="9"/>
      <c r="E137" s="9">
        <v>10</v>
      </c>
      <c r="F137" s="10">
        <v>1044</v>
      </c>
      <c r="G137" s="10">
        <f t="shared" si="7"/>
        <v>10440</v>
      </c>
      <c r="H137" s="23">
        <v>2</v>
      </c>
      <c r="I137" s="24">
        <v>1044</v>
      </c>
      <c r="J137" s="24">
        <f t="shared" si="8"/>
        <v>2088</v>
      </c>
    </row>
    <row r="138" spans="1:10" ht="17" thickBot="1" x14ac:dyDescent="0.25">
      <c r="A138" s="9" t="s">
        <v>810</v>
      </c>
      <c r="B138" s="76"/>
      <c r="C138" s="9" t="s">
        <v>36</v>
      </c>
      <c r="D138" s="9"/>
      <c r="E138" s="9">
        <v>6</v>
      </c>
      <c r="F138" s="10">
        <v>11368</v>
      </c>
      <c r="G138" s="10">
        <f t="shared" si="7"/>
        <v>68208</v>
      </c>
      <c r="H138" s="23"/>
      <c r="I138" s="24">
        <v>11368</v>
      </c>
      <c r="J138" s="24">
        <f t="shared" si="8"/>
        <v>0</v>
      </c>
    </row>
    <row r="139" spans="1:10" ht="17" thickBot="1" x14ac:dyDescent="0.25">
      <c r="A139" s="9" t="s">
        <v>811</v>
      </c>
      <c r="B139" s="76"/>
      <c r="C139" s="9" t="s">
        <v>36</v>
      </c>
      <c r="D139" s="9"/>
      <c r="E139" s="9">
        <v>4</v>
      </c>
      <c r="F139" s="10">
        <v>11600</v>
      </c>
      <c r="G139" s="10">
        <f t="shared" si="7"/>
        <v>46400</v>
      </c>
      <c r="H139" s="23"/>
      <c r="I139" s="24">
        <v>11600</v>
      </c>
      <c r="J139" s="24">
        <f t="shared" si="8"/>
        <v>0</v>
      </c>
    </row>
    <row r="140" spans="1:10" ht="17" thickBot="1" x14ac:dyDescent="0.25">
      <c r="A140" s="9" t="s">
        <v>812</v>
      </c>
      <c r="B140" s="76"/>
      <c r="C140" s="9" t="s">
        <v>36</v>
      </c>
      <c r="D140" s="9"/>
      <c r="E140" s="9">
        <v>5</v>
      </c>
      <c r="F140" s="10">
        <v>1160</v>
      </c>
      <c r="G140" s="10">
        <f t="shared" si="7"/>
        <v>5800</v>
      </c>
      <c r="H140" s="23"/>
      <c r="I140" s="24">
        <v>1160</v>
      </c>
      <c r="J140" s="24">
        <f t="shared" si="8"/>
        <v>0</v>
      </c>
    </row>
    <row r="141" spans="1:10" ht="17" thickBot="1" x14ac:dyDescent="0.25">
      <c r="A141" s="9" t="s">
        <v>813</v>
      </c>
      <c r="B141" s="76"/>
      <c r="C141" s="9" t="s">
        <v>36</v>
      </c>
      <c r="D141" s="9"/>
      <c r="E141" s="9">
        <v>10</v>
      </c>
      <c r="F141" s="10">
        <v>5104</v>
      </c>
      <c r="G141" s="10">
        <f t="shared" si="7"/>
        <v>51040</v>
      </c>
      <c r="H141" s="23"/>
      <c r="I141" s="24">
        <v>5104</v>
      </c>
      <c r="J141" s="24">
        <f t="shared" si="8"/>
        <v>0</v>
      </c>
    </row>
    <row r="142" spans="1:10" ht="17" thickBot="1" x14ac:dyDescent="0.25">
      <c r="A142" s="9" t="s">
        <v>814</v>
      </c>
      <c r="B142" s="76"/>
      <c r="C142" s="9" t="s">
        <v>36</v>
      </c>
      <c r="D142" s="9"/>
      <c r="E142" s="9">
        <v>10</v>
      </c>
      <c r="F142" s="10">
        <v>4408</v>
      </c>
      <c r="G142" s="10">
        <f t="shared" si="7"/>
        <v>44080</v>
      </c>
      <c r="H142" s="23">
        <v>3</v>
      </c>
      <c r="I142" s="24">
        <v>4408</v>
      </c>
      <c r="J142" s="24">
        <f t="shared" si="8"/>
        <v>13224</v>
      </c>
    </row>
    <row r="143" spans="1:10" ht="17" thickBot="1" x14ac:dyDescent="0.25">
      <c r="A143" s="2"/>
      <c r="B143" s="77"/>
      <c r="C143" s="2"/>
      <c r="D143" s="2"/>
      <c r="E143" s="2"/>
      <c r="F143" s="3"/>
      <c r="G143" s="12">
        <f>SUM(G133:G142)</f>
        <v>350900</v>
      </c>
      <c r="H143" s="2"/>
      <c r="I143" s="3"/>
      <c r="J143" s="26">
        <f>SUM(J133:J142)</f>
        <v>37352</v>
      </c>
    </row>
    <row r="145" spans="1:10" ht="18" thickBot="1" x14ac:dyDescent="0.25">
      <c r="A145" s="7" t="s">
        <v>590</v>
      </c>
      <c r="B145" s="80"/>
      <c r="C145" s="2"/>
      <c r="D145" s="2"/>
      <c r="E145" s="2"/>
      <c r="F145" s="38"/>
      <c r="G145" s="38"/>
      <c r="H145" s="2"/>
      <c r="I145" s="2"/>
    </row>
    <row r="146" spans="1:10" ht="18" thickBot="1" x14ac:dyDescent="0.25">
      <c r="A146" s="8" t="s">
        <v>161</v>
      </c>
      <c r="B146" s="75"/>
      <c r="C146" s="9" t="s">
        <v>4</v>
      </c>
      <c r="D146" s="9" t="s">
        <v>591</v>
      </c>
      <c r="E146" s="9">
        <v>17</v>
      </c>
      <c r="F146" s="40">
        <v>8120</v>
      </c>
      <c r="G146" s="40">
        <f>E146*F146</f>
        <v>138040</v>
      </c>
      <c r="H146" s="18">
        <v>9</v>
      </c>
      <c r="I146" s="53">
        <v>8120</v>
      </c>
      <c r="J146" s="53">
        <f>H146*I146</f>
        <v>73080</v>
      </c>
    </row>
    <row r="147" spans="1:10" ht="18" thickBot="1" x14ac:dyDescent="0.25">
      <c r="A147" s="8" t="s">
        <v>447</v>
      </c>
      <c r="B147" s="75"/>
      <c r="C147" s="9" t="s">
        <v>4</v>
      </c>
      <c r="D147" s="9" t="s">
        <v>592</v>
      </c>
      <c r="E147" s="9">
        <v>5</v>
      </c>
      <c r="F147" s="40">
        <v>13920</v>
      </c>
      <c r="G147" s="40">
        <f t="shared" ref="G147:G183" si="9">E147*F147</f>
        <v>69600</v>
      </c>
      <c r="H147" s="18">
        <v>2</v>
      </c>
      <c r="I147" s="53">
        <v>13920</v>
      </c>
      <c r="J147" s="53">
        <f t="shared" ref="J147:J183" si="10">H147*I147</f>
        <v>27840</v>
      </c>
    </row>
    <row r="148" spans="1:10" ht="18" thickBot="1" x14ac:dyDescent="0.25">
      <c r="A148" s="8" t="s">
        <v>593</v>
      </c>
      <c r="B148" s="75"/>
      <c r="C148" s="9" t="s">
        <v>4</v>
      </c>
      <c r="D148" s="9" t="s">
        <v>594</v>
      </c>
      <c r="E148" s="9">
        <v>10</v>
      </c>
      <c r="F148" s="40">
        <v>2320</v>
      </c>
      <c r="G148" s="40">
        <f t="shared" si="9"/>
        <v>23200</v>
      </c>
      <c r="H148" s="18">
        <v>5</v>
      </c>
      <c r="I148" s="53">
        <v>2320</v>
      </c>
      <c r="J148" s="53">
        <f t="shared" si="10"/>
        <v>11600</v>
      </c>
    </row>
    <row r="149" spans="1:10" ht="18" thickBot="1" x14ac:dyDescent="0.25">
      <c r="A149" s="8" t="s">
        <v>155</v>
      </c>
      <c r="B149" s="75"/>
      <c r="C149" s="9" t="s">
        <v>4</v>
      </c>
      <c r="D149" s="9" t="s">
        <v>595</v>
      </c>
      <c r="E149" s="9">
        <v>20</v>
      </c>
      <c r="F149" s="40">
        <v>2668</v>
      </c>
      <c r="G149" s="40">
        <f t="shared" si="9"/>
        <v>53360</v>
      </c>
      <c r="H149" s="18"/>
      <c r="I149" s="53">
        <v>2668</v>
      </c>
      <c r="J149" s="53">
        <f t="shared" si="10"/>
        <v>0</v>
      </c>
    </row>
    <row r="150" spans="1:10" ht="18" thickBot="1" x14ac:dyDescent="0.25">
      <c r="A150" s="8" t="s">
        <v>155</v>
      </c>
      <c r="B150" s="75"/>
      <c r="C150" s="9" t="s">
        <v>4</v>
      </c>
      <c r="D150" s="9" t="s">
        <v>596</v>
      </c>
      <c r="E150" s="9">
        <v>10</v>
      </c>
      <c r="F150" s="40">
        <v>6960</v>
      </c>
      <c r="G150" s="40">
        <f t="shared" si="9"/>
        <v>69600</v>
      </c>
      <c r="H150" s="18"/>
      <c r="I150" s="53">
        <v>6960</v>
      </c>
      <c r="J150" s="53">
        <f t="shared" si="10"/>
        <v>0</v>
      </c>
    </row>
    <row r="151" spans="1:10" ht="18" thickBot="1" x14ac:dyDescent="0.25">
      <c r="A151" s="8" t="s">
        <v>51</v>
      </c>
      <c r="B151" s="75"/>
      <c r="C151" s="9" t="s">
        <v>4</v>
      </c>
      <c r="D151" s="9" t="s">
        <v>597</v>
      </c>
      <c r="E151" s="9">
        <v>10</v>
      </c>
      <c r="F151" s="40">
        <v>6960</v>
      </c>
      <c r="G151" s="40">
        <f t="shared" si="9"/>
        <v>69600</v>
      </c>
      <c r="H151" s="18">
        <v>5</v>
      </c>
      <c r="I151" s="53">
        <v>6960</v>
      </c>
      <c r="J151" s="53">
        <f t="shared" si="10"/>
        <v>34800</v>
      </c>
    </row>
    <row r="152" spans="1:10" ht="18" thickBot="1" x14ac:dyDescent="0.25">
      <c r="A152" s="8" t="s">
        <v>51</v>
      </c>
      <c r="B152" s="75"/>
      <c r="C152" s="9" t="s">
        <v>4</v>
      </c>
      <c r="D152" s="9" t="s">
        <v>598</v>
      </c>
      <c r="E152" s="9">
        <v>25</v>
      </c>
      <c r="F152" s="40">
        <v>4640</v>
      </c>
      <c r="G152" s="40">
        <f t="shared" si="9"/>
        <v>116000</v>
      </c>
      <c r="H152" s="18"/>
      <c r="I152" s="53">
        <v>4640</v>
      </c>
      <c r="J152" s="53">
        <f t="shared" si="10"/>
        <v>0</v>
      </c>
    </row>
    <row r="153" spans="1:10" ht="18" thickBot="1" x14ac:dyDescent="0.25">
      <c r="A153" s="8" t="s">
        <v>51</v>
      </c>
      <c r="B153" s="75"/>
      <c r="C153" s="9" t="s">
        <v>4</v>
      </c>
      <c r="D153" s="9" t="s">
        <v>599</v>
      </c>
      <c r="E153" s="9">
        <v>5</v>
      </c>
      <c r="F153" s="40">
        <v>4060</v>
      </c>
      <c r="G153" s="40">
        <f t="shared" si="9"/>
        <v>20300</v>
      </c>
      <c r="H153" s="18">
        <v>2</v>
      </c>
      <c r="I153" s="53">
        <v>4060</v>
      </c>
      <c r="J153" s="53">
        <f t="shared" si="10"/>
        <v>8120</v>
      </c>
    </row>
    <row r="154" spans="1:10" ht="18" thickBot="1" x14ac:dyDescent="0.25">
      <c r="A154" s="8" t="s">
        <v>51</v>
      </c>
      <c r="B154" s="75"/>
      <c r="C154" s="9" t="s">
        <v>4</v>
      </c>
      <c r="D154" s="43" t="s">
        <v>600</v>
      </c>
      <c r="E154" s="9">
        <v>15</v>
      </c>
      <c r="F154" s="40">
        <v>4640</v>
      </c>
      <c r="G154" s="40">
        <f t="shared" si="9"/>
        <v>69600</v>
      </c>
      <c r="H154" s="18">
        <v>8</v>
      </c>
      <c r="I154" s="53">
        <v>4640</v>
      </c>
      <c r="J154" s="53">
        <f t="shared" si="10"/>
        <v>37120</v>
      </c>
    </row>
    <row r="155" spans="1:10" ht="18" thickBot="1" x14ac:dyDescent="0.25">
      <c r="A155" s="8" t="s">
        <v>593</v>
      </c>
      <c r="B155" s="75"/>
      <c r="C155" s="9" t="s">
        <v>4</v>
      </c>
      <c r="D155" s="9" t="s">
        <v>601</v>
      </c>
      <c r="E155" s="9">
        <v>12</v>
      </c>
      <c r="F155" s="40">
        <v>2320</v>
      </c>
      <c r="G155" s="40">
        <f t="shared" si="9"/>
        <v>27840</v>
      </c>
      <c r="H155" s="18">
        <v>3</v>
      </c>
      <c r="I155" s="53">
        <v>2320</v>
      </c>
      <c r="J155" s="53">
        <f t="shared" si="10"/>
        <v>6960</v>
      </c>
    </row>
    <row r="156" spans="1:10" ht="18" thickBot="1" x14ac:dyDescent="0.25">
      <c r="A156" s="8" t="s">
        <v>602</v>
      </c>
      <c r="B156" s="75"/>
      <c r="C156" s="9" t="s">
        <v>4</v>
      </c>
      <c r="D156" s="9" t="s">
        <v>603</v>
      </c>
      <c r="E156" s="9">
        <v>10</v>
      </c>
      <c r="F156" s="40">
        <v>8120</v>
      </c>
      <c r="G156" s="40">
        <f t="shared" si="9"/>
        <v>81200</v>
      </c>
      <c r="H156" s="18">
        <v>2</v>
      </c>
      <c r="I156" s="53">
        <v>8120</v>
      </c>
      <c r="J156" s="53">
        <f t="shared" si="10"/>
        <v>16240</v>
      </c>
    </row>
    <row r="157" spans="1:10" ht="18" thickBot="1" x14ac:dyDescent="0.25">
      <c r="A157" s="8" t="s">
        <v>140</v>
      </c>
      <c r="B157" s="75"/>
      <c r="C157" s="9" t="s">
        <v>4</v>
      </c>
      <c r="D157" s="9" t="s">
        <v>604</v>
      </c>
      <c r="E157" s="9">
        <v>3</v>
      </c>
      <c r="F157" s="40">
        <v>5800</v>
      </c>
      <c r="G157" s="40">
        <f t="shared" si="9"/>
        <v>17400</v>
      </c>
      <c r="H157" s="18">
        <v>3</v>
      </c>
      <c r="I157" s="53">
        <v>5800</v>
      </c>
      <c r="J157" s="53">
        <f t="shared" si="10"/>
        <v>17400</v>
      </c>
    </row>
    <row r="158" spans="1:10" ht="18" thickBot="1" x14ac:dyDescent="0.25">
      <c r="A158" s="8" t="s">
        <v>51</v>
      </c>
      <c r="B158" s="75"/>
      <c r="C158" s="9" t="s">
        <v>4</v>
      </c>
      <c r="D158" s="9" t="s">
        <v>605</v>
      </c>
      <c r="E158" s="9">
        <v>10</v>
      </c>
      <c r="F158" s="40">
        <v>2320</v>
      </c>
      <c r="G158" s="40">
        <f t="shared" si="9"/>
        <v>23200</v>
      </c>
      <c r="H158" s="18">
        <v>5</v>
      </c>
      <c r="I158" s="53">
        <v>2320</v>
      </c>
      <c r="J158" s="53">
        <f t="shared" si="10"/>
        <v>11600</v>
      </c>
    </row>
    <row r="159" spans="1:10" ht="18" thickBot="1" x14ac:dyDescent="0.25">
      <c r="A159" s="8" t="s">
        <v>162</v>
      </c>
      <c r="B159" s="75"/>
      <c r="C159" s="9" t="s">
        <v>4</v>
      </c>
      <c r="D159" s="9" t="s">
        <v>606</v>
      </c>
      <c r="E159" s="9">
        <v>10</v>
      </c>
      <c r="F159" s="40">
        <v>4640</v>
      </c>
      <c r="G159" s="40">
        <f t="shared" si="9"/>
        <v>46400</v>
      </c>
      <c r="H159" s="18">
        <v>4</v>
      </c>
      <c r="I159" s="53">
        <v>4640</v>
      </c>
      <c r="J159" s="53">
        <f t="shared" si="10"/>
        <v>18560</v>
      </c>
    </row>
    <row r="160" spans="1:10" ht="18" thickBot="1" x14ac:dyDescent="0.25">
      <c r="A160" s="8" t="s">
        <v>51</v>
      </c>
      <c r="B160" s="75"/>
      <c r="C160" s="9" t="s">
        <v>4</v>
      </c>
      <c r="D160" s="9" t="s">
        <v>607</v>
      </c>
      <c r="E160" s="9">
        <v>5</v>
      </c>
      <c r="F160" s="40">
        <v>4060</v>
      </c>
      <c r="G160" s="40">
        <f t="shared" si="9"/>
        <v>20300</v>
      </c>
      <c r="H160" s="18">
        <v>2</v>
      </c>
      <c r="I160" s="53">
        <v>4060</v>
      </c>
      <c r="J160" s="53">
        <f t="shared" si="10"/>
        <v>8120</v>
      </c>
    </row>
    <row r="161" spans="1:10" ht="18" thickBot="1" x14ac:dyDescent="0.25">
      <c r="A161" s="8" t="s">
        <v>162</v>
      </c>
      <c r="B161" s="75"/>
      <c r="C161" s="9" t="s">
        <v>4</v>
      </c>
      <c r="D161" s="9" t="s">
        <v>608</v>
      </c>
      <c r="E161" s="9">
        <v>15</v>
      </c>
      <c r="F161" s="40">
        <v>4060</v>
      </c>
      <c r="G161" s="40">
        <f t="shared" si="9"/>
        <v>60900</v>
      </c>
      <c r="H161" s="18">
        <v>5</v>
      </c>
      <c r="I161" s="53">
        <v>4060</v>
      </c>
      <c r="J161" s="53">
        <f t="shared" si="10"/>
        <v>20300</v>
      </c>
    </row>
    <row r="162" spans="1:10" ht="18" thickBot="1" x14ac:dyDescent="0.25">
      <c r="A162" s="8" t="s">
        <v>51</v>
      </c>
      <c r="B162" s="75"/>
      <c r="C162" s="9" t="s">
        <v>4</v>
      </c>
      <c r="D162" s="9" t="s">
        <v>609</v>
      </c>
      <c r="E162" s="9">
        <v>25</v>
      </c>
      <c r="F162" s="40">
        <v>4060</v>
      </c>
      <c r="G162" s="40">
        <f t="shared" si="9"/>
        <v>101500</v>
      </c>
      <c r="H162" s="18">
        <v>10</v>
      </c>
      <c r="I162" s="53">
        <v>4060</v>
      </c>
      <c r="J162" s="53">
        <f t="shared" si="10"/>
        <v>40600</v>
      </c>
    </row>
    <row r="163" spans="1:10" ht="18" thickBot="1" x14ac:dyDescent="0.25">
      <c r="A163" s="8" t="s">
        <v>155</v>
      </c>
      <c r="B163" s="75"/>
      <c r="C163" s="9" t="s">
        <v>4</v>
      </c>
      <c r="D163" s="9" t="s">
        <v>610</v>
      </c>
      <c r="E163" s="9">
        <v>6</v>
      </c>
      <c r="F163" s="40">
        <v>5800</v>
      </c>
      <c r="G163" s="40">
        <f t="shared" si="9"/>
        <v>34800</v>
      </c>
      <c r="H163" s="18">
        <v>3</v>
      </c>
      <c r="I163" s="53">
        <v>5800</v>
      </c>
      <c r="J163" s="53">
        <f t="shared" si="10"/>
        <v>17400</v>
      </c>
    </row>
    <row r="164" spans="1:10" ht="18" thickBot="1" x14ac:dyDescent="0.25">
      <c r="A164" s="8" t="s">
        <v>593</v>
      </c>
      <c r="B164" s="75"/>
      <c r="C164" s="9" t="s">
        <v>36</v>
      </c>
      <c r="D164" s="9" t="s">
        <v>611</v>
      </c>
      <c r="E164" s="9">
        <v>10</v>
      </c>
      <c r="F164" s="40">
        <v>3480</v>
      </c>
      <c r="G164" s="40">
        <f t="shared" si="9"/>
        <v>34800</v>
      </c>
      <c r="H164" s="18">
        <v>5</v>
      </c>
      <c r="I164" s="53">
        <v>3480</v>
      </c>
      <c r="J164" s="53">
        <f t="shared" si="10"/>
        <v>17400</v>
      </c>
    </row>
    <row r="165" spans="1:10" ht="18" thickBot="1" x14ac:dyDescent="0.25">
      <c r="A165" s="8" t="s">
        <v>51</v>
      </c>
      <c r="B165" s="75"/>
      <c r="C165" s="9" t="s">
        <v>4</v>
      </c>
      <c r="D165" s="9" t="s">
        <v>612</v>
      </c>
      <c r="E165" s="9">
        <v>10</v>
      </c>
      <c r="F165" s="40">
        <v>4060</v>
      </c>
      <c r="G165" s="40">
        <f t="shared" si="9"/>
        <v>40600</v>
      </c>
      <c r="H165" s="18">
        <v>5</v>
      </c>
      <c r="I165" s="53">
        <v>4060</v>
      </c>
      <c r="J165" s="53">
        <f t="shared" si="10"/>
        <v>20300</v>
      </c>
    </row>
    <row r="166" spans="1:10" ht="18" thickBot="1" x14ac:dyDescent="0.25">
      <c r="A166" s="8" t="s">
        <v>593</v>
      </c>
      <c r="B166" s="75"/>
      <c r="C166" s="9" t="s">
        <v>4</v>
      </c>
      <c r="D166" s="9" t="s">
        <v>613</v>
      </c>
      <c r="E166" s="9">
        <v>10</v>
      </c>
      <c r="F166" s="40">
        <v>3480</v>
      </c>
      <c r="G166" s="40">
        <f t="shared" si="9"/>
        <v>34800</v>
      </c>
      <c r="H166" s="18">
        <v>5</v>
      </c>
      <c r="I166" s="53">
        <v>3480</v>
      </c>
      <c r="J166" s="53">
        <f t="shared" si="10"/>
        <v>17400</v>
      </c>
    </row>
    <row r="167" spans="1:10" ht="18" thickBot="1" x14ac:dyDescent="0.25">
      <c r="A167" s="8" t="s">
        <v>401</v>
      </c>
      <c r="B167" s="75"/>
      <c r="C167" s="9" t="s">
        <v>4</v>
      </c>
      <c r="D167" s="9" t="s">
        <v>614</v>
      </c>
      <c r="E167" s="9">
        <v>5</v>
      </c>
      <c r="F167" s="40">
        <v>12760</v>
      </c>
      <c r="G167" s="40">
        <f t="shared" si="9"/>
        <v>63800</v>
      </c>
      <c r="H167" s="18">
        <v>2</v>
      </c>
      <c r="I167" s="53">
        <v>12760</v>
      </c>
      <c r="J167" s="53">
        <f t="shared" si="10"/>
        <v>25520</v>
      </c>
    </row>
    <row r="168" spans="1:10" ht="18" thickBot="1" x14ac:dyDescent="0.25">
      <c r="A168" s="8" t="s">
        <v>615</v>
      </c>
      <c r="B168" s="75"/>
      <c r="C168" s="9" t="s">
        <v>4</v>
      </c>
      <c r="D168" s="9" t="s">
        <v>616</v>
      </c>
      <c r="E168" s="9">
        <v>3</v>
      </c>
      <c r="F168" s="40">
        <v>9860</v>
      </c>
      <c r="G168" s="40">
        <f t="shared" si="9"/>
        <v>29580</v>
      </c>
      <c r="H168" s="18">
        <v>1</v>
      </c>
      <c r="I168" s="53">
        <v>9860</v>
      </c>
      <c r="J168" s="53">
        <f t="shared" si="10"/>
        <v>9860</v>
      </c>
    </row>
    <row r="169" spans="1:10" ht="18" thickBot="1" x14ac:dyDescent="0.25">
      <c r="A169" s="8" t="s">
        <v>617</v>
      </c>
      <c r="B169" s="75"/>
      <c r="C169" s="9" t="s">
        <v>4</v>
      </c>
      <c r="D169" s="9" t="s">
        <v>618</v>
      </c>
      <c r="E169" s="9">
        <v>1</v>
      </c>
      <c r="F169" s="40">
        <v>12760</v>
      </c>
      <c r="G169" s="40">
        <f t="shared" si="9"/>
        <v>12760</v>
      </c>
      <c r="H169" s="18"/>
      <c r="I169" s="53">
        <v>12760</v>
      </c>
      <c r="J169" s="53">
        <f t="shared" si="10"/>
        <v>0</v>
      </c>
    </row>
    <row r="170" spans="1:10" ht="18" thickBot="1" x14ac:dyDescent="0.25">
      <c r="A170" s="8" t="s">
        <v>140</v>
      </c>
      <c r="B170" s="75"/>
      <c r="C170" s="9" t="s">
        <v>4</v>
      </c>
      <c r="D170" s="9" t="s">
        <v>619</v>
      </c>
      <c r="E170" s="9">
        <v>13</v>
      </c>
      <c r="F170" s="40">
        <v>5684</v>
      </c>
      <c r="G170" s="40">
        <f t="shared" si="9"/>
        <v>73892</v>
      </c>
      <c r="H170" s="18"/>
      <c r="I170" s="53">
        <v>5684</v>
      </c>
      <c r="J170" s="53">
        <f t="shared" si="10"/>
        <v>0</v>
      </c>
    </row>
    <row r="171" spans="1:10" ht="18" thickBot="1" x14ac:dyDescent="0.25">
      <c r="A171" s="8" t="s">
        <v>51</v>
      </c>
      <c r="B171" s="75"/>
      <c r="C171" s="9" t="s">
        <v>4</v>
      </c>
      <c r="D171" s="9" t="s">
        <v>620</v>
      </c>
      <c r="E171" s="9">
        <v>5</v>
      </c>
      <c r="F171" s="40">
        <v>2320</v>
      </c>
      <c r="G171" s="40">
        <f t="shared" si="9"/>
        <v>11600</v>
      </c>
      <c r="H171" s="18"/>
      <c r="I171" s="53">
        <v>2320</v>
      </c>
      <c r="J171" s="53">
        <f t="shared" si="10"/>
        <v>0</v>
      </c>
    </row>
    <row r="172" spans="1:10" ht="18" thickBot="1" x14ac:dyDescent="0.25">
      <c r="A172" s="8" t="s">
        <v>51</v>
      </c>
      <c r="B172" s="75"/>
      <c r="C172" s="9" t="s">
        <v>4</v>
      </c>
      <c r="D172" s="9" t="s">
        <v>621</v>
      </c>
      <c r="E172" s="9">
        <v>10</v>
      </c>
      <c r="F172" s="40">
        <v>4060</v>
      </c>
      <c r="G172" s="40">
        <f t="shared" si="9"/>
        <v>40600</v>
      </c>
      <c r="H172" s="18">
        <v>5</v>
      </c>
      <c r="I172" s="53">
        <v>4060</v>
      </c>
      <c r="J172" s="53">
        <f t="shared" si="10"/>
        <v>20300</v>
      </c>
    </row>
    <row r="173" spans="1:10" ht="18" thickBot="1" x14ac:dyDescent="0.25">
      <c r="A173" s="8" t="s">
        <v>63</v>
      </c>
      <c r="B173" s="75"/>
      <c r="C173" s="9" t="s">
        <v>4</v>
      </c>
      <c r="D173" s="9" t="s">
        <v>622</v>
      </c>
      <c r="E173" s="9">
        <v>10</v>
      </c>
      <c r="F173" s="40">
        <v>2320</v>
      </c>
      <c r="G173" s="40">
        <f t="shared" si="9"/>
        <v>23200</v>
      </c>
      <c r="H173" s="18">
        <v>5</v>
      </c>
      <c r="I173" s="53">
        <v>2320</v>
      </c>
      <c r="J173" s="53">
        <f t="shared" si="10"/>
        <v>11600</v>
      </c>
    </row>
    <row r="174" spans="1:10" ht="18" thickBot="1" x14ac:dyDescent="0.25">
      <c r="A174" s="8" t="s">
        <v>158</v>
      </c>
      <c r="B174" s="75"/>
      <c r="C174" s="9" t="s">
        <v>4</v>
      </c>
      <c r="D174" s="9" t="s">
        <v>623</v>
      </c>
      <c r="E174" s="9">
        <v>4</v>
      </c>
      <c r="F174" s="40">
        <v>4640</v>
      </c>
      <c r="G174" s="40">
        <f t="shared" si="9"/>
        <v>18560</v>
      </c>
      <c r="H174" s="18">
        <v>2</v>
      </c>
      <c r="I174" s="53">
        <v>4640</v>
      </c>
      <c r="J174" s="53">
        <f t="shared" si="10"/>
        <v>9280</v>
      </c>
    </row>
    <row r="175" spans="1:10" ht="18" thickBot="1" x14ac:dyDescent="0.25">
      <c r="A175" s="8" t="s">
        <v>51</v>
      </c>
      <c r="B175" s="75"/>
      <c r="C175" s="9" t="s">
        <v>4</v>
      </c>
      <c r="D175" s="9" t="s">
        <v>624</v>
      </c>
      <c r="E175" s="9">
        <v>5</v>
      </c>
      <c r="F175" s="40">
        <v>2320</v>
      </c>
      <c r="G175" s="40">
        <f t="shared" si="9"/>
        <v>11600</v>
      </c>
      <c r="H175" s="18"/>
      <c r="I175" s="53">
        <v>2320</v>
      </c>
      <c r="J175" s="53">
        <f t="shared" si="10"/>
        <v>0</v>
      </c>
    </row>
    <row r="176" spans="1:10" ht="18" thickBot="1" x14ac:dyDescent="0.25">
      <c r="A176" s="8" t="s">
        <v>51</v>
      </c>
      <c r="B176" s="75"/>
      <c r="C176" s="9" t="s">
        <v>4</v>
      </c>
      <c r="D176" s="9" t="s">
        <v>625</v>
      </c>
      <c r="E176" s="9">
        <v>5</v>
      </c>
      <c r="F176" s="40">
        <v>3480</v>
      </c>
      <c r="G176" s="40">
        <f t="shared" si="9"/>
        <v>17400</v>
      </c>
      <c r="H176" s="18"/>
      <c r="I176" s="53">
        <v>3480</v>
      </c>
      <c r="J176" s="53">
        <f t="shared" si="10"/>
        <v>0</v>
      </c>
    </row>
    <row r="177" spans="1:10" ht="18" thickBot="1" x14ac:dyDescent="0.25">
      <c r="A177" s="8" t="s">
        <v>155</v>
      </c>
      <c r="B177" s="75"/>
      <c r="C177" s="9" t="s">
        <v>4</v>
      </c>
      <c r="D177" s="9" t="s">
        <v>626</v>
      </c>
      <c r="E177" s="9">
        <v>4</v>
      </c>
      <c r="F177" s="40">
        <v>5800</v>
      </c>
      <c r="G177" s="40">
        <f t="shared" si="9"/>
        <v>23200</v>
      </c>
      <c r="H177" s="18">
        <v>2</v>
      </c>
      <c r="I177" s="53">
        <v>5800</v>
      </c>
      <c r="J177" s="53">
        <f t="shared" si="10"/>
        <v>11600</v>
      </c>
    </row>
    <row r="178" spans="1:10" ht="18" thickBot="1" x14ac:dyDescent="0.25">
      <c r="A178" s="8" t="s">
        <v>155</v>
      </c>
      <c r="B178" s="75"/>
      <c r="C178" s="9" t="s">
        <v>4</v>
      </c>
      <c r="D178" s="9" t="s">
        <v>627</v>
      </c>
      <c r="E178" s="9">
        <v>30</v>
      </c>
      <c r="F178" s="40">
        <v>6496</v>
      </c>
      <c r="G178" s="40">
        <f t="shared" si="9"/>
        <v>194880</v>
      </c>
      <c r="H178" s="18">
        <v>10</v>
      </c>
      <c r="I178" s="53">
        <v>6496</v>
      </c>
      <c r="J178" s="53">
        <f t="shared" si="10"/>
        <v>64960</v>
      </c>
    </row>
    <row r="179" spans="1:10" ht="18" thickBot="1" x14ac:dyDescent="0.25">
      <c r="A179" s="8" t="s">
        <v>435</v>
      </c>
      <c r="B179" s="75"/>
      <c r="C179" s="9" t="s">
        <v>4</v>
      </c>
      <c r="D179" s="9" t="s">
        <v>628</v>
      </c>
      <c r="E179" s="9">
        <v>2</v>
      </c>
      <c r="F179" s="40">
        <v>12760</v>
      </c>
      <c r="G179" s="40">
        <f t="shared" si="9"/>
        <v>25520</v>
      </c>
      <c r="H179" s="18">
        <v>1</v>
      </c>
      <c r="I179" s="53">
        <v>12760</v>
      </c>
      <c r="J179" s="53">
        <f t="shared" si="10"/>
        <v>12760</v>
      </c>
    </row>
    <row r="180" spans="1:10" ht="18" thickBot="1" x14ac:dyDescent="0.25">
      <c r="A180" s="8" t="s">
        <v>629</v>
      </c>
      <c r="B180" s="75"/>
      <c r="C180" s="9" t="s">
        <v>4</v>
      </c>
      <c r="D180" s="9" t="s">
        <v>630</v>
      </c>
      <c r="E180" s="9">
        <v>2</v>
      </c>
      <c r="F180" s="40">
        <v>4640</v>
      </c>
      <c r="G180" s="40">
        <f t="shared" si="9"/>
        <v>9280</v>
      </c>
      <c r="H180" s="18"/>
      <c r="I180" s="53">
        <v>4640</v>
      </c>
      <c r="J180" s="53">
        <f t="shared" si="10"/>
        <v>0</v>
      </c>
    </row>
    <row r="181" spans="1:10" ht="18" thickBot="1" x14ac:dyDescent="0.25">
      <c r="A181" s="8" t="s">
        <v>631</v>
      </c>
      <c r="B181" s="75"/>
      <c r="C181" s="9" t="s">
        <v>4</v>
      </c>
      <c r="D181" s="9" t="s">
        <v>632</v>
      </c>
      <c r="E181" s="9">
        <v>10</v>
      </c>
      <c r="F181" s="40">
        <v>1160</v>
      </c>
      <c r="G181" s="40">
        <f t="shared" si="9"/>
        <v>11600</v>
      </c>
      <c r="H181" s="18">
        <v>5</v>
      </c>
      <c r="I181" s="53">
        <v>1160</v>
      </c>
      <c r="J181" s="53">
        <f t="shared" si="10"/>
        <v>5800</v>
      </c>
    </row>
    <row r="182" spans="1:10" ht="18" thickBot="1" x14ac:dyDescent="0.25">
      <c r="A182" s="8" t="s">
        <v>593</v>
      </c>
      <c r="B182" s="75"/>
      <c r="C182" s="9" t="s">
        <v>4</v>
      </c>
      <c r="D182" s="9" t="s">
        <v>633</v>
      </c>
      <c r="E182" s="9">
        <v>12</v>
      </c>
      <c r="F182" s="40">
        <v>2320</v>
      </c>
      <c r="G182" s="40">
        <f t="shared" si="9"/>
        <v>27840</v>
      </c>
      <c r="H182" s="18"/>
      <c r="I182" s="53">
        <v>2320</v>
      </c>
      <c r="J182" s="53">
        <f t="shared" si="10"/>
        <v>0</v>
      </c>
    </row>
    <row r="183" spans="1:10" ht="18" thickBot="1" x14ac:dyDescent="0.25">
      <c r="A183" s="8" t="s">
        <v>162</v>
      </c>
      <c r="B183" s="75"/>
      <c r="C183" s="9" t="s">
        <v>4</v>
      </c>
      <c r="D183" s="9" t="s">
        <v>634</v>
      </c>
      <c r="E183" s="9">
        <v>5</v>
      </c>
      <c r="F183" s="40">
        <v>5220</v>
      </c>
      <c r="G183" s="40">
        <f t="shared" si="9"/>
        <v>26100</v>
      </c>
      <c r="H183" s="18">
        <v>2</v>
      </c>
      <c r="I183" s="53">
        <v>5220</v>
      </c>
      <c r="J183" s="53">
        <f t="shared" si="10"/>
        <v>10440</v>
      </c>
    </row>
    <row r="184" spans="1:10" ht="17" thickBot="1" x14ac:dyDescent="0.25">
      <c r="A184" s="4"/>
      <c r="B184" s="79"/>
      <c r="C184" s="2"/>
      <c r="D184" s="2"/>
      <c r="E184" s="2"/>
      <c r="F184" s="38"/>
      <c r="G184" s="50">
        <f>SUM(G146:G183)</f>
        <v>1774452</v>
      </c>
      <c r="H184" s="2"/>
      <c r="I184" s="38"/>
      <c r="J184" s="54">
        <f>SUM(J146:J183)</f>
        <v>586960</v>
      </c>
    </row>
    <row r="186" spans="1:10" ht="17" thickBot="1" x14ac:dyDescent="0.25">
      <c r="A186" s="30" t="s">
        <v>1724</v>
      </c>
      <c r="B186" s="2" t="s">
        <v>804</v>
      </c>
      <c r="C186" s="2" t="s">
        <v>542</v>
      </c>
      <c r="D186" s="2"/>
      <c r="E186" s="2"/>
      <c r="F186" s="2"/>
    </row>
    <row r="187" spans="1:10" ht="17" thickBot="1" x14ac:dyDescent="0.25">
      <c r="A187" s="9" t="s">
        <v>1689</v>
      </c>
      <c r="B187" s="169"/>
      <c r="C187" s="9" t="s">
        <v>36</v>
      </c>
      <c r="D187" s="16"/>
      <c r="E187" s="9">
        <v>10</v>
      </c>
      <c r="F187" s="10">
        <v>5568</v>
      </c>
      <c r="G187" s="10">
        <f t="shared" ref="G187:G221" si="11">F187*E187</f>
        <v>55680</v>
      </c>
    </row>
    <row r="188" spans="1:10" ht="17" thickBot="1" x14ac:dyDescent="0.25">
      <c r="A188" s="9" t="s">
        <v>1690</v>
      </c>
      <c r="B188" s="169"/>
      <c r="C188" s="9" t="s">
        <v>36</v>
      </c>
      <c r="D188" s="16"/>
      <c r="E188" s="9">
        <v>5</v>
      </c>
      <c r="F188" s="10">
        <v>11600</v>
      </c>
      <c r="G188" s="10">
        <f t="shared" si="11"/>
        <v>58000</v>
      </c>
    </row>
    <row r="189" spans="1:10" ht="17" thickBot="1" x14ac:dyDescent="0.25">
      <c r="A189" s="9" t="s">
        <v>1691</v>
      </c>
      <c r="B189" s="169"/>
      <c r="C189" s="9" t="s">
        <v>36</v>
      </c>
      <c r="D189" s="16"/>
      <c r="E189" s="9">
        <v>10</v>
      </c>
      <c r="F189" s="10">
        <v>8120</v>
      </c>
      <c r="G189" s="10">
        <f t="shared" si="11"/>
        <v>81200</v>
      </c>
    </row>
    <row r="190" spans="1:10" ht="17" thickBot="1" x14ac:dyDescent="0.25">
      <c r="A190" s="9" t="s">
        <v>1692</v>
      </c>
      <c r="B190" s="169"/>
      <c r="C190" s="9" t="s">
        <v>36</v>
      </c>
      <c r="D190" s="16"/>
      <c r="E190" s="9">
        <v>10</v>
      </c>
      <c r="F190" s="10">
        <v>2320</v>
      </c>
      <c r="G190" s="10">
        <f t="shared" si="11"/>
        <v>23200</v>
      </c>
    </row>
    <row r="191" spans="1:10" ht="17" thickBot="1" x14ac:dyDescent="0.25">
      <c r="A191" s="9" t="s">
        <v>1693</v>
      </c>
      <c r="B191" s="169"/>
      <c r="C191" s="9" t="s">
        <v>36</v>
      </c>
      <c r="D191" s="16"/>
      <c r="E191" s="9">
        <v>8</v>
      </c>
      <c r="F191" s="10">
        <v>12760</v>
      </c>
      <c r="G191" s="10">
        <f t="shared" si="11"/>
        <v>102080</v>
      </c>
    </row>
    <row r="192" spans="1:10" ht="17" thickBot="1" x14ac:dyDescent="0.25">
      <c r="A192" s="9" t="s">
        <v>1694</v>
      </c>
      <c r="B192" s="169"/>
      <c r="C192" s="9" t="s">
        <v>36</v>
      </c>
      <c r="D192" s="16"/>
      <c r="E192" s="9">
        <v>7</v>
      </c>
      <c r="F192" s="10">
        <v>11600</v>
      </c>
      <c r="G192" s="10">
        <f t="shared" si="11"/>
        <v>81200</v>
      </c>
    </row>
    <row r="193" spans="1:7" ht="17" thickBot="1" x14ac:dyDescent="0.25">
      <c r="A193" s="9" t="s">
        <v>1695</v>
      </c>
      <c r="B193" s="169"/>
      <c r="C193" s="9" t="s">
        <v>36</v>
      </c>
      <c r="D193" s="16"/>
      <c r="E193" s="9">
        <v>15</v>
      </c>
      <c r="F193" s="10">
        <v>4408</v>
      </c>
      <c r="G193" s="10">
        <f t="shared" si="11"/>
        <v>66120</v>
      </c>
    </row>
    <row r="194" spans="1:7" ht="17" thickBot="1" x14ac:dyDescent="0.25">
      <c r="A194" s="9" t="s">
        <v>1696</v>
      </c>
      <c r="B194" s="169"/>
      <c r="C194" s="9" t="s">
        <v>36</v>
      </c>
      <c r="D194" s="16"/>
      <c r="E194" s="9">
        <v>5</v>
      </c>
      <c r="F194" s="10">
        <v>5800</v>
      </c>
      <c r="G194" s="10">
        <f t="shared" si="11"/>
        <v>29000</v>
      </c>
    </row>
    <row r="195" spans="1:7" ht="17" thickBot="1" x14ac:dyDescent="0.25">
      <c r="A195" s="9" t="s">
        <v>1697</v>
      </c>
      <c r="B195" s="169"/>
      <c r="C195" s="9" t="s">
        <v>36</v>
      </c>
      <c r="D195" s="16"/>
      <c r="E195" s="9">
        <v>5</v>
      </c>
      <c r="F195" s="10">
        <v>11600</v>
      </c>
      <c r="G195" s="10">
        <f t="shared" si="11"/>
        <v>58000</v>
      </c>
    </row>
    <row r="196" spans="1:7" ht="17" thickBot="1" x14ac:dyDescent="0.25">
      <c r="A196" s="9" t="s">
        <v>1698</v>
      </c>
      <c r="B196" s="169"/>
      <c r="C196" s="9" t="s">
        <v>36</v>
      </c>
      <c r="D196" s="16"/>
      <c r="E196" s="9">
        <v>2</v>
      </c>
      <c r="F196" s="10">
        <v>8700</v>
      </c>
      <c r="G196" s="10">
        <f t="shared" si="11"/>
        <v>17400</v>
      </c>
    </row>
    <row r="197" spans="1:7" ht="17" thickBot="1" x14ac:dyDescent="0.25">
      <c r="A197" s="9" t="s">
        <v>1699</v>
      </c>
      <c r="B197" s="169"/>
      <c r="C197" s="9" t="s">
        <v>36</v>
      </c>
      <c r="D197" s="16"/>
      <c r="E197" s="9">
        <v>2</v>
      </c>
      <c r="F197" s="10">
        <v>8236</v>
      </c>
      <c r="G197" s="10">
        <f t="shared" si="11"/>
        <v>16472</v>
      </c>
    </row>
    <row r="198" spans="1:7" ht="17" thickBot="1" x14ac:dyDescent="0.25">
      <c r="A198" s="9" t="s">
        <v>1700</v>
      </c>
      <c r="B198" s="169"/>
      <c r="C198" s="9" t="s">
        <v>36</v>
      </c>
      <c r="D198" s="16"/>
      <c r="E198" s="9">
        <v>2</v>
      </c>
      <c r="F198" s="10">
        <v>9280</v>
      </c>
      <c r="G198" s="10">
        <f t="shared" si="11"/>
        <v>18560</v>
      </c>
    </row>
    <row r="199" spans="1:7" ht="17" thickBot="1" x14ac:dyDescent="0.25">
      <c r="A199" s="9" t="s">
        <v>1701</v>
      </c>
      <c r="B199" s="169"/>
      <c r="C199" s="9" t="s">
        <v>36</v>
      </c>
      <c r="D199" s="16"/>
      <c r="E199" s="9">
        <v>5</v>
      </c>
      <c r="F199" s="10">
        <v>6960</v>
      </c>
      <c r="G199" s="10">
        <f t="shared" si="11"/>
        <v>34800</v>
      </c>
    </row>
    <row r="200" spans="1:7" ht="17" thickBot="1" x14ac:dyDescent="0.25">
      <c r="A200" s="9" t="s">
        <v>1702</v>
      </c>
      <c r="B200" s="169"/>
      <c r="C200" s="9" t="s">
        <v>36</v>
      </c>
      <c r="D200" s="16"/>
      <c r="E200" s="9">
        <v>5</v>
      </c>
      <c r="F200" s="10">
        <v>12760</v>
      </c>
      <c r="G200" s="10">
        <f t="shared" si="11"/>
        <v>63800</v>
      </c>
    </row>
    <row r="201" spans="1:7" ht="17" thickBot="1" x14ac:dyDescent="0.25">
      <c r="A201" s="9" t="s">
        <v>1703</v>
      </c>
      <c r="B201" s="169"/>
      <c r="C201" s="9" t="s">
        <v>36</v>
      </c>
      <c r="D201" s="16"/>
      <c r="E201" s="9">
        <v>5</v>
      </c>
      <c r="F201" s="10">
        <v>12760</v>
      </c>
      <c r="G201" s="10">
        <f t="shared" si="11"/>
        <v>63800</v>
      </c>
    </row>
    <row r="202" spans="1:7" ht="17" thickBot="1" x14ac:dyDescent="0.25">
      <c r="A202" s="9" t="s">
        <v>1704</v>
      </c>
      <c r="B202" s="169"/>
      <c r="C202" s="9" t="s">
        <v>36</v>
      </c>
      <c r="D202" s="16"/>
      <c r="E202" s="9">
        <v>5</v>
      </c>
      <c r="F202" s="10">
        <v>5800</v>
      </c>
      <c r="G202" s="10">
        <f t="shared" si="11"/>
        <v>29000</v>
      </c>
    </row>
    <row r="203" spans="1:7" ht="17" thickBot="1" x14ac:dyDescent="0.25">
      <c r="A203" s="9" t="s">
        <v>1705</v>
      </c>
      <c r="B203" s="169"/>
      <c r="C203" s="9" t="s">
        <v>36</v>
      </c>
      <c r="D203" s="16"/>
      <c r="E203" s="9">
        <v>5</v>
      </c>
      <c r="F203" s="10">
        <v>12760</v>
      </c>
      <c r="G203" s="10">
        <f t="shared" si="11"/>
        <v>63800</v>
      </c>
    </row>
    <row r="204" spans="1:7" ht="17" thickBot="1" x14ac:dyDescent="0.25">
      <c r="A204" s="9" t="s">
        <v>1706</v>
      </c>
      <c r="B204" s="169"/>
      <c r="C204" s="9" t="s">
        <v>36</v>
      </c>
      <c r="D204" s="16"/>
      <c r="E204" s="9">
        <v>5</v>
      </c>
      <c r="F204" s="10">
        <v>7888</v>
      </c>
      <c r="G204" s="10">
        <f t="shared" si="11"/>
        <v>39440</v>
      </c>
    </row>
    <row r="205" spans="1:7" ht="17" thickBot="1" x14ac:dyDescent="0.25">
      <c r="A205" s="9" t="s">
        <v>1707</v>
      </c>
      <c r="B205" s="169"/>
      <c r="C205" s="9" t="s">
        <v>36</v>
      </c>
      <c r="D205" s="16"/>
      <c r="E205" s="9">
        <v>10</v>
      </c>
      <c r="F205" s="10">
        <v>1160</v>
      </c>
      <c r="G205" s="10">
        <f t="shared" si="11"/>
        <v>11600</v>
      </c>
    </row>
    <row r="206" spans="1:7" ht="17" thickBot="1" x14ac:dyDescent="0.25">
      <c r="A206" s="9" t="s">
        <v>1708</v>
      </c>
      <c r="B206" s="169"/>
      <c r="C206" s="9" t="s">
        <v>36</v>
      </c>
      <c r="D206" s="16"/>
      <c r="E206" s="9">
        <v>8</v>
      </c>
      <c r="F206" s="10">
        <v>2900</v>
      </c>
      <c r="G206" s="10">
        <f t="shared" si="11"/>
        <v>23200</v>
      </c>
    </row>
    <row r="207" spans="1:7" ht="17" thickBot="1" x14ac:dyDescent="0.25">
      <c r="A207" s="9" t="s">
        <v>1709</v>
      </c>
      <c r="B207" s="169"/>
      <c r="C207" s="9" t="s">
        <v>36</v>
      </c>
      <c r="D207" s="16"/>
      <c r="E207" s="9">
        <v>20</v>
      </c>
      <c r="F207" s="10">
        <v>5684</v>
      </c>
      <c r="G207" s="10">
        <f t="shared" si="11"/>
        <v>113680</v>
      </c>
    </row>
    <row r="208" spans="1:7" ht="17" thickBot="1" x14ac:dyDescent="0.25">
      <c r="A208" s="9" t="s">
        <v>1710</v>
      </c>
      <c r="B208" s="169"/>
      <c r="C208" s="9" t="s">
        <v>36</v>
      </c>
      <c r="D208" s="16"/>
      <c r="E208" s="9">
        <v>5</v>
      </c>
      <c r="F208" s="10">
        <v>11600</v>
      </c>
      <c r="G208" s="10">
        <f t="shared" si="11"/>
        <v>58000</v>
      </c>
    </row>
    <row r="209" spans="1:7" ht="17" thickBot="1" x14ac:dyDescent="0.25">
      <c r="A209" s="9" t="s">
        <v>1711</v>
      </c>
      <c r="B209" s="169"/>
      <c r="C209" s="9" t="s">
        <v>36</v>
      </c>
      <c r="D209" s="16"/>
      <c r="E209" s="9">
        <v>2</v>
      </c>
      <c r="F209" s="10">
        <v>5220</v>
      </c>
      <c r="G209" s="10">
        <f t="shared" si="11"/>
        <v>10440</v>
      </c>
    </row>
    <row r="210" spans="1:7" ht="17" thickBot="1" x14ac:dyDescent="0.25">
      <c r="A210" s="9" t="s">
        <v>1712</v>
      </c>
      <c r="B210" s="169"/>
      <c r="C210" s="9" t="s">
        <v>36</v>
      </c>
      <c r="D210" s="16"/>
      <c r="E210" s="9">
        <v>50</v>
      </c>
      <c r="F210" s="10">
        <v>2320</v>
      </c>
      <c r="G210" s="10">
        <f t="shared" si="11"/>
        <v>116000</v>
      </c>
    </row>
    <row r="211" spans="1:7" ht="17" thickBot="1" x14ac:dyDescent="0.25">
      <c r="A211" s="9" t="s">
        <v>1713</v>
      </c>
      <c r="B211" s="169"/>
      <c r="C211" s="9" t="s">
        <v>36</v>
      </c>
      <c r="D211" s="16"/>
      <c r="E211" s="9">
        <v>5</v>
      </c>
      <c r="F211" s="10">
        <v>11832</v>
      </c>
      <c r="G211" s="10">
        <f t="shared" si="11"/>
        <v>59160</v>
      </c>
    </row>
    <row r="212" spans="1:7" ht="17" thickBot="1" x14ac:dyDescent="0.25">
      <c r="A212" s="9" t="s">
        <v>1714</v>
      </c>
      <c r="B212" s="169"/>
      <c r="C212" s="9" t="s">
        <v>36</v>
      </c>
      <c r="D212" s="16"/>
      <c r="E212" s="9">
        <v>5</v>
      </c>
      <c r="F212" s="10">
        <v>13920</v>
      </c>
      <c r="G212" s="10">
        <f t="shared" si="11"/>
        <v>69600</v>
      </c>
    </row>
    <row r="213" spans="1:7" ht="17" thickBot="1" x14ac:dyDescent="0.25">
      <c r="A213" s="9" t="s">
        <v>1715</v>
      </c>
      <c r="B213" s="169"/>
      <c r="C213" s="9" t="s">
        <v>36</v>
      </c>
      <c r="D213" s="16"/>
      <c r="E213" s="9">
        <v>3</v>
      </c>
      <c r="F213" s="10">
        <v>5800</v>
      </c>
      <c r="G213" s="10">
        <f t="shared" si="11"/>
        <v>17400</v>
      </c>
    </row>
    <row r="214" spans="1:7" ht="17" thickBot="1" x14ac:dyDescent="0.25">
      <c r="A214" s="9" t="s">
        <v>1716</v>
      </c>
      <c r="B214" s="169"/>
      <c r="C214" s="9" t="s">
        <v>36</v>
      </c>
      <c r="D214" s="16"/>
      <c r="E214" s="9">
        <v>5</v>
      </c>
      <c r="F214" s="10">
        <v>11600</v>
      </c>
      <c r="G214" s="10">
        <f t="shared" si="11"/>
        <v>58000</v>
      </c>
    </row>
    <row r="215" spans="1:7" ht="17" thickBot="1" x14ac:dyDescent="0.25">
      <c r="A215" s="9" t="s">
        <v>1717</v>
      </c>
      <c r="B215" s="169"/>
      <c r="C215" s="9" t="s">
        <v>36</v>
      </c>
      <c r="D215" s="16"/>
      <c r="E215" s="9">
        <v>8</v>
      </c>
      <c r="F215" s="10">
        <v>5800</v>
      </c>
      <c r="G215" s="10">
        <f t="shared" si="11"/>
        <v>46400</v>
      </c>
    </row>
    <row r="216" spans="1:7" ht="17" thickBot="1" x14ac:dyDescent="0.25">
      <c r="A216" s="9" t="s">
        <v>1718</v>
      </c>
      <c r="B216" s="169"/>
      <c r="C216" s="9" t="s">
        <v>36</v>
      </c>
      <c r="D216" s="16"/>
      <c r="E216" s="9">
        <v>5</v>
      </c>
      <c r="F216" s="10">
        <v>11600</v>
      </c>
      <c r="G216" s="10">
        <f t="shared" si="11"/>
        <v>58000</v>
      </c>
    </row>
    <row r="217" spans="1:7" ht="17" thickBot="1" x14ac:dyDescent="0.25">
      <c r="A217" s="9" t="s">
        <v>1719</v>
      </c>
      <c r="B217" s="169"/>
      <c r="C217" s="9" t="s">
        <v>36</v>
      </c>
      <c r="D217" s="16"/>
      <c r="E217" s="9">
        <v>4</v>
      </c>
      <c r="F217" s="10">
        <v>13920</v>
      </c>
      <c r="G217" s="10">
        <f t="shared" si="11"/>
        <v>55680</v>
      </c>
    </row>
    <row r="218" spans="1:7" ht="17" thickBot="1" x14ac:dyDescent="0.25">
      <c r="A218" s="9" t="s">
        <v>1720</v>
      </c>
      <c r="B218" s="169"/>
      <c r="C218" s="9" t="s">
        <v>36</v>
      </c>
      <c r="D218" s="16"/>
      <c r="E218" s="9">
        <v>1</v>
      </c>
      <c r="F218" s="10">
        <v>13340</v>
      </c>
      <c r="G218" s="10">
        <f t="shared" si="11"/>
        <v>13340</v>
      </c>
    </row>
    <row r="219" spans="1:7" ht="17" thickBot="1" x14ac:dyDescent="0.25">
      <c r="A219" s="9" t="s">
        <v>1721</v>
      </c>
      <c r="B219" s="169"/>
      <c r="C219" s="9" t="s">
        <v>36</v>
      </c>
      <c r="D219" s="16"/>
      <c r="E219" s="9">
        <v>5</v>
      </c>
      <c r="F219" s="10">
        <v>4640</v>
      </c>
      <c r="G219" s="10">
        <f t="shared" si="11"/>
        <v>23200</v>
      </c>
    </row>
    <row r="220" spans="1:7" ht="17" thickBot="1" x14ac:dyDescent="0.25">
      <c r="A220" s="9" t="s">
        <v>1722</v>
      </c>
      <c r="B220" s="169"/>
      <c r="C220" s="9" t="s">
        <v>36</v>
      </c>
      <c r="D220" s="16"/>
      <c r="E220" s="9">
        <v>5</v>
      </c>
      <c r="F220" s="10">
        <v>5800</v>
      </c>
      <c r="G220" s="10">
        <f t="shared" si="11"/>
        <v>29000</v>
      </c>
    </row>
    <row r="221" spans="1:7" ht="17" thickBot="1" x14ac:dyDescent="0.25">
      <c r="A221" s="9" t="s">
        <v>1723</v>
      </c>
      <c r="B221" s="169"/>
      <c r="C221" s="9" t="s">
        <v>36</v>
      </c>
      <c r="D221" s="16"/>
      <c r="E221" s="9">
        <v>20</v>
      </c>
      <c r="F221" s="10">
        <v>3480</v>
      </c>
      <c r="G221" s="10">
        <f t="shared" si="11"/>
        <v>69600</v>
      </c>
    </row>
    <row r="222" spans="1:7" ht="17" thickBot="1" x14ac:dyDescent="0.25">
      <c r="A222" s="2"/>
      <c r="B222" s="2"/>
      <c r="C222" s="2"/>
      <c r="E222" s="2"/>
      <c r="F222" s="3"/>
      <c r="G222" s="12">
        <f>SUM(G187:G221)</f>
        <v>1733852</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F1A7F-2C5E-D048-AF2E-44D449667734}">
  <dimension ref="A1:N139"/>
  <sheetViews>
    <sheetView topLeftCell="A15" workbookViewId="0">
      <selection activeCell="D21" sqref="D21"/>
    </sheetView>
  </sheetViews>
  <sheetFormatPr baseColWidth="10" defaultRowHeight="16" x14ac:dyDescent="0.2"/>
  <cols>
    <col min="1" max="1" width="75.33203125" style="2" customWidth="1"/>
    <col min="2" max="2" width="25.6640625" style="77" customWidth="1"/>
    <col min="3" max="3" width="14.5" style="2" customWidth="1"/>
    <col min="4" max="4" width="41.1640625" style="2" customWidth="1"/>
    <col min="5" max="5" width="11" style="2" bestFit="1" customWidth="1"/>
    <col min="6" max="6" width="11.5" style="2" bestFit="1" customWidth="1"/>
    <col min="7" max="7" width="15.33203125" style="2" customWidth="1"/>
    <col min="8" max="9" width="10.83203125" style="2"/>
    <col min="10" max="10" width="16.83203125" style="2" customWidth="1"/>
    <col min="11" max="12" width="10.83203125" style="2"/>
    <col min="13" max="13" width="14" style="2" customWidth="1"/>
    <col min="14" max="14" width="10.83203125" style="2"/>
  </cols>
  <sheetData>
    <row r="1" spans="1:13" ht="17" x14ac:dyDescent="0.2">
      <c r="A1" s="51"/>
      <c r="B1" s="73"/>
    </row>
    <row r="2" spans="1:13" ht="17" thickBot="1" x14ac:dyDescent="0.25">
      <c r="A2" s="30" t="s">
        <v>691</v>
      </c>
      <c r="B2" s="74" t="s">
        <v>828</v>
      </c>
      <c r="C2" s="2" t="s">
        <v>640</v>
      </c>
      <c r="D2" s="2" t="s">
        <v>641</v>
      </c>
      <c r="F2" s="3"/>
      <c r="G2" s="3"/>
    </row>
    <row r="3" spans="1:13" ht="18" thickBot="1" x14ac:dyDescent="0.25">
      <c r="A3" s="8" t="s">
        <v>60</v>
      </c>
      <c r="B3" s="75" t="s">
        <v>829</v>
      </c>
      <c r="C3" s="9" t="s">
        <v>28</v>
      </c>
      <c r="D3" s="9" t="s">
        <v>826</v>
      </c>
      <c r="E3" s="9">
        <v>115</v>
      </c>
      <c r="F3" s="10">
        <v>64960</v>
      </c>
      <c r="G3" s="10">
        <f>E3*F3</f>
        <v>7470400</v>
      </c>
      <c r="H3" s="23">
        <v>48</v>
      </c>
      <c r="I3" s="24">
        <v>64960</v>
      </c>
      <c r="J3" s="25">
        <f>H3*I3</f>
        <v>3118080</v>
      </c>
      <c r="K3" s="92">
        <v>24</v>
      </c>
      <c r="L3" s="93">
        <v>64960</v>
      </c>
      <c r="M3" s="93">
        <f>K3*L3</f>
        <v>1559040</v>
      </c>
    </row>
    <row r="4" spans="1:13" ht="18" thickBot="1" x14ac:dyDescent="0.25">
      <c r="A4" s="8" t="s">
        <v>74</v>
      </c>
      <c r="B4" s="75" t="s">
        <v>830</v>
      </c>
      <c r="C4" s="9" t="s">
        <v>4</v>
      </c>
      <c r="D4" s="9" t="s">
        <v>78</v>
      </c>
      <c r="E4" s="9">
        <v>9</v>
      </c>
      <c r="F4" s="10">
        <v>11368</v>
      </c>
      <c r="G4" s="10">
        <f t="shared" ref="G4:G37" si="0">E4*F4</f>
        <v>102312</v>
      </c>
      <c r="H4" s="23">
        <v>4</v>
      </c>
      <c r="I4" s="24">
        <v>11368</v>
      </c>
      <c r="J4" s="25">
        <f t="shared" ref="J4:J37" si="1">H4*I4</f>
        <v>45472</v>
      </c>
      <c r="K4" s="92"/>
      <c r="L4" s="93">
        <v>11368</v>
      </c>
      <c r="M4" s="93">
        <f t="shared" ref="M4:M37" si="2">K4*L4</f>
        <v>0</v>
      </c>
    </row>
    <row r="5" spans="1:13" ht="18" thickBot="1" x14ac:dyDescent="0.25">
      <c r="A5" s="8" t="s">
        <v>642</v>
      </c>
      <c r="B5" s="75" t="s">
        <v>831</v>
      </c>
      <c r="C5" s="9" t="s">
        <v>4</v>
      </c>
      <c r="D5" s="9" t="s">
        <v>119</v>
      </c>
      <c r="E5" s="9">
        <v>20</v>
      </c>
      <c r="F5" s="10">
        <v>4060</v>
      </c>
      <c r="G5" s="10">
        <f t="shared" si="0"/>
        <v>81200</v>
      </c>
      <c r="H5" s="23">
        <v>2</v>
      </c>
      <c r="I5" s="24">
        <v>4060</v>
      </c>
      <c r="J5" s="25">
        <f t="shared" si="1"/>
        <v>8120</v>
      </c>
      <c r="K5" s="92"/>
      <c r="L5" s="93">
        <v>4060</v>
      </c>
      <c r="M5" s="93">
        <f t="shared" si="2"/>
        <v>0</v>
      </c>
    </row>
    <row r="6" spans="1:13" ht="17" thickBot="1" x14ac:dyDescent="0.25">
      <c r="A6" s="9" t="s">
        <v>47</v>
      </c>
      <c r="B6" s="76" t="s">
        <v>832</v>
      </c>
      <c r="C6" s="9" t="s">
        <v>4</v>
      </c>
      <c r="D6" s="9" t="s">
        <v>327</v>
      </c>
      <c r="E6" s="9">
        <v>198</v>
      </c>
      <c r="F6" s="10">
        <v>800.4</v>
      </c>
      <c r="G6" s="10">
        <f t="shared" si="0"/>
        <v>158479.19999999998</v>
      </c>
      <c r="H6" s="23">
        <v>10</v>
      </c>
      <c r="I6" s="24">
        <v>800.4</v>
      </c>
      <c r="J6" s="25">
        <f t="shared" si="1"/>
        <v>8004</v>
      </c>
      <c r="K6" s="92">
        <v>90</v>
      </c>
      <c r="L6" s="93">
        <v>800.4</v>
      </c>
      <c r="M6" s="93">
        <f t="shared" si="2"/>
        <v>72036</v>
      </c>
    </row>
    <row r="7" spans="1:13" ht="18" thickBot="1" x14ac:dyDescent="0.25">
      <c r="A7" s="8" t="s">
        <v>642</v>
      </c>
      <c r="B7" s="75" t="s">
        <v>833</v>
      </c>
      <c r="C7" s="9" t="s">
        <v>4</v>
      </c>
      <c r="D7" s="9" t="s">
        <v>307</v>
      </c>
      <c r="E7" s="9">
        <v>39</v>
      </c>
      <c r="F7" s="10">
        <v>2726</v>
      </c>
      <c r="G7" s="10">
        <f t="shared" si="0"/>
        <v>106314</v>
      </c>
      <c r="H7" s="23">
        <v>21</v>
      </c>
      <c r="I7" s="24">
        <v>2726</v>
      </c>
      <c r="J7" s="25">
        <f t="shared" si="1"/>
        <v>57246</v>
      </c>
      <c r="K7" s="92"/>
      <c r="L7" s="93">
        <v>2726</v>
      </c>
      <c r="M7" s="93">
        <f t="shared" si="2"/>
        <v>0</v>
      </c>
    </row>
    <row r="8" spans="1:13" ht="18" thickBot="1" x14ac:dyDescent="0.25">
      <c r="A8" s="8" t="s">
        <v>115</v>
      </c>
      <c r="B8" s="75" t="s">
        <v>834</v>
      </c>
      <c r="C8" s="9" t="s">
        <v>4</v>
      </c>
      <c r="D8" s="9" t="s">
        <v>309</v>
      </c>
      <c r="E8" s="9">
        <v>15</v>
      </c>
      <c r="F8" s="10">
        <v>2668</v>
      </c>
      <c r="G8" s="10">
        <f t="shared" si="0"/>
        <v>40020</v>
      </c>
      <c r="H8" s="23">
        <v>4</v>
      </c>
      <c r="I8" s="24">
        <v>2668</v>
      </c>
      <c r="J8" s="25">
        <f t="shared" si="1"/>
        <v>10672</v>
      </c>
      <c r="K8" s="92">
        <v>4</v>
      </c>
      <c r="L8" s="93">
        <v>2668</v>
      </c>
      <c r="M8" s="93">
        <f t="shared" si="2"/>
        <v>10672</v>
      </c>
    </row>
    <row r="9" spans="1:13" ht="18" thickBot="1" x14ac:dyDescent="0.25">
      <c r="A9" s="8" t="s">
        <v>74</v>
      </c>
      <c r="B9" s="75" t="s">
        <v>835</v>
      </c>
      <c r="C9" s="9" t="s">
        <v>4</v>
      </c>
      <c r="D9" s="9" t="s">
        <v>297</v>
      </c>
      <c r="E9" s="9">
        <v>40</v>
      </c>
      <c r="F9" s="10">
        <v>3323.4</v>
      </c>
      <c r="G9" s="10">
        <f t="shared" si="0"/>
        <v>132936</v>
      </c>
      <c r="H9" s="23">
        <v>10</v>
      </c>
      <c r="I9" s="24">
        <v>3323.4</v>
      </c>
      <c r="J9" s="25">
        <f t="shared" si="1"/>
        <v>33234</v>
      </c>
      <c r="K9" s="92"/>
      <c r="L9" s="93">
        <v>3323.4</v>
      </c>
      <c r="M9" s="93">
        <f t="shared" si="2"/>
        <v>0</v>
      </c>
    </row>
    <row r="10" spans="1:13" ht="18" thickBot="1" x14ac:dyDescent="0.25">
      <c r="A10" s="8" t="s">
        <v>60</v>
      </c>
      <c r="B10" s="75" t="s">
        <v>836</v>
      </c>
      <c r="C10" s="9" t="s">
        <v>4</v>
      </c>
      <c r="D10" s="9" t="s">
        <v>413</v>
      </c>
      <c r="E10" s="9">
        <v>50</v>
      </c>
      <c r="F10" s="10">
        <v>3108.8</v>
      </c>
      <c r="G10" s="10">
        <f t="shared" si="0"/>
        <v>155440</v>
      </c>
      <c r="H10" s="23"/>
      <c r="I10" s="24">
        <v>3108.8</v>
      </c>
      <c r="J10" s="25">
        <f t="shared" si="1"/>
        <v>0</v>
      </c>
      <c r="K10" s="92">
        <v>27</v>
      </c>
      <c r="L10" s="93">
        <v>3108.8</v>
      </c>
      <c r="M10" s="93">
        <f t="shared" si="2"/>
        <v>83937.600000000006</v>
      </c>
    </row>
    <row r="11" spans="1:13" ht="18" thickBot="1" x14ac:dyDescent="0.25">
      <c r="A11" s="8" t="s">
        <v>74</v>
      </c>
      <c r="B11" s="75" t="s">
        <v>837</v>
      </c>
      <c r="C11" s="9" t="s">
        <v>4</v>
      </c>
      <c r="D11" s="9" t="s">
        <v>827</v>
      </c>
      <c r="E11" s="9">
        <v>35</v>
      </c>
      <c r="F11" s="10">
        <v>3248</v>
      </c>
      <c r="G11" s="10">
        <f t="shared" si="0"/>
        <v>113680</v>
      </c>
      <c r="H11" s="23">
        <v>12</v>
      </c>
      <c r="I11" s="24">
        <v>3248</v>
      </c>
      <c r="J11" s="25">
        <f t="shared" si="1"/>
        <v>38976</v>
      </c>
      <c r="K11" s="92">
        <v>12</v>
      </c>
      <c r="L11" s="93">
        <v>3248</v>
      </c>
      <c r="M11" s="93">
        <f t="shared" si="2"/>
        <v>38976</v>
      </c>
    </row>
    <row r="12" spans="1:13" ht="17" thickBot="1" x14ac:dyDescent="0.25">
      <c r="A12" s="9" t="s">
        <v>61</v>
      </c>
      <c r="B12" s="76" t="s">
        <v>838</v>
      </c>
      <c r="C12" s="9" t="s">
        <v>4</v>
      </c>
      <c r="D12" s="9" t="s">
        <v>643</v>
      </c>
      <c r="E12" s="9">
        <v>40</v>
      </c>
      <c r="F12" s="10">
        <v>6148</v>
      </c>
      <c r="G12" s="10">
        <f t="shared" si="0"/>
        <v>245920</v>
      </c>
      <c r="H12" s="23"/>
      <c r="I12" s="24">
        <v>6148</v>
      </c>
      <c r="J12" s="25">
        <f t="shared" si="1"/>
        <v>0</v>
      </c>
      <c r="K12" s="92">
        <v>8</v>
      </c>
      <c r="L12" s="93">
        <v>6148</v>
      </c>
      <c r="M12" s="93">
        <f t="shared" si="2"/>
        <v>49184</v>
      </c>
    </row>
    <row r="13" spans="1:13" ht="17" thickBot="1" x14ac:dyDescent="0.25">
      <c r="A13" s="9" t="s">
        <v>644</v>
      </c>
      <c r="B13" s="76" t="s">
        <v>839</v>
      </c>
      <c r="C13" s="9" t="s">
        <v>4</v>
      </c>
      <c r="D13" s="9" t="s">
        <v>645</v>
      </c>
      <c r="E13" s="9">
        <v>30</v>
      </c>
      <c r="F13" s="10">
        <v>4176</v>
      </c>
      <c r="G13" s="10">
        <f t="shared" si="0"/>
        <v>125280</v>
      </c>
      <c r="H13" s="23">
        <v>6</v>
      </c>
      <c r="I13" s="24">
        <v>4176</v>
      </c>
      <c r="J13" s="25">
        <f t="shared" si="1"/>
        <v>25056</v>
      </c>
      <c r="K13" s="92">
        <v>10</v>
      </c>
      <c r="L13" s="93">
        <v>4176</v>
      </c>
      <c r="M13" s="93">
        <f t="shared" si="2"/>
        <v>41760</v>
      </c>
    </row>
    <row r="14" spans="1:13" ht="17" thickBot="1" x14ac:dyDescent="0.25">
      <c r="A14" s="9" t="s">
        <v>61</v>
      </c>
      <c r="B14" s="76" t="s">
        <v>840</v>
      </c>
      <c r="C14" s="9" t="s">
        <v>4</v>
      </c>
      <c r="D14" s="9" t="s">
        <v>305</v>
      </c>
      <c r="E14" s="9">
        <v>25</v>
      </c>
      <c r="F14" s="10">
        <v>11948</v>
      </c>
      <c r="G14" s="10">
        <f t="shared" si="0"/>
        <v>298700</v>
      </c>
      <c r="H14" s="23">
        <v>8</v>
      </c>
      <c r="I14" s="24">
        <v>11948</v>
      </c>
      <c r="J14" s="25">
        <f t="shared" si="1"/>
        <v>95584</v>
      </c>
      <c r="K14" s="92">
        <v>8</v>
      </c>
      <c r="L14" s="93">
        <v>11948</v>
      </c>
      <c r="M14" s="93">
        <f t="shared" si="2"/>
        <v>95584</v>
      </c>
    </row>
    <row r="15" spans="1:13" ht="17" thickBot="1" x14ac:dyDescent="0.25">
      <c r="A15" s="9" t="s">
        <v>646</v>
      </c>
      <c r="B15" s="76" t="s">
        <v>841</v>
      </c>
      <c r="C15" s="9" t="s">
        <v>4</v>
      </c>
      <c r="D15" s="9" t="s">
        <v>295</v>
      </c>
      <c r="E15" s="9">
        <v>25</v>
      </c>
      <c r="F15" s="10">
        <v>9976</v>
      </c>
      <c r="G15" s="10">
        <f t="shared" si="0"/>
        <v>249400</v>
      </c>
      <c r="H15" s="23"/>
      <c r="I15" s="24">
        <v>9976</v>
      </c>
      <c r="J15" s="25">
        <f t="shared" si="1"/>
        <v>0</v>
      </c>
      <c r="K15" s="92"/>
      <c r="L15" s="93">
        <v>9976</v>
      </c>
      <c r="M15" s="93">
        <f t="shared" si="2"/>
        <v>0</v>
      </c>
    </row>
    <row r="16" spans="1:13" ht="18" thickBot="1" x14ac:dyDescent="0.25">
      <c r="A16" s="8" t="s">
        <v>74</v>
      </c>
      <c r="B16" s="75" t="s">
        <v>842</v>
      </c>
      <c r="C16" s="9" t="s">
        <v>4</v>
      </c>
      <c r="D16" s="9" t="s">
        <v>311</v>
      </c>
      <c r="E16" s="9">
        <v>50</v>
      </c>
      <c r="F16" s="10">
        <v>9396</v>
      </c>
      <c r="G16" s="10">
        <f t="shared" si="0"/>
        <v>469800</v>
      </c>
      <c r="H16" s="23"/>
      <c r="I16" s="24">
        <v>9396</v>
      </c>
      <c r="J16" s="25">
        <f t="shared" si="1"/>
        <v>0</v>
      </c>
      <c r="K16" s="92"/>
      <c r="L16" s="93">
        <v>9396</v>
      </c>
      <c r="M16" s="93">
        <f t="shared" si="2"/>
        <v>0</v>
      </c>
    </row>
    <row r="17" spans="1:13" ht="18" thickBot="1" x14ac:dyDescent="0.25">
      <c r="A17" s="8" t="s">
        <v>344</v>
      </c>
      <c r="B17" s="75" t="s">
        <v>843</v>
      </c>
      <c r="C17" s="9" t="s">
        <v>4</v>
      </c>
      <c r="D17" s="9" t="s">
        <v>246</v>
      </c>
      <c r="E17" s="9">
        <v>15</v>
      </c>
      <c r="F17" s="10">
        <v>8352</v>
      </c>
      <c r="G17" s="10">
        <f t="shared" si="0"/>
        <v>125280</v>
      </c>
      <c r="H17" s="23"/>
      <c r="I17" s="24">
        <v>8352</v>
      </c>
      <c r="J17" s="25">
        <f t="shared" si="1"/>
        <v>0</v>
      </c>
      <c r="K17" s="92">
        <v>8</v>
      </c>
      <c r="L17" s="93">
        <v>8352</v>
      </c>
      <c r="M17" s="93">
        <f t="shared" si="2"/>
        <v>66816</v>
      </c>
    </row>
    <row r="18" spans="1:13" ht="17" thickBot="1" x14ac:dyDescent="0.25">
      <c r="A18" s="9" t="s">
        <v>47</v>
      </c>
      <c r="B18" s="76" t="s">
        <v>844</v>
      </c>
      <c r="C18" s="9" t="s">
        <v>4</v>
      </c>
      <c r="D18" s="9" t="s">
        <v>647</v>
      </c>
      <c r="E18" s="9">
        <v>49</v>
      </c>
      <c r="F18" s="10">
        <v>1972</v>
      </c>
      <c r="G18" s="10">
        <f t="shared" si="0"/>
        <v>96628</v>
      </c>
      <c r="H18" s="23">
        <v>3</v>
      </c>
      <c r="I18" s="24">
        <v>1972</v>
      </c>
      <c r="J18" s="25">
        <f t="shared" si="1"/>
        <v>5916</v>
      </c>
      <c r="K18" s="92">
        <v>20</v>
      </c>
      <c r="L18" s="93">
        <v>1972</v>
      </c>
      <c r="M18" s="93">
        <f t="shared" si="2"/>
        <v>39440</v>
      </c>
    </row>
    <row r="19" spans="1:13" ht="17" thickBot="1" x14ac:dyDescent="0.25">
      <c r="A19" s="9" t="s">
        <v>61</v>
      </c>
      <c r="B19" s="76" t="s">
        <v>845</v>
      </c>
      <c r="C19" s="9" t="s">
        <v>4</v>
      </c>
      <c r="D19" s="9" t="s">
        <v>205</v>
      </c>
      <c r="E19" s="9">
        <v>15</v>
      </c>
      <c r="F19" s="10">
        <v>11832</v>
      </c>
      <c r="G19" s="10">
        <f t="shared" si="0"/>
        <v>177480</v>
      </c>
      <c r="H19" s="23">
        <v>7</v>
      </c>
      <c r="I19" s="24">
        <v>11832</v>
      </c>
      <c r="J19" s="25">
        <f t="shared" si="1"/>
        <v>82824</v>
      </c>
      <c r="K19" s="92">
        <v>3</v>
      </c>
      <c r="L19" s="93">
        <v>11832</v>
      </c>
      <c r="M19" s="93">
        <f t="shared" si="2"/>
        <v>35496</v>
      </c>
    </row>
    <row r="20" spans="1:13" ht="18" thickBot="1" x14ac:dyDescent="0.25">
      <c r="A20" s="8" t="s">
        <v>396</v>
      </c>
      <c r="B20" s="75" t="s">
        <v>846</v>
      </c>
      <c r="C20" s="9" t="s">
        <v>4</v>
      </c>
      <c r="D20" s="9" t="s">
        <v>41</v>
      </c>
      <c r="E20" s="9">
        <v>8</v>
      </c>
      <c r="F20" s="10">
        <v>15080</v>
      </c>
      <c r="G20" s="10">
        <f t="shared" si="0"/>
        <v>120640</v>
      </c>
      <c r="H20" s="23"/>
      <c r="I20" s="24">
        <v>15080</v>
      </c>
      <c r="J20" s="25">
        <f t="shared" si="1"/>
        <v>0</v>
      </c>
      <c r="K20" s="92"/>
      <c r="L20" s="93">
        <v>15080</v>
      </c>
      <c r="M20" s="93">
        <f t="shared" si="2"/>
        <v>0</v>
      </c>
    </row>
    <row r="21" spans="1:13" ht="18" thickBot="1" x14ac:dyDescent="0.25">
      <c r="A21" s="8" t="s">
        <v>60</v>
      </c>
      <c r="B21" s="75" t="s">
        <v>847</v>
      </c>
      <c r="C21" s="9" t="s">
        <v>4</v>
      </c>
      <c r="D21" s="9" t="s">
        <v>648</v>
      </c>
      <c r="E21" s="9">
        <v>25</v>
      </c>
      <c r="F21" s="10">
        <v>18676</v>
      </c>
      <c r="G21" s="10">
        <f t="shared" si="0"/>
        <v>466900</v>
      </c>
      <c r="H21" s="23">
        <v>8</v>
      </c>
      <c r="I21" s="24">
        <v>18676</v>
      </c>
      <c r="J21" s="25">
        <f t="shared" si="1"/>
        <v>149408</v>
      </c>
      <c r="K21" s="92"/>
      <c r="L21" s="93">
        <v>18676</v>
      </c>
      <c r="M21" s="93">
        <f t="shared" si="2"/>
        <v>0</v>
      </c>
    </row>
    <row r="22" spans="1:13" ht="17" thickBot="1" x14ac:dyDescent="0.25">
      <c r="A22" s="9" t="s">
        <v>649</v>
      </c>
      <c r="B22" s="76" t="s">
        <v>848</v>
      </c>
      <c r="C22" s="9" t="s">
        <v>4</v>
      </c>
      <c r="D22" s="9" t="s">
        <v>79</v>
      </c>
      <c r="E22" s="9">
        <v>20</v>
      </c>
      <c r="F22" s="10">
        <v>8816</v>
      </c>
      <c r="G22" s="10">
        <f t="shared" si="0"/>
        <v>176320</v>
      </c>
      <c r="H22" s="23">
        <v>4</v>
      </c>
      <c r="I22" s="24">
        <v>8816</v>
      </c>
      <c r="J22" s="25">
        <f t="shared" si="1"/>
        <v>35264</v>
      </c>
      <c r="K22" s="92">
        <v>6</v>
      </c>
      <c r="L22" s="93">
        <v>8816</v>
      </c>
      <c r="M22" s="93">
        <f t="shared" si="2"/>
        <v>52896</v>
      </c>
    </row>
    <row r="23" spans="1:13" ht="18" thickBot="1" x14ac:dyDescent="0.25">
      <c r="A23" s="8" t="s">
        <v>60</v>
      </c>
      <c r="B23" s="75" t="s">
        <v>849</v>
      </c>
      <c r="C23" s="9" t="s">
        <v>4</v>
      </c>
      <c r="D23" s="9" t="s">
        <v>122</v>
      </c>
      <c r="E23" s="9">
        <v>50</v>
      </c>
      <c r="F23" s="10">
        <v>4872</v>
      </c>
      <c r="G23" s="10">
        <f t="shared" si="0"/>
        <v>243600</v>
      </c>
      <c r="H23" s="23">
        <v>6</v>
      </c>
      <c r="I23" s="24">
        <v>4872</v>
      </c>
      <c r="J23" s="25">
        <f t="shared" si="1"/>
        <v>29232</v>
      </c>
      <c r="K23" s="92"/>
      <c r="L23" s="93">
        <v>4872</v>
      </c>
      <c r="M23" s="93">
        <f t="shared" si="2"/>
        <v>0</v>
      </c>
    </row>
    <row r="24" spans="1:13" ht="18" thickBot="1" x14ac:dyDescent="0.25">
      <c r="A24" s="8" t="s">
        <v>60</v>
      </c>
      <c r="B24" s="75" t="s">
        <v>850</v>
      </c>
      <c r="C24" s="9" t="s">
        <v>4</v>
      </c>
      <c r="D24" s="9" t="s">
        <v>650</v>
      </c>
      <c r="E24" s="9">
        <v>25</v>
      </c>
      <c r="F24" s="10">
        <v>15892</v>
      </c>
      <c r="G24" s="10">
        <f t="shared" si="0"/>
        <v>397300</v>
      </c>
      <c r="H24" s="23">
        <v>8</v>
      </c>
      <c r="I24" s="24">
        <v>15892</v>
      </c>
      <c r="J24" s="25">
        <f t="shared" si="1"/>
        <v>127136</v>
      </c>
      <c r="K24" s="92"/>
      <c r="L24" s="93">
        <v>15892</v>
      </c>
      <c r="M24" s="93">
        <f t="shared" si="2"/>
        <v>0</v>
      </c>
    </row>
    <row r="25" spans="1:13" ht="17" thickBot="1" x14ac:dyDescent="0.25">
      <c r="A25" s="9" t="s">
        <v>76</v>
      </c>
      <c r="B25" s="76" t="s">
        <v>851</v>
      </c>
      <c r="C25" s="9" t="s">
        <v>4</v>
      </c>
      <c r="D25" s="9" t="s">
        <v>337</v>
      </c>
      <c r="E25" s="9">
        <v>25</v>
      </c>
      <c r="F25" s="10">
        <v>3712</v>
      </c>
      <c r="G25" s="10">
        <f t="shared" si="0"/>
        <v>92800</v>
      </c>
      <c r="H25" s="23">
        <v>2</v>
      </c>
      <c r="I25" s="24">
        <v>3712</v>
      </c>
      <c r="J25" s="25">
        <f t="shared" si="1"/>
        <v>7424</v>
      </c>
      <c r="K25" s="92">
        <v>10</v>
      </c>
      <c r="L25" s="93">
        <v>3712</v>
      </c>
      <c r="M25" s="93">
        <f t="shared" si="2"/>
        <v>37120</v>
      </c>
    </row>
    <row r="26" spans="1:13" ht="17" thickBot="1" x14ac:dyDescent="0.25">
      <c r="A26" s="9" t="s">
        <v>61</v>
      </c>
      <c r="B26" s="76" t="s">
        <v>852</v>
      </c>
      <c r="C26" s="9" t="s">
        <v>4</v>
      </c>
      <c r="D26" s="9" t="s">
        <v>651</v>
      </c>
      <c r="E26" s="9">
        <v>48</v>
      </c>
      <c r="F26" s="10">
        <v>2784</v>
      </c>
      <c r="G26" s="10">
        <f t="shared" si="0"/>
        <v>133632</v>
      </c>
      <c r="H26" s="23"/>
      <c r="I26" s="24">
        <v>2784</v>
      </c>
      <c r="J26" s="25">
        <f t="shared" si="1"/>
        <v>0</v>
      </c>
      <c r="K26" s="92"/>
      <c r="L26" s="93">
        <v>2784</v>
      </c>
      <c r="M26" s="93">
        <f t="shared" si="2"/>
        <v>0</v>
      </c>
    </row>
    <row r="27" spans="1:13" ht="17" thickBot="1" x14ac:dyDescent="0.25">
      <c r="A27" s="9" t="s">
        <v>159</v>
      </c>
      <c r="B27" s="76" t="s">
        <v>853</v>
      </c>
      <c r="C27" s="9" t="s">
        <v>4</v>
      </c>
      <c r="D27" s="9" t="s">
        <v>414</v>
      </c>
      <c r="E27" s="9">
        <v>20</v>
      </c>
      <c r="F27" s="10">
        <v>12064</v>
      </c>
      <c r="G27" s="10">
        <f t="shared" si="0"/>
        <v>241280</v>
      </c>
      <c r="H27" s="23">
        <v>5</v>
      </c>
      <c r="I27" s="24">
        <v>12064</v>
      </c>
      <c r="J27" s="25">
        <f t="shared" si="1"/>
        <v>60320</v>
      </c>
      <c r="K27" s="92">
        <v>6</v>
      </c>
      <c r="L27" s="93">
        <v>12064</v>
      </c>
      <c r="M27" s="93">
        <f t="shared" si="2"/>
        <v>72384</v>
      </c>
    </row>
    <row r="28" spans="1:13" ht="17" thickBot="1" x14ac:dyDescent="0.25">
      <c r="A28" s="9" t="s">
        <v>76</v>
      </c>
      <c r="B28" s="76" t="s">
        <v>854</v>
      </c>
      <c r="C28" s="9" t="s">
        <v>4</v>
      </c>
      <c r="D28" s="9" t="s">
        <v>110</v>
      </c>
      <c r="E28" s="9">
        <v>20</v>
      </c>
      <c r="F28" s="10">
        <v>8120</v>
      </c>
      <c r="G28" s="10">
        <f t="shared" si="0"/>
        <v>162400</v>
      </c>
      <c r="H28" s="23"/>
      <c r="I28" s="24">
        <v>8120</v>
      </c>
      <c r="J28" s="25">
        <f t="shared" si="1"/>
        <v>0</v>
      </c>
      <c r="K28" s="92"/>
      <c r="L28" s="93">
        <v>8120</v>
      </c>
      <c r="M28" s="93">
        <f t="shared" si="2"/>
        <v>0</v>
      </c>
    </row>
    <row r="29" spans="1:13" ht="18" thickBot="1" x14ac:dyDescent="0.25">
      <c r="A29" s="8" t="s">
        <v>652</v>
      </c>
      <c r="B29" s="75" t="s">
        <v>855</v>
      </c>
      <c r="C29" s="9" t="s">
        <v>4</v>
      </c>
      <c r="D29" s="9" t="s">
        <v>653</v>
      </c>
      <c r="E29" s="9">
        <v>35</v>
      </c>
      <c r="F29" s="10">
        <v>17052</v>
      </c>
      <c r="G29" s="10">
        <f t="shared" si="0"/>
        <v>596820</v>
      </c>
      <c r="H29" s="23">
        <v>11</v>
      </c>
      <c r="I29" s="24">
        <v>17052</v>
      </c>
      <c r="J29" s="25">
        <f t="shared" si="1"/>
        <v>187572</v>
      </c>
      <c r="K29" s="92"/>
      <c r="L29" s="93">
        <v>17052</v>
      </c>
      <c r="M29" s="93">
        <f t="shared" si="2"/>
        <v>0</v>
      </c>
    </row>
    <row r="30" spans="1:13" ht="18" thickBot="1" x14ac:dyDescent="0.25">
      <c r="A30" s="8" t="s">
        <v>654</v>
      </c>
      <c r="B30" s="75" t="s">
        <v>856</v>
      </c>
      <c r="C30" s="9" t="s">
        <v>4</v>
      </c>
      <c r="D30" s="9" t="s">
        <v>655</v>
      </c>
      <c r="E30" s="9">
        <v>70</v>
      </c>
      <c r="F30" s="10">
        <v>9048</v>
      </c>
      <c r="G30" s="10">
        <f t="shared" si="0"/>
        <v>633360</v>
      </c>
      <c r="H30" s="23">
        <v>20</v>
      </c>
      <c r="I30" s="24">
        <v>9048</v>
      </c>
      <c r="J30" s="25">
        <f t="shared" si="1"/>
        <v>180960</v>
      </c>
      <c r="K30" s="92"/>
      <c r="L30" s="93">
        <v>9048</v>
      </c>
      <c r="M30" s="93">
        <f t="shared" si="2"/>
        <v>0</v>
      </c>
    </row>
    <row r="31" spans="1:13" ht="17" thickBot="1" x14ac:dyDescent="0.25">
      <c r="A31" s="9" t="s">
        <v>76</v>
      </c>
      <c r="B31" s="76" t="s">
        <v>857</v>
      </c>
      <c r="C31" s="9" t="s">
        <v>4</v>
      </c>
      <c r="D31" s="9" t="s">
        <v>163</v>
      </c>
      <c r="E31" s="9">
        <v>20</v>
      </c>
      <c r="F31" s="10">
        <v>5452</v>
      </c>
      <c r="G31" s="10">
        <f t="shared" si="0"/>
        <v>109040</v>
      </c>
      <c r="H31" s="23">
        <v>7</v>
      </c>
      <c r="I31" s="24">
        <v>5452</v>
      </c>
      <c r="J31" s="25">
        <f t="shared" si="1"/>
        <v>38164</v>
      </c>
      <c r="K31" s="92"/>
      <c r="L31" s="93">
        <v>5452</v>
      </c>
      <c r="M31" s="93">
        <f t="shared" si="2"/>
        <v>0</v>
      </c>
    </row>
    <row r="32" spans="1:13" ht="18" thickBot="1" x14ac:dyDescent="0.25">
      <c r="A32" s="8" t="s">
        <v>115</v>
      </c>
      <c r="B32" s="75" t="s">
        <v>858</v>
      </c>
      <c r="C32" s="9" t="s">
        <v>4</v>
      </c>
      <c r="D32" s="9" t="s">
        <v>656</v>
      </c>
      <c r="E32" s="9">
        <v>61</v>
      </c>
      <c r="F32" s="10">
        <v>3016</v>
      </c>
      <c r="G32" s="10">
        <f t="shared" si="0"/>
        <v>183976</v>
      </c>
      <c r="H32" s="23"/>
      <c r="I32" s="24">
        <v>3016</v>
      </c>
      <c r="J32" s="25">
        <f t="shared" si="1"/>
        <v>0</v>
      </c>
      <c r="K32" s="92">
        <v>30</v>
      </c>
      <c r="L32" s="93">
        <v>3016</v>
      </c>
      <c r="M32" s="93">
        <f t="shared" si="2"/>
        <v>90480</v>
      </c>
    </row>
    <row r="33" spans="1:13" ht="17" thickBot="1" x14ac:dyDescent="0.25">
      <c r="A33" s="9" t="s">
        <v>76</v>
      </c>
      <c r="B33" s="76" t="s">
        <v>859</v>
      </c>
      <c r="C33" s="9" t="s">
        <v>4</v>
      </c>
      <c r="D33" s="9" t="s">
        <v>657</v>
      </c>
      <c r="E33" s="9">
        <v>46</v>
      </c>
      <c r="F33" s="10">
        <v>997.6</v>
      </c>
      <c r="G33" s="10">
        <f t="shared" si="0"/>
        <v>45889.599999999999</v>
      </c>
      <c r="H33" s="23"/>
      <c r="I33" s="24">
        <v>997.6</v>
      </c>
      <c r="J33" s="25">
        <f t="shared" si="1"/>
        <v>0</v>
      </c>
      <c r="K33" s="92">
        <v>18</v>
      </c>
      <c r="L33" s="93">
        <v>997.6</v>
      </c>
      <c r="M33" s="93">
        <f t="shared" si="2"/>
        <v>17956.8</v>
      </c>
    </row>
    <row r="34" spans="1:13" ht="17" thickBot="1" x14ac:dyDescent="0.25">
      <c r="A34" s="9" t="s">
        <v>76</v>
      </c>
      <c r="B34" s="76" t="s">
        <v>860</v>
      </c>
      <c r="C34" s="9" t="s">
        <v>4</v>
      </c>
      <c r="D34" s="9" t="s">
        <v>658</v>
      </c>
      <c r="E34" s="9">
        <v>30</v>
      </c>
      <c r="F34" s="10">
        <v>5800</v>
      </c>
      <c r="G34" s="10">
        <f t="shared" si="0"/>
        <v>174000</v>
      </c>
      <c r="H34" s="23"/>
      <c r="I34" s="24">
        <v>5800</v>
      </c>
      <c r="J34" s="25">
        <f t="shared" si="1"/>
        <v>0</v>
      </c>
      <c r="K34" s="92">
        <v>10</v>
      </c>
      <c r="L34" s="93">
        <v>5800</v>
      </c>
      <c r="M34" s="93">
        <f t="shared" si="2"/>
        <v>58000</v>
      </c>
    </row>
    <row r="35" spans="1:13" ht="17" thickBot="1" x14ac:dyDescent="0.25">
      <c r="A35" s="9" t="s">
        <v>47</v>
      </c>
      <c r="B35" s="76" t="s">
        <v>861</v>
      </c>
      <c r="C35" s="9" t="s">
        <v>4</v>
      </c>
      <c r="D35" s="9" t="s">
        <v>659</v>
      </c>
      <c r="E35" s="9">
        <v>48</v>
      </c>
      <c r="F35" s="10">
        <v>788.8</v>
      </c>
      <c r="G35" s="10">
        <f t="shared" si="0"/>
        <v>37862.399999999994</v>
      </c>
      <c r="H35" s="23">
        <v>10</v>
      </c>
      <c r="I35" s="24">
        <v>788.8</v>
      </c>
      <c r="J35" s="25">
        <f t="shared" si="1"/>
        <v>7888</v>
      </c>
      <c r="K35" s="92">
        <v>10</v>
      </c>
      <c r="L35" s="93">
        <v>788.8</v>
      </c>
      <c r="M35" s="93">
        <f t="shared" si="2"/>
        <v>7888</v>
      </c>
    </row>
    <row r="36" spans="1:13" ht="18" thickBot="1" x14ac:dyDescent="0.25">
      <c r="A36" s="8" t="s">
        <v>654</v>
      </c>
      <c r="B36" s="75" t="s">
        <v>862</v>
      </c>
      <c r="C36" s="9" t="s">
        <v>4</v>
      </c>
      <c r="D36" s="9" t="s">
        <v>296</v>
      </c>
      <c r="E36" s="9">
        <v>25</v>
      </c>
      <c r="F36" s="10">
        <v>8004</v>
      </c>
      <c r="G36" s="10">
        <f t="shared" si="0"/>
        <v>200100</v>
      </c>
      <c r="H36" s="23">
        <v>4</v>
      </c>
      <c r="I36" s="24">
        <v>8004</v>
      </c>
      <c r="J36" s="25">
        <f t="shared" si="1"/>
        <v>32016</v>
      </c>
      <c r="K36" s="92">
        <v>8</v>
      </c>
      <c r="L36" s="93">
        <v>8004</v>
      </c>
      <c r="M36" s="93">
        <f t="shared" si="2"/>
        <v>64032</v>
      </c>
    </row>
    <row r="37" spans="1:13" ht="17" thickBot="1" x14ac:dyDescent="0.25">
      <c r="A37" s="9" t="s">
        <v>61</v>
      </c>
      <c r="B37" s="76" t="s">
        <v>840</v>
      </c>
      <c r="C37" s="9" t="s">
        <v>4</v>
      </c>
      <c r="D37" s="9" t="s">
        <v>402</v>
      </c>
      <c r="E37" s="9">
        <v>30</v>
      </c>
      <c r="F37" s="10">
        <v>11948</v>
      </c>
      <c r="G37" s="10">
        <f t="shared" si="0"/>
        <v>358440</v>
      </c>
      <c r="H37" s="23">
        <v>13</v>
      </c>
      <c r="I37" s="24">
        <v>11948</v>
      </c>
      <c r="J37" s="25">
        <f t="shared" si="1"/>
        <v>155324</v>
      </c>
      <c r="K37" s="92">
        <v>7</v>
      </c>
      <c r="L37" s="93">
        <v>11948</v>
      </c>
      <c r="M37" s="93">
        <f t="shared" si="2"/>
        <v>83636</v>
      </c>
    </row>
    <row r="38" spans="1:13" ht="17" thickBot="1" x14ac:dyDescent="0.25">
      <c r="F38" s="3"/>
      <c r="G38" s="12">
        <f>SUM(G3:G37)</f>
        <v>14523629.199999999</v>
      </c>
      <c r="J38" s="22">
        <f>SUM(J3:J37)</f>
        <v>4539892</v>
      </c>
      <c r="L38" s="3"/>
      <c r="M38" s="94">
        <f>SUM(M3:M37)</f>
        <v>2577334.4</v>
      </c>
    </row>
    <row r="39" spans="1:13" x14ac:dyDescent="0.2">
      <c r="F39" s="3"/>
      <c r="G39" s="3"/>
    </row>
    <row r="40" spans="1:13" ht="17" thickBot="1" x14ac:dyDescent="0.25">
      <c r="A40" s="30" t="s">
        <v>692</v>
      </c>
      <c r="B40" s="74"/>
      <c r="C40" t="s">
        <v>660</v>
      </c>
      <c r="D40" t="s">
        <v>661</v>
      </c>
      <c r="E40"/>
      <c r="F40"/>
      <c r="G40" s="1"/>
      <c r="H40" s="2" t="s">
        <v>180</v>
      </c>
    </row>
    <row r="41" spans="1:13" ht="17" thickBot="1" x14ac:dyDescent="0.25">
      <c r="A41" s="9" t="s">
        <v>662</v>
      </c>
      <c r="B41" s="76" t="s">
        <v>910</v>
      </c>
      <c r="C41" s="9" t="s">
        <v>36</v>
      </c>
      <c r="D41" s="9" t="s">
        <v>116</v>
      </c>
      <c r="E41" s="9">
        <v>14</v>
      </c>
      <c r="F41" s="20">
        <v>20764</v>
      </c>
      <c r="G41" s="20">
        <f>F41*E41</f>
        <v>290696</v>
      </c>
      <c r="H41" s="23">
        <v>4</v>
      </c>
      <c r="I41" s="24">
        <v>20764</v>
      </c>
      <c r="J41" s="25">
        <f>H41*I41</f>
        <v>83056</v>
      </c>
      <c r="K41" s="92"/>
      <c r="L41" s="93">
        <v>20764</v>
      </c>
      <c r="M41" s="93">
        <f>L41*K41</f>
        <v>0</v>
      </c>
    </row>
    <row r="42" spans="1:13" ht="17" thickBot="1" x14ac:dyDescent="0.25">
      <c r="A42" s="9" t="s">
        <v>663</v>
      </c>
      <c r="B42" s="76" t="s">
        <v>971</v>
      </c>
      <c r="C42" s="9" t="s">
        <v>36</v>
      </c>
      <c r="D42" s="9" t="s">
        <v>933</v>
      </c>
      <c r="E42" s="9">
        <v>74</v>
      </c>
      <c r="F42" s="20">
        <v>8236</v>
      </c>
      <c r="G42" s="20">
        <f t="shared" ref="G42:G77" si="3">F42*E42</f>
        <v>609464</v>
      </c>
      <c r="H42" s="23">
        <v>18</v>
      </c>
      <c r="I42" s="24">
        <v>8236</v>
      </c>
      <c r="J42" s="25">
        <f t="shared" ref="J42:J77" si="4">H42*I42</f>
        <v>148248</v>
      </c>
      <c r="K42" s="92">
        <v>18</v>
      </c>
      <c r="L42" s="93">
        <v>8236</v>
      </c>
      <c r="M42" s="93">
        <f t="shared" ref="M42:M77" si="5">L42*K42</f>
        <v>148248</v>
      </c>
    </row>
    <row r="43" spans="1:13" ht="17" thickBot="1" x14ac:dyDescent="0.25">
      <c r="A43" s="9" t="s">
        <v>663</v>
      </c>
      <c r="B43" s="76" t="s">
        <v>947</v>
      </c>
      <c r="C43" s="9" t="s">
        <v>36</v>
      </c>
      <c r="D43" s="9" t="s">
        <v>994</v>
      </c>
      <c r="E43" s="9">
        <v>16</v>
      </c>
      <c r="F43" s="20">
        <v>6971.6</v>
      </c>
      <c r="G43" s="20">
        <f t="shared" si="3"/>
        <v>111545.60000000001</v>
      </c>
      <c r="H43" s="23">
        <v>2</v>
      </c>
      <c r="I43" s="24">
        <v>6971.6</v>
      </c>
      <c r="J43" s="25">
        <f t="shared" si="4"/>
        <v>13943.2</v>
      </c>
      <c r="K43" s="92"/>
      <c r="L43" s="93">
        <v>6971.6</v>
      </c>
      <c r="M43" s="93">
        <f t="shared" si="5"/>
        <v>0</v>
      </c>
    </row>
    <row r="44" spans="1:13" ht="17" thickBot="1" x14ac:dyDescent="0.25">
      <c r="A44" s="9" t="s">
        <v>664</v>
      </c>
      <c r="B44" s="76" t="s">
        <v>952</v>
      </c>
      <c r="C44" s="9" t="s">
        <v>36</v>
      </c>
      <c r="D44" s="9" t="s">
        <v>665</v>
      </c>
      <c r="E44" s="9">
        <v>30</v>
      </c>
      <c r="F44" s="20">
        <v>7308</v>
      </c>
      <c r="G44" s="20">
        <f t="shared" si="3"/>
        <v>219240</v>
      </c>
      <c r="H44" s="23">
        <v>7</v>
      </c>
      <c r="I44" s="24">
        <v>7308</v>
      </c>
      <c r="J44" s="25">
        <f t="shared" si="4"/>
        <v>51156</v>
      </c>
      <c r="K44" s="92">
        <v>7</v>
      </c>
      <c r="L44" s="93">
        <v>7308</v>
      </c>
      <c r="M44" s="93">
        <f t="shared" si="5"/>
        <v>51156</v>
      </c>
    </row>
    <row r="45" spans="1:13" ht="17" thickBot="1" x14ac:dyDescent="0.25">
      <c r="A45" s="9" t="s">
        <v>58</v>
      </c>
      <c r="B45" s="76" t="s">
        <v>972</v>
      </c>
      <c r="C45" s="9" t="s">
        <v>36</v>
      </c>
      <c r="D45" s="9" t="s">
        <v>666</v>
      </c>
      <c r="E45" s="9">
        <v>44</v>
      </c>
      <c r="F45" s="20">
        <v>12980.4</v>
      </c>
      <c r="G45" s="20">
        <f t="shared" si="3"/>
        <v>571137.6</v>
      </c>
      <c r="H45" s="23">
        <v>11</v>
      </c>
      <c r="I45" s="24">
        <v>12980.4</v>
      </c>
      <c r="J45" s="25">
        <f t="shared" si="4"/>
        <v>142784.4</v>
      </c>
      <c r="K45" s="92"/>
      <c r="L45" s="93">
        <v>12980.4</v>
      </c>
      <c r="M45" s="93">
        <f t="shared" si="5"/>
        <v>0</v>
      </c>
    </row>
    <row r="46" spans="1:13" ht="17" thickBot="1" x14ac:dyDescent="0.25">
      <c r="A46" s="9" t="s">
        <v>663</v>
      </c>
      <c r="B46" s="76" t="s">
        <v>971</v>
      </c>
      <c r="C46" s="9" t="s">
        <v>36</v>
      </c>
      <c r="D46" s="9" t="s">
        <v>933</v>
      </c>
      <c r="E46" s="9">
        <v>43</v>
      </c>
      <c r="F46" s="20">
        <v>8236</v>
      </c>
      <c r="G46" s="20">
        <f t="shared" si="3"/>
        <v>354148</v>
      </c>
      <c r="H46" s="23">
        <v>11</v>
      </c>
      <c r="I46" s="24">
        <v>8236</v>
      </c>
      <c r="J46" s="25">
        <f t="shared" si="4"/>
        <v>90596</v>
      </c>
      <c r="K46" s="92">
        <v>12</v>
      </c>
      <c r="L46" s="93">
        <v>8236</v>
      </c>
      <c r="M46" s="93">
        <f t="shared" si="5"/>
        <v>98832</v>
      </c>
    </row>
    <row r="47" spans="1:13" ht="17" thickBot="1" x14ac:dyDescent="0.25">
      <c r="A47" s="9" t="s">
        <v>45</v>
      </c>
      <c r="B47" s="76" t="s">
        <v>913</v>
      </c>
      <c r="C47" s="9" t="s">
        <v>36</v>
      </c>
      <c r="D47" s="9" t="s">
        <v>167</v>
      </c>
      <c r="E47" s="9">
        <v>14</v>
      </c>
      <c r="F47" s="20">
        <v>20764</v>
      </c>
      <c r="G47" s="20">
        <f t="shared" si="3"/>
        <v>290696</v>
      </c>
      <c r="H47" s="23">
        <v>4</v>
      </c>
      <c r="I47" s="24">
        <v>20764</v>
      </c>
      <c r="J47" s="25">
        <f t="shared" si="4"/>
        <v>83056</v>
      </c>
      <c r="K47" s="92"/>
      <c r="L47" s="93">
        <v>20764</v>
      </c>
      <c r="M47" s="93">
        <f t="shared" si="5"/>
        <v>0</v>
      </c>
    </row>
    <row r="48" spans="1:13" ht="17" thickBot="1" x14ac:dyDescent="0.25">
      <c r="A48" s="9" t="s">
        <v>45</v>
      </c>
      <c r="B48" s="76" t="s">
        <v>973</v>
      </c>
      <c r="C48" s="9" t="s">
        <v>36</v>
      </c>
      <c r="D48" s="9" t="s">
        <v>993</v>
      </c>
      <c r="E48" s="9">
        <v>48</v>
      </c>
      <c r="F48" s="20">
        <v>13108</v>
      </c>
      <c r="G48" s="20">
        <f t="shared" si="3"/>
        <v>629184</v>
      </c>
      <c r="H48" s="23">
        <v>12</v>
      </c>
      <c r="I48" s="24">
        <v>13108</v>
      </c>
      <c r="J48" s="25">
        <f t="shared" si="4"/>
        <v>157296</v>
      </c>
      <c r="K48" s="92"/>
      <c r="L48" s="93">
        <v>13108</v>
      </c>
      <c r="M48" s="93">
        <f t="shared" si="5"/>
        <v>0</v>
      </c>
    </row>
    <row r="49" spans="1:13" ht="17" thickBot="1" x14ac:dyDescent="0.25">
      <c r="A49" s="9" t="s">
        <v>667</v>
      </c>
      <c r="B49" s="76" t="s">
        <v>974</v>
      </c>
      <c r="C49" s="9" t="s">
        <v>36</v>
      </c>
      <c r="D49" s="9" t="s">
        <v>668</v>
      </c>
      <c r="E49" s="9">
        <v>101</v>
      </c>
      <c r="F49" s="20">
        <v>10382</v>
      </c>
      <c r="G49" s="20">
        <f t="shared" si="3"/>
        <v>1048582</v>
      </c>
      <c r="H49" s="23"/>
      <c r="I49" s="24">
        <v>10382</v>
      </c>
      <c r="J49" s="25">
        <f t="shared" si="4"/>
        <v>0</v>
      </c>
      <c r="K49" s="92">
        <v>24</v>
      </c>
      <c r="L49" s="93">
        <v>10382</v>
      </c>
      <c r="M49" s="93">
        <f t="shared" si="5"/>
        <v>249168</v>
      </c>
    </row>
    <row r="50" spans="1:13" ht="17" thickBot="1" x14ac:dyDescent="0.25">
      <c r="A50" s="9" t="s">
        <v>669</v>
      </c>
      <c r="B50" s="76" t="s">
        <v>954</v>
      </c>
      <c r="C50" s="9" t="s">
        <v>36</v>
      </c>
      <c r="D50" s="9" t="s">
        <v>670</v>
      </c>
      <c r="E50" s="9">
        <v>75</v>
      </c>
      <c r="F50" s="20">
        <v>15544</v>
      </c>
      <c r="G50" s="20">
        <f t="shared" si="3"/>
        <v>1165800</v>
      </c>
      <c r="H50" s="23">
        <v>15</v>
      </c>
      <c r="I50" s="24">
        <v>15544</v>
      </c>
      <c r="J50" s="25">
        <f t="shared" si="4"/>
        <v>233160</v>
      </c>
      <c r="K50" s="92"/>
      <c r="L50" s="93">
        <v>15544</v>
      </c>
      <c r="M50" s="93">
        <f t="shared" si="5"/>
        <v>0</v>
      </c>
    </row>
    <row r="51" spans="1:13" ht="17" thickBot="1" x14ac:dyDescent="0.25">
      <c r="A51" s="9" t="s">
        <v>197</v>
      </c>
      <c r="B51" s="76" t="s">
        <v>886</v>
      </c>
      <c r="C51" s="9" t="s">
        <v>36</v>
      </c>
      <c r="D51" s="9" t="s">
        <v>324</v>
      </c>
      <c r="E51" s="9">
        <v>77</v>
      </c>
      <c r="F51" s="20">
        <v>16472</v>
      </c>
      <c r="G51" s="20">
        <f t="shared" si="3"/>
        <v>1268344</v>
      </c>
      <c r="H51" s="23">
        <v>20</v>
      </c>
      <c r="I51" s="24">
        <v>16472</v>
      </c>
      <c r="J51" s="25">
        <f t="shared" si="4"/>
        <v>329440</v>
      </c>
      <c r="K51" s="92">
        <v>18</v>
      </c>
      <c r="L51" s="93">
        <v>16472</v>
      </c>
      <c r="M51" s="93">
        <f t="shared" si="5"/>
        <v>296496</v>
      </c>
    </row>
    <row r="52" spans="1:13" ht="17" thickBot="1" x14ac:dyDescent="0.25">
      <c r="A52" s="9" t="s">
        <v>662</v>
      </c>
      <c r="B52" s="76"/>
      <c r="C52" s="9" t="s">
        <v>36</v>
      </c>
      <c r="D52" s="9" t="s">
        <v>992</v>
      </c>
      <c r="E52" s="9">
        <v>63</v>
      </c>
      <c r="F52" s="20">
        <v>17052</v>
      </c>
      <c r="G52" s="20">
        <f t="shared" si="3"/>
        <v>1074276</v>
      </c>
      <c r="H52" s="23"/>
      <c r="I52" s="24">
        <v>17052</v>
      </c>
      <c r="J52" s="25">
        <f t="shared" si="4"/>
        <v>0</v>
      </c>
      <c r="K52" s="92">
        <v>20</v>
      </c>
      <c r="L52" s="93">
        <v>17052</v>
      </c>
      <c r="M52" s="93">
        <f t="shared" si="5"/>
        <v>341040</v>
      </c>
    </row>
    <row r="53" spans="1:13" ht="17" thickBot="1" x14ac:dyDescent="0.25">
      <c r="A53" s="9" t="s">
        <v>46</v>
      </c>
      <c r="B53" s="76" t="s">
        <v>956</v>
      </c>
      <c r="C53" s="9" t="s">
        <v>36</v>
      </c>
      <c r="D53" s="9" t="s">
        <v>991</v>
      </c>
      <c r="E53" s="9">
        <v>22</v>
      </c>
      <c r="F53" s="20">
        <v>5104</v>
      </c>
      <c r="G53" s="20">
        <f t="shared" si="3"/>
        <v>112288</v>
      </c>
      <c r="H53" s="23">
        <v>5</v>
      </c>
      <c r="I53" s="24">
        <v>5104</v>
      </c>
      <c r="J53" s="25">
        <f t="shared" si="4"/>
        <v>25520</v>
      </c>
      <c r="K53" s="92">
        <v>17</v>
      </c>
      <c r="L53" s="93">
        <v>5104</v>
      </c>
      <c r="M53" s="93">
        <f t="shared" si="5"/>
        <v>86768</v>
      </c>
    </row>
    <row r="54" spans="1:13" ht="17" thickBot="1" x14ac:dyDescent="0.25">
      <c r="A54" s="9" t="s">
        <v>282</v>
      </c>
      <c r="B54" s="76" t="s">
        <v>975</v>
      </c>
      <c r="C54" s="9" t="s">
        <v>36</v>
      </c>
      <c r="D54" s="9" t="s">
        <v>990</v>
      </c>
      <c r="E54" s="9">
        <v>40</v>
      </c>
      <c r="F54" s="20">
        <v>8932</v>
      </c>
      <c r="G54" s="20">
        <f t="shared" si="3"/>
        <v>357280</v>
      </c>
      <c r="H54" s="23">
        <v>10</v>
      </c>
      <c r="I54" s="24">
        <v>8932</v>
      </c>
      <c r="J54" s="25">
        <f t="shared" si="4"/>
        <v>89320</v>
      </c>
      <c r="K54" s="92">
        <v>2</v>
      </c>
      <c r="L54" s="93">
        <v>8932</v>
      </c>
      <c r="M54" s="93">
        <f t="shared" si="5"/>
        <v>17864</v>
      </c>
    </row>
    <row r="55" spans="1:13" ht="17" thickBot="1" x14ac:dyDescent="0.25">
      <c r="A55" s="9" t="s">
        <v>243</v>
      </c>
      <c r="B55" s="76"/>
      <c r="C55" s="9" t="s">
        <v>36</v>
      </c>
      <c r="D55" s="9" t="s">
        <v>671</v>
      </c>
      <c r="E55" s="9">
        <v>13</v>
      </c>
      <c r="F55" s="20">
        <v>25288</v>
      </c>
      <c r="G55" s="20">
        <f t="shared" si="3"/>
        <v>328744</v>
      </c>
      <c r="H55" s="23"/>
      <c r="I55" s="24">
        <v>25288</v>
      </c>
      <c r="J55" s="25">
        <f t="shared" si="4"/>
        <v>0</v>
      </c>
      <c r="K55" s="92"/>
      <c r="L55" s="93">
        <v>25288</v>
      </c>
      <c r="M55" s="93">
        <f t="shared" si="5"/>
        <v>0</v>
      </c>
    </row>
    <row r="56" spans="1:13" ht="17" thickBot="1" x14ac:dyDescent="0.25">
      <c r="A56" s="9" t="s">
        <v>672</v>
      </c>
      <c r="B56" s="76"/>
      <c r="C56" s="9" t="s">
        <v>36</v>
      </c>
      <c r="D56" s="9" t="s">
        <v>673</v>
      </c>
      <c r="E56" s="9">
        <v>36</v>
      </c>
      <c r="F56" s="20">
        <v>6264</v>
      </c>
      <c r="G56" s="20">
        <f t="shared" si="3"/>
        <v>225504</v>
      </c>
      <c r="H56" s="23"/>
      <c r="I56" s="24">
        <v>6264</v>
      </c>
      <c r="J56" s="25">
        <f t="shared" si="4"/>
        <v>0</v>
      </c>
      <c r="K56" s="92">
        <v>18</v>
      </c>
      <c r="L56" s="93">
        <v>6264</v>
      </c>
      <c r="M56" s="93">
        <f t="shared" si="5"/>
        <v>112752</v>
      </c>
    </row>
    <row r="57" spans="1:13" ht="17" thickBot="1" x14ac:dyDescent="0.25">
      <c r="A57" s="9" t="s">
        <v>674</v>
      </c>
      <c r="B57" s="76" t="s">
        <v>844</v>
      </c>
      <c r="C57" s="9" t="s">
        <v>36</v>
      </c>
      <c r="D57" s="9" t="s">
        <v>675</v>
      </c>
      <c r="E57" s="9">
        <v>18</v>
      </c>
      <c r="F57" s="20">
        <v>4524</v>
      </c>
      <c r="G57" s="20">
        <f t="shared" si="3"/>
        <v>81432</v>
      </c>
      <c r="H57" s="23">
        <v>4</v>
      </c>
      <c r="I57" s="24">
        <v>4524</v>
      </c>
      <c r="J57" s="25">
        <f t="shared" si="4"/>
        <v>18096</v>
      </c>
      <c r="K57" s="92">
        <v>6</v>
      </c>
      <c r="L57" s="93">
        <v>4524</v>
      </c>
      <c r="M57" s="93">
        <f t="shared" si="5"/>
        <v>27144</v>
      </c>
    </row>
    <row r="58" spans="1:13" ht="17" thickBot="1" x14ac:dyDescent="0.25">
      <c r="A58" s="9" t="s">
        <v>667</v>
      </c>
      <c r="B58" s="76" t="s">
        <v>976</v>
      </c>
      <c r="C58" s="9" t="s">
        <v>36</v>
      </c>
      <c r="D58" s="9" t="s">
        <v>989</v>
      </c>
      <c r="E58" s="9">
        <v>71</v>
      </c>
      <c r="F58" s="20">
        <v>15776</v>
      </c>
      <c r="G58" s="20">
        <f t="shared" si="3"/>
        <v>1120096</v>
      </c>
      <c r="H58" s="23">
        <v>12</v>
      </c>
      <c r="I58" s="24">
        <v>15776</v>
      </c>
      <c r="J58" s="25">
        <f t="shared" si="4"/>
        <v>189312</v>
      </c>
      <c r="K58" s="92"/>
      <c r="L58" s="93">
        <v>15776</v>
      </c>
      <c r="M58" s="93">
        <f t="shared" si="5"/>
        <v>0</v>
      </c>
    </row>
    <row r="59" spans="1:13" ht="17" thickBot="1" x14ac:dyDescent="0.25">
      <c r="A59" s="9" t="s">
        <v>667</v>
      </c>
      <c r="B59" s="76"/>
      <c r="C59" s="9" t="s">
        <v>36</v>
      </c>
      <c r="D59" s="9" t="s">
        <v>988</v>
      </c>
      <c r="E59" s="9">
        <v>50</v>
      </c>
      <c r="F59" s="20">
        <v>14500</v>
      </c>
      <c r="G59" s="20">
        <f t="shared" si="3"/>
        <v>725000</v>
      </c>
      <c r="H59" s="23"/>
      <c r="I59" s="24">
        <v>14500</v>
      </c>
      <c r="J59" s="25">
        <f t="shared" si="4"/>
        <v>0</v>
      </c>
      <c r="K59" s="92"/>
      <c r="L59" s="93">
        <v>14500</v>
      </c>
      <c r="M59" s="93">
        <f t="shared" si="5"/>
        <v>0</v>
      </c>
    </row>
    <row r="60" spans="1:13" ht="17" thickBot="1" x14ac:dyDescent="0.25">
      <c r="A60" s="9" t="s">
        <v>241</v>
      </c>
      <c r="B60" s="76" t="s">
        <v>915</v>
      </c>
      <c r="C60" s="9" t="s">
        <v>36</v>
      </c>
      <c r="D60" s="9" t="s">
        <v>676</v>
      </c>
      <c r="E60" s="9">
        <v>45</v>
      </c>
      <c r="F60" s="20">
        <v>8850.7999999999993</v>
      </c>
      <c r="G60" s="20">
        <f t="shared" si="3"/>
        <v>398285.99999999994</v>
      </c>
      <c r="H60" s="23">
        <v>12</v>
      </c>
      <c r="I60" s="24">
        <v>8850.7999999999993</v>
      </c>
      <c r="J60" s="25">
        <f t="shared" si="4"/>
        <v>106209.59999999999</v>
      </c>
      <c r="K60" s="92">
        <v>12</v>
      </c>
      <c r="L60" s="93">
        <v>8850.7999999999993</v>
      </c>
      <c r="M60" s="93">
        <f t="shared" si="5"/>
        <v>106209.59999999999</v>
      </c>
    </row>
    <row r="61" spans="1:13" ht="17" thickBot="1" x14ac:dyDescent="0.25">
      <c r="A61" s="9" t="s">
        <v>662</v>
      </c>
      <c r="B61" s="76" t="s">
        <v>959</v>
      </c>
      <c r="C61" s="9" t="s">
        <v>36</v>
      </c>
      <c r="D61" s="9" t="s">
        <v>677</v>
      </c>
      <c r="E61" s="9">
        <v>33</v>
      </c>
      <c r="F61" s="20">
        <v>18328</v>
      </c>
      <c r="G61" s="20">
        <f t="shared" si="3"/>
        <v>604824</v>
      </c>
      <c r="H61" s="23">
        <v>8</v>
      </c>
      <c r="I61" s="24">
        <v>18328</v>
      </c>
      <c r="J61" s="25">
        <f t="shared" si="4"/>
        <v>146624</v>
      </c>
      <c r="K61" s="92"/>
      <c r="L61" s="93">
        <v>18328</v>
      </c>
      <c r="M61" s="93">
        <f t="shared" si="5"/>
        <v>0</v>
      </c>
    </row>
    <row r="62" spans="1:13" ht="17" thickBot="1" x14ac:dyDescent="0.25">
      <c r="A62" s="9" t="s">
        <v>678</v>
      </c>
      <c r="B62" s="76" t="s">
        <v>977</v>
      </c>
      <c r="C62" s="9" t="s">
        <v>36</v>
      </c>
      <c r="D62" s="9" t="s">
        <v>679</v>
      </c>
      <c r="E62" s="9">
        <v>50</v>
      </c>
      <c r="F62" s="20">
        <v>7018</v>
      </c>
      <c r="G62" s="20">
        <f t="shared" si="3"/>
        <v>350900</v>
      </c>
      <c r="H62" s="23">
        <v>12</v>
      </c>
      <c r="I62" s="24">
        <v>7018</v>
      </c>
      <c r="J62" s="25">
        <f t="shared" si="4"/>
        <v>84216</v>
      </c>
      <c r="K62" s="92">
        <v>12</v>
      </c>
      <c r="L62" s="93">
        <v>7018</v>
      </c>
      <c r="M62" s="93">
        <f t="shared" si="5"/>
        <v>84216</v>
      </c>
    </row>
    <row r="63" spans="1:13" ht="17" thickBot="1" x14ac:dyDescent="0.25">
      <c r="A63" s="9" t="s">
        <v>282</v>
      </c>
      <c r="B63" s="76" t="s">
        <v>859</v>
      </c>
      <c r="C63" s="9" t="s">
        <v>36</v>
      </c>
      <c r="D63" s="9" t="s">
        <v>657</v>
      </c>
      <c r="E63" s="9">
        <v>28</v>
      </c>
      <c r="F63" s="20">
        <v>2250.4</v>
      </c>
      <c r="G63" s="20">
        <f t="shared" si="3"/>
        <v>63011.200000000004</v>
      </c>
      <c r="H63" s="23">
        <v>7</v>
      </c>
      <c r="I63" s="24">
        <v>2250.4</v>
      </c>
      <c r="J63" s="25">
        <f t="shared" si="4"/>
        <v>15752.800000000001</v>
      </c>
      <c r="K63" s="92">
        <v>7</v>
      </c>
      <c r="L63" s="93">
        <v>2250.4</v>
      </c>
      <c r="M63" s="93">
        <f t="shared" si="5"/>
        <v>15752.800000000001</v>
      </c>
    </row>
    <row r="64" spans="1:13" ht="17" thickBot="1" x14ac:dyDescent="0.25">
      <c r="A64" s="9" t="s">
        <v>674</v>
      </c>
      <c r="B64" s="76" t="s">
        <v>978</v>
      </c>
      <c r="C64" s="9" t="s">
        <v>36</v>
      </c>
      <c r="D64" s="9" t="s">
        <v>680</v>
      </c>
      <c r="E64" s="9">
        <v>56</v>
      </c>
      <c r="F64" s="20">
        <v>4118</v>
      </c>
      <c r="G64" s="20">
        <f t="shared" si="3"/>
        <v>230608</v>
      </c>
      <c r="H64" s="23">
        <v>11</v>
      </c>
      <c r="I64" s="24">
        <v>4118</v>
      </c>
      <c r="J64" s="25">
        <f t="shared" si="4"/>
        <v>45298</v>
      </c>
      <c r="K64" s="92">
        <v>17</v>
      </c>
      <c r="L64" s="93">
        <v>4118</v>
      </c>
      <c r="M64" s="93">
        <f t="shared" si="5"/>
        <v>70006</v>
      </c>
    </row>
    <row r="65" spans="1:13" ht="17" thickBot="1" x14ac:dyDescent="0.25">
      <c r="A65" s="9" t="s">
        <v>662</v>
      </c>
      <c r="B65" s="76" t="s">
        <v>979</v>
      </c>
      <c r="C65" s="9" t="s">
        <v>36</v>
      </c>
      <c r="D65" s="9" t="s">
        <v>681</v>
      </c>
      <c r="E65" s="9">
        <v>13</v>
      </c>
      <c r="F65" s="20">
        <v>14418.8</v>
      </c>
      <c r="G65" s="20">
        <f t="shared" si="3"/>
        <v>187444.4</v>
      </c>
      <c r="H65" s="23">
        <v>3</v>
      </c>
      <c r="I65" s="24">
        <v>14418.8</v>
      </c>
      <c r="J65" s="25">
        <f t="shared" si="4"/>
        <v>43256.399999999994</v>
      </c>
      <c r="K65" s="92"/>
      <c r="L65" s="93">
        <v>14418.8</v>
      </c>
      <c r="M65" s="93">
        <f t="shared" si="5"/>
        <v>0</v>
      </c>
    </row>
    <row r="66" spans="1:13" ht="17" thickBot="1" x14ac:dyDescent="0.25">
      <c r="A66" s="9" t="s">
        <v>241</v>
      </c>
      <c r="B66" s="76" t="s">
        <v>860</v>
      </c>
      <c r="C66" s="9" t="s">
        <v>36</v>
      </c>
      <c r="D66" s="9" t="s">
        <v>658</v>
      </c>
      <c r="E66" s="9">
        <v>91</v>
      </c>
      <c r="F66" s="20">
        <v>8700</v>
      </c>
      <c r="G66" s="20">
        <f t="shared" si="3"/>
        <v>791700</v>
      </c>
      <c r="H66" s="23">
        <v>23</v>
      </c>
      <c r="I66" s="24">
        <v>8700</v>
      </c>
      <c r="J66" s="25">
        <f t="shared" si="4"/>
        <v>200100</v>
      </c>
      <c r="K66" s="92">
        <v>22</v>
      </c>
      <c r="L66" s="93">
        <v>8700</v>
      </c>
      <c r="M66" s="93">
        <f t="shared" si="5"/>
        <v>191400</v>
      </c>
    </row>
    <row r="67" spans="1:13" ht="17" thickBot="1" x14ac:dyDescent="0.25">
      <c r="A67" s="9" t="s">
        <v>662</v>
      </c>
      <c r="B67" s="76" t="s">
        <v>946</v>
      </c>
      <c r="C67" s="9" t="s">
        <v>36</v>
      </c>
      <c r="D67" s="9" t="s">
        <v>682</v>
      </c>
      <c r="E67" s="9">
        <v>69</v>
      </c>
      <c r="F67" s="20">
        <v>18513.599999999999</v>
      </c>
      <c r="G67" s="20">
        <f t="shared" si="3"/>
        <v>1277438.3999999999</v>
      </c>
      <c r="H67" s="23">
        <v>17</v>
      </c>
      <c r="I67" s="24">
        <v>18513.599999999999</v>
      </c>
      <c r="J67" s="25">
        <f t="shared" si="4"/>
        <v>314731.19999999995</v>
      </c>
      <c r="K67" s="92"/>
      <c r="L67" s="93">
        <v>18513.599999999999</v>
      </c>
      <c r="M67" s="93">
        <f t="shared" si="5"/>
        <v>0</v>
      </c>
    </row>
    <row r="68" spans="1:13" ht="17" thickBot="1" x14ac:dyDescent="0.25">
      <c r="A68" s="9" t="s">
        <v>683</v>
      </c>
      <c r="B68" s="76" t="s">
        <v>917</v>
      </c>
      <c r="C68" s="9" t="s">
        <v>36</v>
      </c>
      <c r="D68" s="9" t="s">
        <v>684</v>
      </c>
      <c r="E68" s="9">
        <v>26</v>
      </c>
      <c r="F68" s="20">
        <v>5220</v>
      </c>
      <c r="G68" s="20">
        <f t="shared" si="3"/>
        <v>135720</v>
      </c>
      <c r="H68" s="23">
        <v>6</v>
      </c>
      <c r="I68" s="24">
        <v>5220</v>
      </c>
      <c r="J68" s="25">
        <f t="shared" si="4"/>
        <v>31320</v>
      </c>
      <c r="K68" s="92">
        <v>7</v>
      </c>
      <c r="L68" s="93">
        <v>5220</v>
      </c>
      <c r="M68" s="93">
        <f t="shared" si="5"/>
        <v>36540</v>
      </c>
    </row>
    <row r="69" spans="1:13" ht="17" thickBot="1" x14ac:dyDescent="0.25">
      <c r="A69" s="9" t="s">
        <v>685</v>
      </c>
      <c r="B69" s="76" t="s">
        <v>830</v>
      </c>
      <c r="C69" s="9" t="s">
        <v>36</v>
      </c>
      <c r="D69" s="9" t="s">
        <v>78</v>
      </c>
      <c r="E69" s="9">
        <v>20</v>
      </c>
      <c r="F69" s="20">
        <v>27144</v>
      </c>
      <c r="G69" s="20">
        <f t="shared" si="3"/>
        <v>542880</v>
      </c>
      <c r="H69" s="23">
        <v>5</v>
      </c>
      <c r="I69" s="24">
        <v>27144</v>
      </c>
      <c r="J69" s="25">
        <f t="shared" si="4"/>
        <v>135720</v>
      </c>
      <c r="K69" s="92"/>
      <c r="L69" s="93">
        <v>27144</v>
      </c>
      <c r="M69" s="93">
        <f t="shared" si="5"/>
        <v>0</v>
      </c>
    </row>
    <row r="70" spans="1:13" ht="17" thickBot="1" x14ac:dyDescent="0.25">
      <c r="A70" s="9" t="s">
        <v>197</v>
      </c>
      <c r="B70" s="76" t="s">
        <v>925</v>
      </c>
      <c r="C70" s="9" t="s">
        <v>36</v>
      </c>
      <c r="D70" s="9" t="s">
        <v>987</v>
      </c>
      <c r="E70" s="9">
        <v>12</v>
      </c>
      <c r="F70" s="20">
        <v>22388</v>
      </c>
      <c r="G70" s="20">
        <f t="shared" si="3"/>
        <v>268656</v>
      </c>
      <c r="H70" s="23">
        <v>3</v>
      </c>
      <c r="I70" s="24">
        <v>22388</v>
      </c>
      <c r="J70" s="25">
        <f t="shared" si="4"/>
        <v>67164</v>
      </c>
      <c r="K70" s="92"/>
      <c r="L70" s="93">
        <v>22388</v>
      </c>
      <c r="M70" s="93">
        <f t="shared" si="5"/>
        <v>0</v>
      </c>
    </row>
    <row r="71" spans="1:13" ht="17" thickBot="1" x14ac:dyDescent="0.25">
      <c r="A71" s="9" t="s">
        <v>667</v>
      </c>
      <c r="B71" s="76" t="s">
        <v>980</v>
      </c>
      <c r="C71" s="9" t="s">
        <v>36</v>
      </c>
      <c r="D71" s="9" t="s">
        <v>995</v>
      </c>
      <c r="E71" s="9">
        <v>50</v>
      </c>
      <c r="F71" s="20">
        <v>12644</v>
      </c>
      <c r="G71" s="20">
        <f t="shared" si="3"/>
        <v>632200</v>
      </c>
      <c r="H71" s="23"/>
      <c r="I71" s="24">
        <v>12644</v>
      </c>
      <c r="J71" s="25">
        <f t="shared" si="4"/>
        <v>0</v>
      </c>
      <c r="K71" s="92">
        <v>13</v>
      </c>
      <c r="L71" s="93">
        <v>12644</v>
      </c>
      <c r="M71" s="93">
        <f t="shared" si="5"/>
        <v>164372</v>
      </c>
    </row>
    <row r="72" spans="1:13" ht="17" thickBot="1" x14ac:dyDescent="0.25">
      <c r="A72" s="9" t="s">
        <v>662</v>
      </c>
      <c r="B72" s="76" t="s">
        <v>981</v>
      </c>
      <c r="C72" s="9" t="s">
        <v>36</v>
      </c>
      <c r="D72" s="9" t="s">
        <v>986</v>
      </c>
      <c r="E72" s="9">
        <v>13</v>
      </c>
      <c r="F72" s="20">
        <v>8578.2000000000007</v>
      </c>
      <c r="G72" s="20">
        <f t="shared" si="3"/>
        <v>111516.6</v>
      </c>
      <c r="H72" s="23">
        <v>3</v>
      </c>
      <c r="I72" s="24">
        <v>8578.2000000000007</v>
      </c>
      <c r="J72" s="25">
        <f t="shared" si="4"/>
        <v>25734.600000000002</v>
      </c>
      <c r="K72" s="92">
        <v>3</v>
      </c>
      <c r="L72" s="93">
        <v>8578.2000000000007</v>
      </c>
      <c r="M72" s="93">
        <f t="shared" si="5"/>
        <v>25734.600000000002</v>
      </c>
    </row>
    <row r="73" spans="1:13" ht="17" thickBot="1" x14ac:dyDescent="0.25">
      <c r="A73" s="9" t="s">
        <v>686</v>
      </c>
      <c r="B73" s="76" t="s">
        <v>982</v>
      </c>
      <c r="C73" s="9" t="s">
        <v>36</v>
      </c>
      <c r="D73" s="9" t="s">
        <v>687</v>
      </c>
      <c r="E73" s="9">
        <v>28</v>
      </c>
      <c r="F73" s="20">
        <v>5916</v>
      </c>
      <c r="G73" s="20">
        <f t="shared" si="3"/>
        <v>165648</v>
      </c>
      <c r="H73" s="23">
        <v>4</v>
      </c>
      <c r="I73" s="24">
        <v>5916</v>
      </c>
      <c r="J73" s="25">
        <f t="shared" si="4"/>
        <v>23664</v>
      </c>
      <c r="K73" s="92">
        <v>10</v>
      </c>
      <c r="L73" s="93">
        <v>5916</v>
      </c>
      <c r="M73" s="93">
        <f t="shared" si="5"/>
        <v>59160</v>
      </c>
    </row>
    <row r="74" spans="1:13" ht="17" thickBot="1" x14ac:dyDescent="0.25">
      <c r="A74" s="9" t="s">
        <v>686</v>
      </c>
      <c r="B74" s="76" t="s">
        <v>983</v>
      </c>
      <c r="C74" s="9" t="s">
        <v>36</v>
      </c>
      <c r="D74" s="55" t="s">
        <v>985</v>
      </c>
      <c r="E74" s="9">
        <v>17</v>
      </c>
      <c r="F74" s="20">
        <v>13224</v>
      </c>
      <c r="G74" s="20">
        <f t="shared" si="3"/>
        <v>224808</v>
      </c>
      <c r="H74" s="23">
        <v>4</v>
      </c>
      <c r="I74" s="24">
        <v>13224</v>
      </c>
      <c r="J74" s="25">
        <f t="shared" si="4"/>
        <v>52896</v>
      </c>
      <c r="K74" s="92">
        <v>3</v>
      </c>
      <c r="L74" s="93">
        <v>13224</v>
      </c>
      <c r="M74" s="93">
        <f t="shared" si="5"/>
        <v>39672</v>
      </c>
    </row>
    <row r="75" spans="1:13" ht="17" thickBot="1" x14ac:dyDescent="0.25">
      <c r="A75" s="9" t="s">
        <v>667</v>
      </c>
      <c r="B75" s="76" t="s">
        <v>984</v>
      </c>
      <c r="C75" s="9" t="s">
        <v>36</v>
      </c>
      <c r="D75" s="9" t="s">
        <v>688</v>
      </c>
      <c r="E75" s="9">
        <v>27</v>
      </c>
      <c r="F75" s="20">
        <v>2946.4</v>
      </c>
      <c r="G75" s="20">
        <f t="shared" si="3"/>
        <v>79552.800000000003</v>
      </c>
      <c r="H75" s="23">
        <v>1</v>
      </c>
      <c r="I75" s="24">
        <v>2946.4</v>
      </c>
      <c r="J75" s="25">
        <f t="shared" si="4"/>
        <v>2946.4</v>
      </c>
      <c r="K75" s="92">
        <v>14</v>
      </c>
      <c r="L75" s="93">
        <v>2946.4</v>
      </c>
      <c r="M75" s="93">
        <f t="shared" si="5"/>
        <v>41249.599999999999</v>
      </c>
    </row>
    <row r="76" spans="1:13" ht="17" thickBot="1" x14ac:dyDescent="0.25">
      <c r="A76" s="9" t="s">
        <v>689</v>
      </c>
      <c r="B76" s="76" t="s">
        <v>926</v>
      </c>
      <c r="C76" s="9" t="s">
        <v>36</v>
      </c>
      <c r="D76" s="9" t="s">
        <v>996</v>
      </c>
      <c r="E76" s="9">
        <v>18</v>
      </c>
      <c r="F76" s="20">
        <v>26332</v>
      </c>
      <c r="G76" s="20">
        <f t="shared" si="3"/>
        <v>473976</v>
      </c>
      <c r="H76" s="23">
        <v>2</v>
      </c>
      <c r="I76" s="24">
        <v>26332</v>
      </c>
      <c r="J76" s="25">
        <f t="shared" si="4"/>
        <v>52664</v>
      </c>
      <c r="K76" s="92"/>
      <c r="L76" s="93">
        <v>26332</v>
      </c>
      <c r="M76" s="93">
        <f t="shared" si="5"/>
        <v>0</v>
      </c>
    </row>
    <row r="77" spans="1:13" ht="17" thickBot="1" x14ac:dyDescent="0.25">
      <c r="A77" s="9" t="s">
        <v>669</v>
      </c>
      <c r="B77" s="76" t="s">
        <v>954</v>
      </c>
      <c r="C77" s="9" t="s">
        <v>36</v>
      </c>
      <c r="D77" s="9" t="s">
        <v>690</v>
      </c>
      <c r="E77" s="9">
        <v>13</v>
      </c>
      <c r="F77" s="20">
        <v>15138</v>
      </c>
      <c r="G77" s="20">
        <f t="shared" si="3"/>
        <v>196794</v>
      </c>
      <c r="H77" s="23"/>
      <c r="I77" s="24">
        <v>15138</v>
      </c>
      <c r="J77" s="25">
        <f t="shared" si="4"/>
        <v>0</v>
      </c>
      <c r="K77" s="92"/>
      <c r="L77" s="93">
        <v>15138</v>
      </c>
      <c r="M77" s="93">
        <f t="shared" si="5"/>
        <v>0</v>
      </c>
    </row>
    <row r="78" spans="1:13" ht="17" thickBot="1" x14ac:dyDescent="0.25">
      <c r="A78"/>
      <c r="B78" s="78"/>
      <c r="C78"/>
      <c r="D78"/>
      <c r="E78" s="56"/>
      <c r="F78" s="56"/>
      <c r="G78" s="58">
        <f>SUM(G41:G77)</f>
        <v>17319420.600000001</v>
      </c>
      <c r="J78" s="22">
        <f>SUM(J41:J77)</f>
        <v>3003280.6000000006</v>
      </c>
      <c r="K78" s="56"/>
      <c r="L78" s="56"/>
      <c r="M78" s="94">
        <f>SUM(M41:M77)</f>
        <v>2263780.6000000006</v>
      </c>
    </row>
    <row r="79" spans="1:13" ht="17" thickBot="1" x14ac:dyDescent="0.25">
      <c r="A79" s="30" t="s">
        <v>1725</v>
      </c>
      <c r="B79" s="2" t="s">
        <v>660</v>
      </c>
      <c r="C79" s="2" t="s">
        <v>661</v>
      </c>
      <c r="G79" s="132"/>
      <c r="J79" s="17"/>
    </row>
    <row r="80" spans="1:13" ht="17" thickBot="1" x14ac:dyDescent="0.25">
      <c r="A80" s="9" t="s">
        <v>197</v>
      </c>
      <c r="B80" s="16"/>
      <c r="C80" s="9" t="s">
        <v>36</v>
      </c>
      <c r="D80" s="9"/>
      <c r="E80" s="9">
        <v>60</v>
      </c>
      <c r="F80" s="10">
        <v>4640</v>
      </c>
      <c r="G80" s="12">
        <f>F80*E80</f>
        <v>278400</v>
      </c>
      <c r="H80" s="23">
        <v>30</v>
      </c>
      <c r="I80" s="24">
        <v>4640</v>
      </c>
      <c r="J80" s="26">
        <f>I80*H80</f>
        <v>139200</v>
      </c>
    </row>
    <row r="81" spans="1:10" x14ac:dyDescent="0.2">
      <c r="A81"/>
      <c r="B81" s="78"/>
      <c r="C81"/>
      <c r="D81"/>
      <c r="E81" s="56"/>
      <c r="F81" s="56"/>
      <c r="G81" s="132"/>
      <c r="J81" s="17"/>
    </row>
    <row r="83" spans="1:10" ht="17" thickBot="1" x14ac:dyDescent="0.25">
      <c r="A83" s="30" t="s">
        <v>1588</v>
      </c>
      <c r="B83" s="2" t="s">
        <v>1453</v>
      </c>
      <c r="C83" s="2" t="s">
        <v>1454</v>
      </c>
      <c r="E83" s="3"/>
      <c r="F83" s="3"/>
      <c r="G83" s="3"/>
    </row>
    <row r="84" spans="1:10" ht="17" thickBot="1" x14ac:dyDescent="0.25">
      <c r="A84" s="9" t="s">
        <v>447</v>
      </c>
      <c r="B84" s="76" t="s">
        <v>946</v>
      </c>
      <c r="C84" s="9" t="s">
        <v>9</v>
      </c>
      <c r="D84" s="134" t="s">
        <v>1455</v>
      </c>
      <c r="E84" s="9">
        <v>20</v>
      </c>
      <c r="F84" s="10">
        <v>5568</v>
      </c>
      <c r="G84" s="10">
        <f t="shared" ref="G84:G115" si="6">E84*F84</f>
        <v>111360</v>
      </c>
      <c r="H84" s="18"/>
      <c r="I84" s="19">
        <v>5568</v>
      </c>
      <c r="J84" s="19">
        <f t="shared" ref="J84:J115" si="7">H84*I84</f>
        <v>0</v>
      </c>
    </row>
    <row r="85" spans="1:10" ht="17" thickBot="1" x14ac:dyDescent="0.25">
      <c r="A85" s="9" t="s">
        <v>94</v>
      </c>
      <c r="B85" s="76" t="s">
        <v>850</v>
      </c>
      <c r="C85" s="9" t="s">
        <v>9</v>
      </c>
      <c r="D85" s="9" t="s">
        <v>1456</v>
      </c>
      <c r="E85" s="9">
        <v>5</v>
      </c>
      <c r="F85" s="10">
        <v>20880</v>
      </c>
      <c r="G85" s="10">
        <f t="shared" si="6"/>
        <v>104400</v>
      </c>
      <c r="H85" s="35">
        <v>2</v>
      </c>
      <c r="I85" s="213">
        <v>20880</v>
      </c>
      <c r="J85" s="213">
        <f t="shared" si="7"/>
        <v>41760</v>
      </c>
    </row>
    <row r="86" spans="1:10" ht="17" thickBot="1" x14ac:dyDescent="0.25">
      <c r="A86" s="9" t="s">
        <v>1457</v>
      </c>
      <c r="B86" s="76" t="s">
        <v>1573</v>
      </c>
      <c r="C86" s="9" t="s">
        <v>1458</v>
      </c>
      <c r="D86" s="125" t="s">
        <v>1459</v>
      </c>
      <c r="E86" s="9">
        <v>6</v>
      </c>
      <c r="F86" s="10">
        <v>8120</v>
      </c>
      <c r="G86" s="10">
        <f t="shared" si="6"/>
        <v>48720</v>
      </c>
      <c r="H86" s="18"/>
      <c r="I86" s="19">
        <v>8120</v>
      </c>
      <c r="J86" s="19">
        <f t="shared" si="7"/>
        <v>0</v>
      </c>
    </row>
    <row r="87" spans="1:10" ht="17" thickBot="1" x14ac:dyDescent="0.25">
      <c r="A87" s="9" t="s">
        <v>1460</v>
      </c>
      <c r="B87" s="76" t="s">
        <v>920</v>
      </c>
      <c r="C87" s="9" t="s">
        <v>9</v>
      </c>
      <c r="D87" s="9" t="s">
        <v>1461</v>
      </c>
      <c r="E87" s="9">
        <v>13</v>
      </c>
      <c r="F87" s="10">
        <v>17400</v>
      </c>
      <c r="G87" s="10">
        <f t="shared" si="6"/>
        <v>226200</v>
      </c>
      <c r="H87" s="35">
        <v>3</v>
      </c>
      <c r="I87" s="213">
        <v>17400</v>
      </c>
      <c r="J87" s="213">
        <f t="shared" si="7"/>
        <v>52200</v>
      </c>
    </row>
    <row r="88" spans="1:10" ht="17" thickBot="1" x14ac:dyDescent="0.25">
      <c r="A88" s="9" t="s">
        <v>642</v>
      </c>
      <c r="B88" s="76" t="s">
        <v>1564</v>
      </c>
      <c r="C88" s="9" t="s">
        <v>9</v>
      </c>
      <c r="D88" s="9" t="s">
        <v>1462</v>
      </c>
      <c r="E88" s="9">
        <v>12</v>
      </c>
      <c r="F88" s="10">
        <v>4292</v>
      </c>
      <c r="G88" s="10">
        <f t="shared" si="6"/>
        <v>51504</v>
      </c>
      <c r="H88" s="35">
        <v>3</v>
      </c>
      <c r="I88" s="213">
        <v>4292</v>
      </c>
      <c r="J88" s="213">
        <f t="shared" si="7"/>
        <v>12876</v>
      </c>
    </row>
    <row r="89" spans="1:10" ht="17" thickBot="1" x14ac:dyDescent="0.25">
      <c r="A89" s="9" t="s">
        <v>51</v>
      </c>
      <c r="B89" s="76" t="s">
        <v>915</v>
      </c>
      <c r="C89" s="9" t="s">
        <v>9</v>
      </c>
      <c r="D89" s="9" t="s">
        <v>1463</v>
      </c>
      <c r="E89" s="9">
        <v>25</v>
      </c>
      <c r="F89" s="10">
        <v>5220</v>
      </c>
      <c r="G89" s="10">
        <f t="shared" si="6"/>
        <v>130500</v>
      </c>
      <c r="H89" s="35">
        <v>6</v>
      </c>
      <c r="I89" s="213">
        <v>5220</v>
      </c>
      <c r="J89" s="213">
        <f t="shared" si="7"/>
        <v>31320</v>
      </c>
    </row>
    <row r="90" spans="1:10" ht="17" thickBot="1" x14ac:dyDescent="0.25">
      <c r="A90" s="9" t="s">
        <v>156</v>
      </c>
      <c r="B90" s="76" t="s">
        <v>860</v>
      </c>
      <c r="C90" s="9" t="s">
        <v>9</v>
      </c>
      <c r="D90" s="9" t="s">
        <v>1464</v>
      </c>
      <c r="E90" s="9">
        <v>100</v>
      </c>
      <c r="F90" s="10">
        <v>4292</v>
      </c>
      <c r="G90" s="10">
        <f t="shared" si="6"/>
        <v>429200</v>
      </c>
      <c r="H90" s="35">
        <v>25</v>
      </c>
      <c r="I90" s="213">
        <v>4292</v>
      </c>
      <c r="J90" s="213">
        <f t="shared" si="7"/>
        <v>107300</v>
      </c>
    </row>
    <row r="91" spans="1:10" ht="17" thickBot="1" x14ac:dyDescent="0.25">
      <c r="A91" s="9" t="s">
        <v>51</v>
      </c>
      <c r="B91" s="76" t="s">
        <v>1574</v>
      </c>
      <c r="C91" s="9" t="s">
        <v>9</v>
      </c>
      <c r="D91" s="9" t="s">
        <v>1465</v>
      </c>
      <c r="E91" s="9">
        <v>10</v>
      </c>
      <c r="F91" s="10">
        <v>1740</v>
      </c>
      <c r="G91" s="10">
        <f t="shared" si="6"/>
        <v>17400</v>
      </c>
      <c r="H91" s="18"/>
      <c r="I91" s="19">
        <v>1740</v>
      </c>
      <c r="J91" s="19">
        <f t="shared" si="7"/>
        <v>0</v>
      </c>
    </row>
    <row r="92" spans="1:10" ht="17" thickBot="1" x14ac:dyDescent="0.25">
      <c r="A92" s="9" t="s">
        <v>51</v>
      </c>
      <c r="B92" s="76" t="s">
        <v>1575</v>
      </c>
      <c r="C92" s="9" t="s">
        <v>9</v>
      </c>
      <c r="D92" s="9" t="s">
        <v>1466</v>
      </c>
      <c r="E92" s="9">
        <v>10</v>
      </c>
      <c r="F92" s="10">
        <v>1508</v>
      </c>
      <c r="G92" s="10">
        <f t="shared" si="6"/>
        <v>15080</v>
      </c>
      <c r="H92" s="18"/>
      <c r="I92" s="19">
        <v>1508</v>
      </c>
      <c r="J92" s="19">
        <f t="shared" si="7"/>
        <v>0</v>
      </c>
    </row>
    <row r="93" spans="1:10" ht="17" thickBot="1" x14ac:dyDescent="0.25">
      <c r="A93" s="9" t="s">
        <v>156</v>
      </c>
      <c r="B93" s="76" t="s">
        <v>859</v>
      </c>
      <c r="C93" s="9" t="s">
        <v>9</v>
      </c>
      <c r="D93" s="9" t="s">
        <v>1467</v>
      </c>
      <c r="E93" s="9">
        <v>35</v>
      </c>
      <c r="F93" s="10">
        <v>1392</v>
      </c>
      <c r="G93" s="10">
        <f t="shared" si="6"/>
        <v>48720</v>
      </c>
      <c r="H93" s="18"/>
      <c r="I93" s="19">
        <v>1392</v>
      </c>
      <c r="J93" s="19">
        <f t="shared" si="7"/>
        <v>0</v>
      </c>
    </row>
    <row r="94" spans="1:10" ht="17" thickBot="1" x14ac:dyDescent="0.25">
      <c r="A94" s="9" t="s">
        <v>1468</v>
      </c>
      <c r="B94" s="76" t="s">
        <v>842</v>
      </c>
      <c r="C94" s="9" t="s">
        <v>9</v>
      </c>
      <c r="D94" s="9" t="s">
        <v>1469</v>
      </c>
      <c r="E94" s="9">
        <v>10</v>
      </c>
      <c r="F94" s="10">
        <v>9396</v>
      </c>
      <c r="G94" s="10">
        <f t="shared" si="6"/>
        <v>93960</v>
      </c>
      <c r="H94" s="35">
        <v>3</v>
      </c>
      <c r="I94" s="213">
        <v>9396</v>
      </c>
      <c r="J94" s="213">
        <f t="shared" si="7"/>
        <v>28188</v>
      </c>
    </row>
    <row r="95" spans="1:10" ht="17" thickBot="1" x14ac:dyDescent="0.25">
      <c r="A95" s="9" t="s">
        <v>51</v>
      </c>
      <c r="B95" s="76" t="s">
        <v>975</v>
      </c>
      <c r="C95" s="9" t="s">
        <v>9</v>
      </c>
      <c r="D95" s="9" t="s">
        <v>1470</v>
      </c>
      <c r="E95" s="9">
        <v>15</v>
      </c>
      <c r="F95" s="10">
        <v>5916</v>
      </c>
      <c r="G95" s="10">
        <f t="shared" si="6"/>
        <v>88740</v>
      </c>
      <c r="H95" s="35">
        <v>4</v>
      </c>
      <c r="I95" s="213">
        <v>5916</v>
      </c>
      <c r="J95" s="213">
        <f t="shared" si="7"/>
        <v>23664</v>
      </c>
    </row>
    <row r="96" spans="1:10" ht="20" thickBot="1" x14ac:dyDescent="0.4">
      <c r="A96" s="9" t="s">
        <v>1471</v>
      </c>
      <c r="B96" s="76" t="s">
        <v>917</v>
      </c>
      <c r="C96" s="9" t="s">
        <v>9</v>
      </c>
      <c r="D96" s="9" t="s">
        <v>1472</v>
      </c>
      <c r="E96" s="9">
        <v>15</v>
      </c>
      <c r="F96" s="135">
        <v>4872</v>
      </c>
      <c r="G96" s="10">
        <f t="shared" si="6"/>
        <v>73080</v>
      </c>
      <c r="H96" s="35">
        <v>4</v>
      </c>
      <c r="I96" s="254">
        <v>4872</v>
      </c>
      <c r="J96" s="213">
        <f t="shared" si="7"/>
        <v>19488</v>
      </c>
    </row>
    <row r="97" spans="1:10" ht="17" thickBot="1" x14ac:dyDescent="0.25">
      <c r="A97" s="9" t="s">
        <v>150</v>
      </c>
      <c r="B97" s="76" t="s">
        <v>980</v>
      </c>
      <c r="C97" s="9" t="s">
        <v>9</v>
      </c>
      <c r="D97" s="9" t="s">
        <v>1473</v>
      </c>
      <c r="E97" s="9">
        <v>85</v>
      </c>
      <c r="F97" s="10">
        <v>8236</v>
      </c>
      <c r="G97" s="10">
        <f t="shared" si="6"/>
        <v>700060</v>
      </c>
      <c r="H97" s="35">
        <v>24</v>
      </c>
      <c r="I97" s="213">
        <v>8236</v>
      </c>
      <c r="J97" s="213">
        <f t="shared" si="7"/>
        <v>197664</v>
      </c>
    </row>
    <row r="98" spans="1:10" ht="17" thickBot="1" x14ac:dyDescent="0.25">
      <c r="A98" s="9" t="s">
        <v>602</v>
      </c>
      <c r="B98" s="76" t="s">
        <v>979</v>
      </c>
      <c r="C98" s="9" t="s">
        <v>9</v>
      </c>
      <c r="D98" s="9" t="s">
        <v>1474</v>
      </c>
      <c r="E98" s="9">
        <v>65</v>
      </c>
      <c r="F98" s="10">
        <v>6264</v>
      </c>
      <c r="G98" s="10">
        <f t="shared" si="6"/>
        <v>407160</v>
      </c>
      <c r="H98" s="35">
        <v>16</v>
      </c>
      <c r="I98" s="213">
        <v>6264</v>
      </c>
      <c r="J98" s="213">
        <f t="shared" si="7"/>
        <v>100224</v>
      </c>
    </row>
    <row r="99" spans="1:10" ht="17" thickBot="1" x14ac:dyDescent="0.25">
      <c r="A99" s="9" t="s">
        <v>1475</v>
      </c>
      <c r="B99" s="76" t="s">
        <v>861</v>
      </c>
      <c r="C99" s="9" t="s">
        <v>9</v>
      </c>
      <c r="D99" s="9" t="s">
        <v>1476</v>
      </c>
      <c r="E99" s="9">
        <v>139</v>
      </c>
      <c r="F99" s="10">
        <v>1044</v>
      </c>
      <c r="G99" s="10">
        <f t="shared" si="6"/>
        <v>145116</v>
      </c>
      <c r="H99" s="35">
        <v>8</v>
      </c>
      <c r="I99" s="213">
        <v>1044</v>
      </c>
      <c r="J99" s="213">
        <f t="shared" si="7"/>
        <v>8352</v>
      </c>
    </row>
    <row r="100" spans="1:10" ht="17" thickBot="1" x14ac:dyDescent="0.25">
      <c r="A100" s="9" t="s">
        <v>1477</v>
      </c>
      <c r="B100" s="76" t="s">
        <v>956</v>
      </c>
      <c r="C100" s="9" t="s">
        <v>9</v>
      </c>
      <c r="D100" s="9" t="s">
        <v>1478</v>
      </c>
      <c r="E100" s="9">
        <v>10</v>
      </c>
      <c r="F100" s="10">
        <v>2436</v>
      </c>
      <c r="G100" s="10">
        <f t="shared" si="6"/>
        <v>24360</v>
      </c>
      <c r="H100" s="35">
        <v>3</v>
      </c>
      <c r="I100" s="213">
        <v>2436</v>
      </c>
      <c r="J100" s="213">
        <f t="shared" si="7"/>
        <v>7308</v>
      </c>
    </row>
    <row r="101" spans="1:10" ht="17" thickBot="1" x14ac:dyDescent="0.25">
      <c r="A101" s="9" t="s">
        <v>464</v>
      </c>
      <c r="B101" s="76" t="s">
        <v>896</v>
      </c>
      <c r="C101" s="9" t="s">
        <v>9</v>
      </c>
      <c r="D101" s="9" t="s">
        <v>1479</v>
      </c>
      <c r="E101" s="9">
        <v>55</v>
      </c>
      <c r="F101" s="10">
        <v>5568</v>
      </c>
      <c r="G101" s="10">
        <f t="shared" si="6"/>
        <v>306240</v>
      </c>
      <c r="H101" s="18"/>
      <c r="I101" s="19">
        <v>5568</v>
      </c>
      <c r="J101" s="19">
        <f t="shared" si="7"/>
        <v>0</v>
      </c>
    </row>
    <row r="102" spans="1:10" ht="17" thickBot="1" x14ac:dyDescent="0.25">
      <c r="A102" s="9" t="s">
        <v>1480</v>
      </c>
      <c r="B102" s="76" t="s">
        <v>910</v>
      </c>
      <c r="C102" s="9" t="s">
        <v>9</v>
      </c>
      <c r="D102" s="9" t="s">
        <v>1481</v>
      </c>
      <c r="E102" s="9">
        <v>10</v>
      </c>
      <c r="F102" s="10">
        <v>14268</v>
      </c>
      <c r="G102" s="10">
        <f t="shared" si="6"/>
        <v>142680</v>
      </c>
      <c r="H102" s="35">
        <v>3</v>
      </c>
      <c r="I102" s="213">
        <v>14268</v>
      </c>
      <c r="J102" s="213">
        <f t="shared" si="7"/>
        <v>42804</v>
      </c>
    </row>
    <row r="103" spans="1:10" ht="17" thickBot="1" x14ac:dyDescent="0.25">
      <c r="A103" s="9" t="s">
        <v>435</v>
      </c>
      <c r="B103" s="76" t="s">
        <v>971</v>
      </c>
      <c r="C103" s="9" t="s">
        <v>9</v>
      </c>
      <c r="D103" s="9" t="s">
        <v>1482</v>
      </c>
      <c r="E103" s="9">
        <v>10</v>
      </c>
      <c r="F103" s="10">
        <v>8700</v>
      </c>
      <c r="G103" s="10">
        <f t="shared" si="6"/>
        <v>87000</v>
      </c>
      <c r="H103" s="35">
        <v>3</v>
      </c>
      <c r="I103" s="213">
        <v>8700</v>
      </c>
      <c r="J103" s="213">
        <f t="shared" si="7"/>
        <v>26100</v>
      </c>
    </row>
    <row r="104" spans="1:10" ht="17" thickBot="1" x14ac:dyDescent="0.25">
      <c r="A104" s="9" t="s">
        <v>150</v>
      </c>
      <c r="B104" s="76" t="s">
        <v>862</v>
      </c>
      <c r="C104" s="9" t="s">
        <v>9</v>
      </c>
      <c r="D104" s="9" t="s">
        <v>1483</v>
      </c>
      <c r="E104" s="9">
        <v>25</v>
      </c>
      <c r="F104" s="10">
        <v>5800</v>
      </c>
      <c r="G104" s="10">
        <f t="shared" si="6"/>
        <v>145000</v>
      </c>
      <c r="H104" s="35">
        <v>6</v>
      </c>
      <c r="I104" s="213">
        <v>5800</v>
      </c>
      <c r="J104" s="213">
        <f t="shared" si="7"/>
        <v>34800</v>
      </c>
    </row>
    <row r="105" spans="1:10" ht="17" thickBot="1" x14ac:dyDescent="0.25">
      <c r="A105" s="9" t="s">
        <v>1477</v>
      </c>
      <c r="B105" s="76" t="s">
        <v>887</v>
      </c>
      <c r="C105" s="9" t="s">
        <v>9</v>
      </c>
      <c r="D105" s="9" t="s">
        <v>1484</v>
      </c>
      <c r="E105" s="9">
        <v>10</v>
      </c>
      <c r="F105" s="10">
        <v>17400</v>
      </c>
      <c r="G105" s="10">
        <f t="shared" si="6"/>
        <v>174000</v>
      </c>
      <c r="H105" s="35">
        <v>2</v>
      </c>
      <c r="I105" s="213">
        <v>17400</v>
      </c>
      <c r="J105" s="213">
        <f t="shared" si="7"/>
        <v>34800</v>
      </c>
    </row>
    <row r="106" spans="1:10" ht="17" thickBot="1" x14ac:dyDescent="0.25">
      <c r="A106" s="9" t="s">
        <v>1460</v>
      </c>
      <c r="B106" s="76" t="s">
        <v>1334</v>
      </c>
      <c r="C106" s="9" t="s">
        <v>9</v>
      </c>
      <c r="D106" s="9" t="s">
        <v>1485</v>
      </c>
      <c r="E106" s="9">
        <v>35</v>
      </c>
      <c r="F106" s="10">
        <v>10556</v>
      </c>
      <c r="G106" s="10">
        <f t="shared" si="6"/>
        <v>369460</v>
      </c>
      <c r="H106" s="35">
        <v>9</v>
      </c>
      <c r="I106" s="213">
        <v>10556</v>
      </c>
      <c r="J106" s="213">
        <f t="shared" si="7"/>
        <v>95004</v>
      </c>
    </row>
    <row r="107" spans="1:10" ht="17" thickBot="1" x14ac:dyDescent="0.25">
      <c r="A107" s="9" t="s">
        <v>447</v>
      </c>
      <c r="B107" s="76" t="s">
        <v>981</v>
      </c>
      <c r="C107" s="9" t="s">
        <v>9</v>
      </c>
      <c r="D107" s="9" t="s">
        <v>1486</v>
      </c>
      <c r="E107" s="9">
        <v>10</v>
      </c>
      <c r="F107" s="10">
        <v>6032</v>
      </c>
      <c r="G107" s="10">
        <f t="shared" si="6"/>
        <v>60320</v>
      </c>
      <c r="H107" s="35">
        <v>3</v>
      </c>
      <c r="I107" s="213">
        <v>6032</v>
      </c>
      <c r="J107" s="213">
        <f t="shared" si="7"/>
        <v>18096</v>
      </c>
    </row>
    <row r="108" spans="1:10" ht="17" thickBot="1" x14ac:dyDescent="0.25">
      <c r="A108" s="9" t="s">
        <v>435</v>
      </c>
      <c r="B108" s="76" t="s">
        <v>1576</v>
      </c>
      <c r="C108" s="9" t="s">
        <v>9</v>
      </c>
      <c r="D108" s="9" t="s">
        <v>1487</v>
      </c>
      <c r="E108" s="9">
        <v>15</v>
      </c>
      <c r="F108" s="10">
        <v>5568</v>
      </c>
      <c r="G108" s="10">
        <f t="shared" si="6"/>
        <v>83520</v>
      </c>
      <c r="H108" s="18"/>
      <c r="I108" s="19">
        <v>5568</v>
      </c>
      <c r="J108" s="19">
        <f t="shared" si="7"/>
        <v>0</v>
      </c>
    </row>
    <row r="109" spans="1:10" ht="17" thickBot="1" x14ac:dyDescent="0.25">
      <c r="A109" s="9" t="s">
        <v>51</v>
      </c>
      <c r="B109" s="76" t="s">
        <v>1577</v>
      </c>
      <c r="C109" s="9" t="s">
        <v>9</v>
      </c>
      <c r="D109" s="9" t="s">
        <v>1488</v>
      </c>
      <c r="E109" s="9">
        <v>15</v>
      </c>
      <c r="F109" s="10">
        <v>4756</v>
      </c>
      <c r="G109" s="10">
        <f t="shared" si="6"/>
        <v>71340</v>
      </c>
      <c r="H109" s="35">
        <v>4</v>
      </c>
      <c r="I109" s="213">
        <v>4756</v>
      </c>
      <c r="J109" s="213">
        <f t="shared" si="7"/>
        <v>19024</v>
      </c>
    </row>
    <row r="110" spans="1:10" ht="17" thickBot="1" x14ac:dyDescent="0.25">
      <c r="A110" s="9" t="s">
        <v>162</v>
      </c>
      <c r="B110" s="76" t="s">
        <v>952</v>
      </c>
      <c r="C110" s="9" t="s">
        <v>9</v>
      </c>
      <c r="D110" s="9" t="s">
        <v>1489</v>
      </c>
      <c r="E110" s="9">
        <v>70</v>
      </c>
      <c r="F110" s="10">
        <v>4292</v>
      </c>
      <c r="G110" s="10">
        <f t="shared" si="6"/>
        <v>300440</v>
      </c>
      <c r="H110" s="35">
        <v>6</v>
      </c>
      <c r="I110" s="213">
        <v>4292</v>
      </c>
      <c r="J110" s="213">
        <f t="shared" si="7"/>
        <v>25752</v>
      </c>
    </row>
    <row r="111" spans="1:10" ht="17" thickBot="1" x14ac:dyDescent="0.25">
      <c r="A111" s="9" t="s">
        <v>84</v>
      </c>
      <c r="B111" s="76" t="s">
        <v>1570</v>
      </c>
      <c r="C111" s="9" t="s">
        <v>9</v>
      </c>
      <c r="D111" s="9" t="s">
        <v>1490</v>
      </c>
      <c r="E111" s="9">
        <v>12</v>
      </c>
      <c r="F111" s="10">
        <v>9048</v>
      </c>
      <c r="G111" s="10">
        <f t="shared" si="6"/>
        <v>108576</v>
      </c>
      <c r="H111" s="18"/>
      <c r="I111" s="19">
        <v>9048</v>
      </c>
      <c r="J111" s="19">
        <f t="shared" si="7"/>
        <v>0</v>
      </c>
    </row>
    <row r="112" spans="1:10" ht="17" thickBot="1" x14ac:dyDescent="0.25">
      <c r="A112" s="9" t="s">
        <v>1468</v>
      </c>
      <c r="B112" s="76" t="s">
        <v>837</v>
      </c>
      <c r="C112" s="9" t="s">
        <v>9</v>
      </c>
      <c r="D112" s="9" t="s">
        <v>1491</v>
      </c>
      <c r="E112" s="9">
        <v>20</v>
      </c>
      <c r="F112" s="10">
        <v>7192</v>
      </c>
      <c r="G112" s="10">
        <f t="shared" si="6"/>
        <v>143840</v>
      </c>
      <c r="H112" s="35">
        <v>5</v>
      </c>
      <c r="I112" s="213">
        <v>7192</v>
      </c>
      <c r="J112" s="213">
        <f t="shared" si="7"/>
        <v>35960</v>
      </c>
    </row>
    <row r="113" spans="1:10" ht="17" thickBot="1" x14ac:dyDescent="0.25">
      <c r="A113" s="9" t="s">
        <v>325</v>
      </c>
      <c r="B113" s="76" t="s">
        <v>984</v>
      </c>
      <c r="C113" s="9" t="s">
        <v>9</v>
      </c>
      <c r="D113" s="9" t="s">
        <v>1492</v>
      </c>
      <c r="E113" s="9">
        <v>20</v>
      </c>
      <c r="F113" s="10">
        <v>3132</v>
      </c>
      <c r="G113" s="10">
        <f t="shared" si="6"/>
        <v>62640</v>
      </c>
      <c r="H113" s="35">
        <v>3</v>
      </c>
      <c r="I113" s="213">
        <v>3132</v>
      </c>
      <c r="J113" s="213">
        <f t="shared" si="7"/>
        <v>9396</v>
      </c>
    </row>
    <row r="114" spans="1:10" ht="17" thickBot="1" x14ac:dyDescent="0.25">
      <c r="A114" s="9" t="s">
        <v>479</v>
      </c>
      <c r="B114" s="76" t="s">
        <v>1578</v>
      </c>
      <c r="C114" s="9" t="s">
        <v>9</v>
      </c>
      <c r="D114" s="9" t="s">
        <v>1493</v>
      </c>
      <c r="E114" s="9">
        <v>5</v>
      </c>
      <c r="F114" s="10">
        <v>8236</v>
      </c>
      <c r="G114" s="10">
        <f t="shared" si="6"/>
        <v>41180</v>
      </c>
      <c r="H114" s="18"/>
      <c r="I114" s="19">
        <v>8236</v>
      </c>
      <c r="J114" s="19">
        <f t="shared" si="7"/>
        <v>0</v>
      </c>
    </row>
    <row r="115" spans="1:10" ht="17" thickBot="1" x14ac:dyDescent="0.25">
      <c r="A115" s="9" t="s">
        <v>1494</v>
      </c>
      <c r="B115" s="76" t="s">
        <v>921</v>
      </c>
      <c r="C115" s="9" t="s">
        <v>9</v>
      </c>
      <c r="D115" s="9" t="s">
        <v>1495</v>
      </c>
      <c r="E115" s="9">
        <v>60</v>
      </c>
      <c r="F115" s="10">
        <v>16820</v>
      </c>
      <c r="G115" s="10">
        <f t="shared" si="6"/>
        <v>1009200</v>
      </c>
      <c r="H115" s="35">
        <v>15</v>
      </c>
      <c r="I115" s="213">
        <v>16820</v>
      </c>
      <c r="J115" s="213">
        <f t="shared" si="7"/>
        <v>252300</v>
      </c>
    </row>
    <row r="116" spans="1:10" ht="17" thickBot="1" x14ac:dyDescent="0.25">
      <c r="A116" s="9" t="s">
        <v>1496</v>
      </c>
      <c r="B116" s="76" t="s">
        <v>1336</v>
      </c>
      <c r="C116" s="9" t="s">
        <v>9</v>
      </c>
      <c r="D116" s="9" t="s">
        <v>1497</v>
      </c>
      <c r="E116" s="9">
        <v>5</v>
      </c>
      <c r="F116" s="10">
        <v>8700</v>
      </c>
      <c r="G116" s="10">
        <f t="shared" ref="G116:G138" si="8">E116*F116</f>
        <v>43500</v>
      </c>
      <c r="H116" s="35">
        <v>1</v>
      </c>
      <c r="I116" s="213">
        <v>8700</v>
      </c>
      <c r="J116" s="213">
        <f t="shared" ref="J116:J138" si="9">H116*I116</f>
        <v>8700</v>
      </c>
    </row>
    <row r="117" spans="1:10" ht="17" thickBot="1" x14ac:dyDescent="0.25">
      <c r="A117" s="9" t="s">
        <v>1498</v>
      </c>
      <c r="B117" s="76" t="s">
        <v>836</v>
      </c>
      <c r="C117" s="9" t="s">
        <v>9</v>
      </c>
      <c r="D117" s="9" t="s">
        <v>1499</v>
      </c>
      <c r="E117" s="9">
        <v>30</v>
      </c>
      <c r="F117" s="10">
        <v>3248</v>
      </c>
      <c r="G117" s="10">
        <f t="shared" si="8"/>
        <v>97440</v>
      </c>
      <c r="H117" s="35">
        <v>8</v>
      </c>
      <c r="I117" s="213">
        <v>3248</v>
      </c>
      <c r="J117" s="213">
        <f t="shared" si="9"/>
        <v>25984</v>
      </c>
    </row>
    <row r="118" spans="1:10" ht="17" thickBot="1" x14ac:dyDescent="0.25">
      <c r="A118" s="9" t="s">
        <v>63</v>
      </c>
      <c r="B118" s="76" t="s">
        <v>1579</v>
      </c>
      <c r="C118" s="9" t="s">
        <v>9</v>
      </c>
      <c r="D118" s="23" t="s">
        <v>1500</v>
      </c>
      <c r="E118" s="9">
        <v>10</v>
      </c>
      <c r="F118" s="10">
        <v>11020</v>
      </c>
      <c r="G118" s="10">
        <f t="shared" si="8"/>
        <v>110200</v>
      </c>
      <c r="H118" s="18">
        <v>5</v>
      </c>
      <c r="I118" s="19">
        <v>11020</v>
      </c>
      <c r="J118" s="19">
        <f t="shared" si="9"/>
        <v>55100</v>
      </c>
    </row>
    <row r="119" spans="1:10" ht="17" thickBot="1" x14ac:dyDescent="0.25">
      <c r="A119" s="9" t="s">
        <v>642</v>
      </c>
      <c r="B119" s="76" t="s">
        <v>1332</v>
      </c>
      <c r="C119" s="9" t="s">
        <v>9</v>
      </c>
      <c r="D119" s="9" t="s">
        <v>1501</v>
      </c>
      <c r="E119" s="9">
        <v>80</v>
      </c>
      <c r="F119" s="10">
        <v>3364</v>
      </c>
      <c r="G119" s="10">
        <f t="shared" si="8"/>
        <v>269120</v>
      </c>
      <c r="H119" s="35">
        <v>20</v>
      </c>
      <c r="I119" s="213">
        <v>3364</v>
      </c>
      <c r="J119" s="213">
        <f t="shared" si="9"/>
        <v>67280</v>
      </c>
    </row>
    <row r="120" spans="1:10" ht="17" thickBot="1" x14ac:dyDescent="0.25">
      <c r="A120" s="9" t="s">
        <v>162</v>
      </c>
      <c r="B120" s="76" t="s">
        <v>1346</v>
      </c>
      <c r="C120" s="9" t="s">
        <v>9</v>
      </c>
      <c r="D120" s="9" t="s">
        <v>1502</v>
      </c>
      <c r="E120" s="9">
        <v>10</v>
      </c>
      <c r="F120" s="10">
        <v>4408</v>
      </c>
      <c r="G120" s="10">
        <f t="shared" si="8"/>
        <v>44080</v>
      </c>
      <c r="H120" s="35">
        <v>3</v>
      </c>
      <c r="I120" s="213">
        <v>4408</v>
      </c>
      <c r="J120" s="213">
        <f t="shared" si="9"/>
        <v>13224</v>
      </c>
    </row>
    <row r="121" spans="1:10" ht="17" thickBot="1" x14ac:dyDescent="0.25">
      <c r="A121" s="9" t="s">
        <v>435</v>
      </c>
      <c r="B121" s="76" t="s">
        <v>909</v>
      </c>
      <c r="C121" s="9" t="s">
        <v>9</v>
      </c>
      <c r="D121" s="9" t="s">
        <v>1503</v>
      </c>
      <c r="E121" s="9">
        <v>3</v>
      </c>
      <c r="F121" s="10">
        <v>11368</v>
      </c>
      <c r="G121" s="10">
        <f t="shared" si="8"/>
        <v>34104</v>
      </c>
      <c r="H121" s="35">
        <v>1</v>
      </c>
      <c r="I121" s="213">
        <v>11368</v>
      </c>
      <c r="J121" s="213">
        <f t="shared" si="9"/>
        <v>11368</v>
      </c>
    </row>
    <row r="122" spans="1:10" ht="17" thickBot="1" x14ac:dyDescent="0.25">
      <c r="A122" s="9" t="s">
        <v>1244</v>
      </c>
      <c r="B122" s="76" t="s">
        <v>901</v>
      </c>
      <c r="C122" s="9" t="s">
        <v>9</v>
      </c>
      <c r="D122" s="9" t="s">
        <v>1504</v>
      </c>
      <c r="E122" s="9">
        <v>5</v>
      </c>
      <c r="F122" s="10">
        <v>8236</v>
      </c>
      <c r="G122" s="10">
        <f t="shared" si="8"/>
        <v>41180</v>
      </c>
      <c r="H122" s="35">
        <v>1</v>
      </c>
      <c r="I122" s="213">
        <v>8236</v>
      </c>
      <c r="J122" s="213">
        <f t="shared" si="9"/>
        <v>8236</v>
      </c>
    </row>
    <row r="123" spans="1:10" ht="17" thickBot="1" x14ac:dyDescent="0.25">
      <c r="A123" s="9" t="s">
        <v>1505</v>
      </c>
      <c r="B123" s="76" t="s">
        <v>885</v>
      </c>
      <c r="C123" s="9" t="s">
        <v>9</v>
      </c>
      <c r="D123" s="9" t="s">
        <v>1506</v>
      </c>
      <c r="E123" s="9">
        <v>50</v>
      </c>
      <c r="F123" s="10">
        <v>9396</v>
      </c>
      <c r="G123" s="10">
        <f t="shared" si="8"/>
        <v>469800</v>
      </c>
      <c r="H123" s="35">
        <v>12</v>
      </c>
      <c r="I123" s="213">
        <v>9396</v>
      </c>
      <c r="J123" s="213">
        <f t="shared" si="9"/>
        <v>112752</v>
      </c>
    </row>
    <row r="124" spans="1:10" ht="17" thickBot="1" x14ac:dyDescent="0.25">
      <c r="A124" s="9" t="s">
        <v>1507</v>
      </c>
      <c r="B124" s="76" t="s">
        <v>978</v>
      </c>
      <c r="C124" s="9" t="s">
        <v>9</v>
      </c>
      <c r="D124" s="9" t="s">
        <v>1508</v>
      </c>
      <c r="E124" s="9">
        <v>10</v>
      </c>
      <c r="F124" s="10">
        <v>2088</v>
      </c>
      <c r="G124" s="10">
        <f t="shared" si="8"/>
        <v>20880</v>
      </c>
      <c r="H124" s="18"/>
      <c r="I124" s="19">
        <v>2088</v>
      </c>
      <c r="J124" s="19">
        <f t="shared" si="9"/>
        <v>0</v>
      </c>
    </row>
    <row r="125" spans="1:10" ht="17" thickBot="1" x14ac:dyDescent="0.25">
      <c r="A125" s="9" t="s">
        <v>1477</v>
      </c>
      <c r="B125" s="76" t="s">
        <v>958</v>
      </c>
      <c r="C125" s="9" t="s">
        <v>9</v>
      </c>
      <c r="D125" s="9" t="s">
        <v>1509</v>
      </c>
      <c r="E125" s="9">
        <v>5</v>
      </c>
      <c r="F125" s="10">
        <v>4756</v>
      </c>
      <c r="G125" s="10">
        <f t="shared" si="8"/>
        <v>23780</v>
      </c>
      <c r="H125" s="18"/>
      <c r="I125" s="19">
        <v>4756</v>
      </c>
      <c r="J125" s="19">
        <f t="shared" si="9"/>
        <v>0</v>
      </c>
    </row>
    <row r="126" spans="1:10" ht="17" thickBot="1" x14ac:dyDescent="0.25">
      <c r="A126" s="9" t="s">
        <v>51</v>
      </c>
      <c r="B126" s="76" t="s">
        <v>950</v>
      </c>
      <c r="C126" s="9" t="s">
        <v>9</v>
      </c>
      <c r="D126" s="9" t="s">
        <v>1510</v>
      </c>
      <c r="E126" s="9">
        <v>55</v>
      </c>
      <c r="F126" s="10">
        <v>4640</v>
      </c>
      <c r="G126" s="10">
        <f t="shared" si="8"/>
        <v>255200</v>
      </c>
      <c r="H126" s="35">
        <v>15</v>
      </c>
      <c r="I126" s="213">
        <v>4640</v>
      </c>
      <c r="J126" s="213">
        <f t="shared" si="9"/>
        <v>69600</v>
      </c>
    </row>
    <row r="127" spans="1:10" ht="17" thickBot="1" x14ac:dyDescent="0.25">
      <c r="A127" s="9" t="s">
        <v>1511</v>
      </c>
      <c r="B127" s="76" t="s">
        <v>1580</v>
      </c>
      <c r="C127" s="9" t="s">
        <v>9</v>
      </c>
      <c r="D127" s="9" t="s">
        <v>1512</v>
      </c>
      <c r="E127" s="9">
        <v>10</v>
      </c>
      <c r="F127" s="10">
        <v>3248</v>
      </c>
      <c r="G127" s="10">
        <f t="shared" si="8"/>
        <v>32480</v>
      </c>
      <c r="H127" s="18"/>
      <c r="I127" s="19">
        <v>3248</v>
      </c>
      <c r="J127" s="19">
        <f t="shared" si="9"/>
        <v>0</v>
      </c>
    </row>
    <row r="128" spans="1:10" ht="17" thickBot="1" x14ac:dyDescent="0.25">
      <c r="A128" s="9" t="s">
        <v>150</v>
      </c>
      <c r="B128" s="76" t="s">
        <v>1581</v>
      </c>
      <c r="C128" s="9" t="s">
        <v>9</v>
      </c>
      <c r="D128" s="23" t="s">
        <v>1513</v>
      </c>
      <c r="E128" s="9">
        <v>10</v>
      </c>
      <c r="F128" s="10">
        <v>8236</v>
      </c>
      <c r="G128" s="10">
        <f t="shared" si="8"/>
        <v>82360</v>
      </c>
      <c r="H128" s="18"/>
      <c r="I128" s="19">
        <v>8236</v>
      </c>
      <c r="J128" s="19">
        <f t="shared" si="9"/>
        <v>0</v>
      </c>
    </row>
    <row r="129" spans="1:10" ht="17" thickBot="1" x14ac:dyDescent="0.25">
      <c r="A129" s="9" t="s">
        <v>1247</v>
      </c>
      <c r="B129" s="76" t="s">
        <v>1362</v>
      </c>
      <c r="C129" s="9" t="s">
        <v>9</v>
      </c>
      <c r="D129" s="9" t="s">
        <v>1514</v>
      </c>
      <c r="E129" s="9">
        <v>5</v>
      </c>
      <c r="F129" s="10">
        <v>9048</v>
      </c>
      <c r="G129" s="10">
        <f t="shared" si="8"/>
        <v>45240</v>
      </c>
      <c r="H129" s="35">
        <v>1</v>
      </c>
      <c r="I129" s="213">
        <v>9048</v>
      </c>
      <c r="J129" s="213">
        <f t="shared" si="9"/>
        <v>9048</v>
      </c>
    </row>
    <row r="130" spans="1:10" ht="17" thickBot="1" x14ac:dyDescent="0.25">
      <c r="A130" s="9" t="s">
        <v>59</v>
      </c>
      <c r="B130" s="76" t="s">
        <v>957</v>
      </c>
      <c r="C130" s="9" t="s">
        <v>9</v>
      </c>
      <c r="D130" s="9" t="s">
        <v>1515</v>
      </c>
      <c r="E130" s="9">
        <v>10</v>
      </c>
      <c r="F130" s="10">
        <v>5568</v>
      </c>
      <c r="G130" s="10">
        <f t="shared" si="8"/>
        <v>55680</v>
      </c>
      <c r="H130" s="18"/>
      <c r="I130" s="19">
        <v>5568</v>
      </c>
      <c r="J130" s="19">
        <f t="shared" si="9"/>
        <v>0</v>
      </c>
    </row>
    <row r="131" spans="1:10" ht="17" thickBot="1" x14ac:dyDescent="0.25">
      <c r="A131" s="9" t="s">
        <v>63</v>
      </c>
      <c r="B131" s="76" t="s">
        <v>1579</v>
      </c>
      <c r="C131" s="9" t="s">
        <v>9</v>
      </c>
      <c r="D131" s="179" t="s">
        <v>1516</v>
      </c>
      <c r="E131" s="9">
        <v>8</v>
      </c>
      <c r="F131" s="10">
        <v>11368</v>
      </c>
      <c r="G131" s="10">
        <f t="shared" si="8"/>
        <v>90944</v>
      </c>
      <c r="H131" s="18"/>
      <c r="I131" s="19">
        <v>11368</v>
      </c>
      <c r="J131" s="19">
        <f t="shared" si="9"/>
        <v>0</v>
      </c>
    </row>
    <row r="132" spans="1:10" ht="17" thickBot="1" x14ac:dyDescent="0.25">
      <c r="A132" s="9" t="s">
        <v>59</v>
      </c>
      <c r="B132" s="77" t="s">
        <v>955</v>
      </c>
      <c r="C132" s="9" t="s">
        <v>9</v>
      </c>
      <c r="D132" s="9" t="s">
        <v>1517</v>
      </c>
      <c r="E132" s="9">
        <v>120</v>
      </c>
      <c r="F132" s="10">
        <v>1392</v>
      </c>
      <c r="G132" s="10">
        <f t="shared" si="8"/>
        <v>167040</v>
      </c>
      <c r="H132" s="35">
        <v>30</v>
      </c>
      <c r="I132" s="213">
        <v>1392</v>
      </c>
      <c r="J132" s="213">
        <f t="shared" si="9"/>
        <v>41760</v>
      </c>
    </row>
    <row r="133" spans="1:10" ht="17" thickBot="1" x14ac:dyDescent="0.25">
      <c r="A133" s="9" t="s">
        <v>158</v>
      </c>
      <c r="B133" s="76" t="s">
        <v>1582</v>
      </c>
      <c r="C133" s="9" t="s">
        <v>9</v>
      </c>
      <c r="D133" s="9" t="s">
        <v>1518</v>
      </c>
      <c r="E133" s="9">
        <v>3</v>
      </c>
      <c r="F133" s="10">
        <v>6264</v>
      </c>
      <c r="G133" s="10">
        <f t="shared" si="8"/>
        <v>18792</v>
      </c>
      <c r="H133" s="18"/>
      <c r="I133" s="19">
        <v>6264</v>
      </c>
      <c r="J133" s="19">
        <f t="shared" si="9"/>
        <v>0</v>
      </c>
    </row>
    <row r="134" spans="1:10" ht="17" thickBot="1" x14ac:dyDescent="0.25">
      <c r="A134" s="9" t="s">
        <v>1475</v>
      </c>
      <c r="B134" s="76" t="s">
        <v>960</v>
      </c>
      <c r="C134" s="9" t="s">
        <v>9</v>
      </c>
      <c r="D134" s="9" t="s">
        <v>1519</v>
      </c>
      <c r="E134" s="9">
        <v>10</v>
      </c>
      <c r="F134" s="10">
        <v>4524</v>
      </c>
      <c r="G134" s="10">
        <f t="shared" si="8"/>
        <v>45240</v>
      </c>
      <c r="H134" s="35">
        <v>3</v>
      </c>
      <c r="I134" s="213">
        <v>4524</v>
      </c>
      <c r="J134" s="213">
        <f t="shared" si="9"/>
        <v>13572</v>
      </c>
    </row>
    <row r="135" spans="1:10" ht="17" thickBot="1" x14ac:dyDescent="0.25">
      <c r="A135" s="9" t="s">
        <v>435</v>
      </c>
      <c r="B135" s="76" t="s">
        <v>947</v>
      </c>
      <c r="C135" s="9" t="s">
        <v>9</v>
      </c>
      <c r="D135" s="9" t="s">
        <v>1520</v>
      </c>
      <c r="E135" s="9">
        <v>10</v>
      </c>
      <c r="F135" s="10">
        <v>3248</v>
      </c>
      <c r="G135" s="10">
        <f t="shared" si="8"/>
        <v>32480</v>
      </c>
      <c r="H135" s="35">
        <v>3</v>
      </c>
      <c r="I135" s="213">
        <v>3248</v>
      </c>
      <c r="J135" s="213">
        <f t="shared" si="9"/>
        <v>9744</v>
      </c>
    </row>
    <row r="136" spans="1:10" ht="17" thickBot="1" x14ac:dyDescent="0.25">
      <c r="A136" s="9" t="s">
        <v>1498</v>
      </c>
      <c r="B136" s="76" t="s">
        <v>847</v>
      </c>
      <c r="C136" s="9" t="s">
        <v>9</v>
      </c>
      <c r="D136" s="9" t="s">
        <v>1521</v>
      </c>
      <c r="E136" s="9">
        <v>3</v>
      </c>
      <c r="F136" s="10">
        <v>20880</v>
      </c>
      <c r="G136" s="10">
        <f t="shared" si="8"/>
        <v>62640</v>
      </c>
      <c r="H136" s="35">
        <v>1</v>
      </c>
      <c r="I136" s="213">
        <v>20880</v>
      </c>
      <c r="J136" s="213">
        <f t="shared" si="9"/>
        <v>20880</v>
      </c>
    </row>
    <row r="137" spans="1:10" ht="17" thickBot="1" x14ac:dyDescent="0.25">
      <c r="A137" s="9" t="s">
        <v>642</v>
      </c>
      <c r="B137" s="76" t="s">
        <v>833</v>
      </c>
      <c r="C137" s="9" t="s">
        <v>9</v>
      </c>
      <c r="D137" s="23" t="s">
        <v>1522</v>
      </c>
      <c r="E137" s="9">
        <v>10</v>
      </c>
      <c r="F137" s="10">
        <v>1972</v>
      </c>
      <c r="G137" s="10">
        <f t="shared" si="8"/>
        <v>19720</v>
      </c>
      <c r="H137" s="18">
        <v>3</v>
      </c>
      <c r="I137" s="19">
        <v>1972</v>
      </c>
      <c r="J137" s="19">
        <f t="shared" si="9"/>
        <v>5916</v>
      </c>
    </row>
    <row r="138" spans="1:10" ht="17" thickBot="1" x14ac:dyDescent="0.25">
      <c r="A138" s="9" t="s">
        <v>1498</v>
      </c>
      <c r="B138" s="76" t="s">
        <v>925</v>
      </c>
      <c r="C138" s="9" t="s">
        <v>9</v>
      </c>
      <c r="D138" s="9" t="s">
        <v>1523</v>
      </c>
      <c r="E138" s="9">
        <v>70</v>
      </c>
      <c r="F138" s="10">
        <v>20184</v>
      </c>
      <c r="G138" s="10">
        <f t="shared" si="8"/>
        <v>1412880</v>
      </c>
      <c r="H138" s="35">
        <v>18</v>
      </c>
      <c r="I138" s="213">
        <v>20184</v>
      </c>
      <c r="J138" s="213">
        <f t="shared" si="9"/>
        <v>363312</v>
      </c>
    </row>
    <row r="139" spans="1:10" ht="17" thickBot="1" x14ac:dyDescent="0.25">
      <c r="B139" s="2"/>
      <c r="F139" s="3"/>
      <c r="G139" s="12">
        <f>SUM(G84:G138)</f>
        <v>9295776</v>
      </c>
      <c r="I139" s="3"/>
      <c r="J139" s="34">
        <f>SUM(J84:J138)</f>
        <v>2060856</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0E1DD-E2E0-C645-90C0-FECE01F39D5D}">
  <dimension ref="A2:V179"/>
  <sheetViews>
    <sheetView topLeftCell="A61" workbookViewId="0">
      <selection activeCell="D102" sqref="D102"/>
    </sheetView>
  </sheetViews>
  <sheetFormatPr baseColWidth="10" defaultRowHeight="16" x14ac:dyDescent="0.2"/>
  <cols>
    <col min="1" max="1" width="79.1640625" style="4" customWidth="1"/>
    <col min="2" max="2" width="24" style="79" customWidth="1"/>
    <col min="3" max="3" width="11.5" style="2" bestFit="1" customWidth="1"/>
    <col min="4" max="4" width="59" style="2" customWidth="1"/>
    <col min="5" max="5" width="11.5" style="2" bestFit="1" customWidth="1"/>
    <col min="6" max="6" width="13.83203125" style="3" customWidth="1"/>
    <col min="7" max="7" width="15.5" style="2" customWidth="1"/>
    <col min="8" max="8" width="10.83203125" style="2"/>
    <col min="9" max="9" width="15.6640625" style="2" bestFit="1" customWidth="1"/>
    <col min="10" max="10" width="16.6640625" style="2" customWidth="1"/>
    <col min="11" max="11" width="10.83203125" style="2" customWidth="1"/>
    <col min="12" max="12" width="13.5" style="2" customWidth="1"/>
    <col min="13" max="13" width="14.83203125" style="2" customWidth="1"/>
    <col min="14" max="15" width="10.83203125" style="2"/>
    <col min="16" max="16" width="16.33203125" style="2" customWidth="1"/>
    <col min="17" max="18" width="10.83203125" style="2"/>
    <col min="19" max="19" width="14.33203125" style="2" customWidth="1"/>
    <col min="20" max="21" width="10.83203125" style="2"/>
    <col min="22" max="22" width="14.33203125" style="2" customWidth="1"/>
    <col min="23" max="16384" width="10.83203125" style="2"/>
  </cols>
  <sheetData>
    <row r="2" spans="1:22" ht="20" thickBot="1" x14ac:dyDescent="0.25">
      <c r="A2" s="6" t="s">
        <v>320</v>
      </c>
      <c r="B2" s="82"/>
      <c r="C2" s="2" t="s">
        <v>42</v>
      </c>
      <c r="D2" s="2" t="s">
        <v>43</v>
      </c>
    </row>
    <row r="3" spans="1:22" ht="18" thickBot="1" x14ac:dyDescent="0.25">
      <c r="A3" s="8" t="s">
        <v>45</v>
      </c>
      <c r="B3" s="75" t="s">
        <v>918</v>
      </c>
      <c r="C3" s="9" t="s">
        <v>4</v>
      </c>
      <c r="D3" s="9" t="s">
        <v>319</v>
      </c>
      <c r="E3" s="9">
        <v>96</v>
      </c>
      <c r="F3" s="10">
        <v>8816</v>
      </c>
      <c r="G3" s="15">
        <f>F3*E3</f>
        <v>846336</v>
      </c>
    </row>
    <row r="5" spans="1:22" ht="20" thickBot="1" x14ac:dyDescent="0.25">
      <c r="A5" s="6" t="s">
        <v>2302</v>
      </c>
    </row>
    <row r="6" spans="1:22" ht="18" thickBot="1" x14ac:dyDescent="0.25">
      <c r="A6" s="8" t="s">
        <v>2300</v>
      </c>
      <c r="B6" s="75"/>
      <c r="C6" s="9" t="s">
        <v>36</v>
      </c>
      <c r="D6" s="9" t="s">
        <v>2301</v>
      </c>
      <c r="E6" s="9">
        <v>36</v>
      </c>
      <c r="F6" s="10">
        <v>13496.6</v>
      </c>
      <c r="G6" s="15">
        <f>F6*E6</f>
        <v>485877.60000000003</v>
      </c>
    </row>
    <row r="8" spans="1:22" ht="19" thickBot="1" x14ac:dyDescent="0.25">
      <c r="A8" s="21" t="s">
        <v>221</v>
      </c>
      <c r="B8" s="86"/>
      <c r="C8" s="2" t="s">
        <v>42</v>
      </c>
      <c r="D8" s="2" t="s">
        <v>43</v>
      </c>
      <c r="N8" s="284">
        <v>46192</v>
      </c>
    </row>
    <row r="9" spans="1:22" ht="18" thickBot="1" x14ac:dyDescent="0.25">
      <c r="A9" s="8" t="s">
        <v>140</v>
      </c>
      <c r="B9" s="75" t="s">
        <v>919</v>
      </c>
      <c r="C9" s="9" t="s">
        <v>36</v>
      </c>
      <c r="D9" s="9" t="s">
        <v>203</v>
      </c>
      <c r="E9" s="9">
        <v>348</v>
      </c>
      <c r="F9" s="10">
        <v>7772</v>
      </c>
      <c r="G9" s="14">
        <f>F9*E9</f>
        <v>2704656</v>
      </c>
      <c r="H9" s="23">
        <v>88</v>
      </c>
      <c r="I9" s="24">
        <v>7772</v>
      </c>
      <c r="J9" s="25">
        <f>I9*H9</f>
        <v>683936</v>
      </c>
      <c r="K9" s="92">
        <v>174</v>
      </c>
      <c r="L9" s="93">
        <v>7772</v>
      </c>
      <c r="M9" s="108">
        <f>L9*K9</f>
        <v>1352328</v>
      </c>
      <c r="N9" s="23"/>
      <c r="O9" s="24">
        <v>7772</v>
      </c>
      <c r="P9" s="25">
        <f>O9*N9</f>
        <v>0</v>
      </c>
    </row>
    <row r="10" spans="1:22" ht="18" thickBot="1" x14ac:dyDescent="0.25">
      <c r="A10" s="8" t="s">
        <v>200</v>
      </c>
      <c r="B10" s="75" t="s">
        <v>920</v>
      </c>
      <c r="C10" s="9" t="s">
        <v>36</v>
      </c>
      <c r="D10" s="9" t="s">
        <v>204</v>
      </c>
      <c r="E10" s="9">
        <v>168</v>
      </c>
      <c r="F10" s="10">
        <v>15080</v>
      </c>
      <c r="G10" s="14">
        <f>F10*E10</f>
        <v>2533440</v>
      </c>
      <c r="H10" s="23">
        <v>42</v>
      </c>
      <c r="I10" s="24">
        <v>15080</v>
      </c>
      <c r="J10" s="25">
        <f>I10*H10</f>
        <v>633360</v>
      </c>
      <c r="K10" s="92"/>
      <c r="L10" s="93">
        <v>15080</v>
      </c>
      <c r="M10" s="108">
        <f>L10*K10</f>
        <v>0</v>
      </c>
      <c r="N10" s="23">
        <v>42</v>
      </c>
      <c r="O10" s="24">
        <v>15080</v>
      </c>
      <c r="P10" s="25">
        <f>O10*N10</f>
        <v>633360</v>
      </c>
    </row>
    <row r="11" spans="1:22" ht="18" thickBot="1" x14ac:dyDescent="0.25">
      <c r="A11" s="8" t="s">
        <v>2046</v>
      </c>
      <c r="B11" s="75"/>
      <c r="C11" s="9" t="s">
        <v>4</v>
      </c>
      <c r="D11" s="9" t="s">
        <v>205</v>
      </c>
      <c r="E11" s="9">
        <v>60</v>
      </c>
      <c r="F11" s="10">
        <v>7540</v>
      </c>
      <c r="G11" s="14">
        <f>F11*E11</f>
        <v>452400</v>
      </c>
      <c r="H11" s="23">
        <v>15</v>
      </c>
      <c r="I11" s="24">
        <v>7540</v>
      </c>
      <c r="J11" s="25">
        <f>I11*H11</f>
        <v>113100</v>
      </c>
      <c r="K11" s="92">
        <v>30</v>
      </c>
      <c r="L11" s="93">
        <v>7540</v>
      </c>
      <c r="M11" s="108">
        <f>L11*K11</f>
        <v>226200</v>
      </c>
      <c r="N11" s="23"/>
      <c r="O11" s="24">
        <v>7540</v>
      </c>
      <c r="P11" s="25">
        <f>O11*N11</f>
        <v>0</v>
      </c>
    </row>
    <row r="12" spans="1:22" ht="17" thickBot="1" x14ac:dyDescent="0.25">
      <c r="G12" s="15">
        <f>G11+G10+G9</f>
        <v>5690496</v>
      </c>
      <c r="I12" s="3"/>
      <c r="J12" s="22">
        <f>J11+J10+J9</f>
        <v>1430396</v>
      </c>
      <c r="L12" s="3"/>
      <c r="M12" s="109">
        <f>M11+M10+M9</f>
        <v>1578528</v>
      </c>
      <c r="O12" s="3"/>
      <c r="P12" s="22">
        <f>P11+P10+P9</f>
        <v>633360</v>
      </c>
    </row>
    <row r="14" spans="1:22" ht="20" thickBot="1" x14ac:dyDescent="0.25">
      <c r="A14" s="6" t="s">
        <v>44</v>
      </c>
      <c r="B14" s="82"/>
      <c r="C14" s="2" t="s">
        <v>42</v>
      </c>
      <c r="D14" s="2" t="s">
        <v>43</v>
      </c>
      <c r="T14" s="253">
        <v>46176</v>
      </c>
    </row>
    <row r="15" spans="1:22" ht="18" thickBot="1" x14ac:dyDescent="0.25">
      <c r="A15" s="8" t="s">
        <v>47</v>
      </c>
      <c r="B15" s="75" t="s">
        <v>896</v>
      </c>
      <c r="C15" s="9" t="s">
        <v>4</v>
      </c>
      <c r="D15" s="9" t="s">
        <v>52</v>
      </c>
      <c r="E15" s="9">
        <v>48</v>
      </c>
      <c r="F15" s="10">
        <v>7308</v>
      </c>
      <c r="G15" s="14">
        <f>E15*F15</f>
        <v>350784</v>
      </c>
      <c r="H15" s="23">
        <v>12</v>
      </c>
      <c r="I15" s="24">
        <v>7308</v>
      </c>
      <c r="J15" s="25">
        <f>H15*I15</f>
        <v>87696</v>
      </c>
      <c r="K15" s="92"/>
      <c r="L15" s="93">
        <v>7308</v>
      </c>
      <c r="M15" s="108">
        <f>K15*L15</f>
        <v>0</v>
      </c>
      <c r="N15" s="23"/>
      <c r="O15" s="24">
        <v>7308</v>
      </c>
      <c r="P15" s="25">
        <f>N15*O15</f>
        <v>0</v>
      </c>
      <c r="Q15" s="92"/>
      <c r="R15" s="93">
        <v>7308</v>
      </c>
      <c r="S15" s="108">
        <f>Q15*R15</f>
        <v>0</v>
      </c>
      <c r="T15" s="23"/>
      <c r="U15" s="24">
        <v>7308</v>
      </c>
      <c r="V15" s="25">
        <f>T15*U15</f>
        <v>0</v>
      </c>
    </row>
    <row r="16" spans="1:22" ht="18" thickBot="1" x14ac:dyDescent="0.25">
      <c r="A16" s="8" t="s">
        <v>48</v>
      </c>
      <c r="B16" s="75" t="s">
        <v>903</v>
      </c>
      <c r="C16" s="9" t="s">
        <v>36</v>
      </c>
      <c r="D16" s="9" t="s">
        <v>54</v>
      </c>
      <c r="E16" s="9">
        <v>78</v>
      </c>
      <c r="F16" s="10">
        <v>8932</v>
      </c>
      <c r="G16" s="14">
        <f>E16*F16</f>
        <v>696696</v>
      </c>
      <c r="H16" s="23">
        <v>20</v>
      </c>
      <c r="I16" s="24">
        <v>8932</v>
      </c>
      <c r="J16" s="25">
        <f>H16*I16</f>
        <v>178640</v>
      </c>
      <c r="K16" s="92"/>
      <c r="L16" s="93">
        <v>8932</v>
      </c>
      <c r="M16" s="108">
        <f>K16*L16</f>
        <v>0</v>
      </c>
      <c r="N16" s="23"/>
      <c r="O16" s="24">
        <v>8932</v>
      </c>
      <c r="P16" s="25">
        <f>N16*O16</f>
        <v>0</v>
      </c>
      <c r="Q16" s="92"/>
      <c r="R16" s="93">
        <v>8932</v>
      </c>
      <c r="S16" s="108">
        <f>Q16*R16</f>
        <v>0</v>
      </c>
      <c r="T16" s="23">
        <v>42</v>
      </c>
      <c r="U16" s="24">
        <v>8932</v>
      </c>
      <c r="V16" s="25">
        <f>T16*U16</f>
        <v>375144</v>
      </c>
    </row>
    <row r="17" spans="1:22" ht="18" thickBot="1" x14ac:dyDescent="0.25">
      <c r="A17" s="8" t="s">
        <v>49</v>
      </c>
      <c r="B17" s="75" t="s">
        <v>877</v>
      </c>
      <c r="C17" s="9" t="s">
        <v>4</v>
      </c>
      <c r="D17" s="9" t="s">
        <v>55</v>
      </c>
      <c r="E17" s="9">
        <v>72</v>
      </c>
      <c r="F17" s="10">
        <v>7424</v>
      </c>
      <c r="G17" s="14">
        <f>E17*F17</f>
        <v>534528</v>
      </c>
      <c r="H17" s="23">
        <v>18</v>
      </c>
      <c r="I17" s="24">
        <v>7424</v>
      </c>
      <c r="J17" s="25">
        <f>H17*I17</f>
        <v>133632</v>
      </c>
      <c r="K17" s="92"/>
      <c r="L17" s="93">
        <v>7424</v>
      </c>
      <c r="M17" s="108">
        <f>K17*L17</f>
        <v>0</v>
      </c>
      <c r="N17" s="23">
        <v>18</v>
      </c>
      <c r="O17" s="24">
        <v>7424</v>
      </c>
      <c r="P17" s="25">
        <f>N17*O17</f>
        <v>133632</v>
      </c>
      <c r="Q17" s="92">
        <v>18</v>
      </c>
      <c r="R17" s="93">
        <v>7424</v>
      </c>
      <c r="S17" s="108">
        <f>Q17*R17</f>
        <v>133632</v>
      </c>
      <c r="T17" s="23"/>
      <c r="U17" s="24">
        <v>7424</v>
      </c>
      <c r="V17" s="25">
        <f>T17*U17</f>
        <v>0</v>
      </c>
    </row>
    <row r="18" spans="1:22" ht="18" thickBot="1" x14ac:dyDescent="0.25">
      <c r="A18" s="8" t="s">
        <v>50</v>
      </c>
      <c r="B18" s="75" t="s">
        <v>885</v>
      </c>
      <c r="C18" s="9" t="s">
        <v>4</v>
      </c>
      <c r="D18" s="9" t="s">
        <v>53</v>
      </c>
      <c r="E18" s="9">
        <v>120</v>
      </c>
      <c r="F18" s="10">
        <v>11368</v>
      </c>
      <c r="G18" s="14">
        <f>E18*F18</f>
        <v>1364160</v>
      </c>
      <c r="H18" s="23">
        <v>30</v>
      </c>
      <c r="I18" s="24">
        <v>11368</v>
      </c>
      <c r="J18" s="25">
        <f>H18*I18</f>
        <v>341040</v>
      </c>
      <c r="K18" s="92">
        <v>6</v>
      </c>
      <c r="L18" s="93">
        <v>11368</v>
      </c>
      <c r="M18" s="108">
        <f>K18*L18</f>
        <v>68208</v>
      </c>
      <c r="N18" s="23"/>
      <c r="O18" s="24">
        <v>11368</v>
      </c>
      <c r="P18" s="25">
        <f>N18*O18</f>
        <v>0</v>
      </c>
      <c r="Q18" s="92"/>
      <c r="R18" s="93">
        <v>11368</v>
      </c>
      <c r="S18" s="108">
        <f>Q18*R18</f>
        <v>0</v>
      </c>
      <c r="T18" s="23"/>
      <c r="U18" s="24">
        <v>11368</v>
      </c>
      <c r="V18" s="25">
        <f>T18*U18</f>
        <v>0</v>
      </c>
    </row>
    <row r="19" spans="1:22" ht="18" thickBot="1" x14ac:dyDescent="0.25">
      <c r="A19" s="8" t="s">
        <v>51</v>
      </c>
      <c r="B19" s="75" t="s">
        <v>894</v>
      </c>
      <c r="C19" s="9" t="s">
        <v>4</v>
      </c>
      <c r="D19" s="9" t="s">
        <v>56</v>
      </c>
      <c r="E19" s="9">
        <v>48</v>
      </c>
      <c r="F19" s="10">
        <v>5208.3999999999996</v>
      </c>
      <c r="G19" s="14">
        <f>E19*F19</f>
        <v>250003.19999999998</v>
      </c>
      <c r="H19" s="23">
        <v>12</v>
      </c>
      <c r="I19" s="24">
        <v>5208.3999999999996</v>
      </c>
      <c r="J19" s="25">
        <f>H19*I19</f>
        <v>62500.799999999996</v>
      </c>
      <c r="K19" s="92"/>
      <c r="L19" s="93">
        <v>5208.3999999999996</v>
      </c>
      <c r="M19" s="108">
        <f>K19*L19</f>
        <v>0</v>
      </c>
      <c r="N19" s="23"/>
      <c r="O19" s="24">
        <v>5208.3999999999996</v>
      </c>
      <c r="P19" s="25">
        <f>N19*O19</f>
        <v>0</v>
      </c>
      <c r="Q19" s="92">
        <v>24</v>
      </c>
      <c r="R19" s="93">
        <v>5208.3999999999996</v>
      </c>
      <c r="S19" s="108">
        <f>Q19*R19</f>
        <v>125001.59999999999</v>
      </c>
      <c r="T19" s="23"/>
      <c r="U19" s="24">
        <v>5208.3999999999996</v>
      </c>
      <c r="V19" s="25">
        <f>T19*U19</f>
        <v>0</v>
      </c>
    </row>
    <row r="20" spans="1:22" ht="17" thickBot="1" x14ac:dyDescent="0.25">
      <c r="G20" s="15">
        <f>SUM(G15:G19)</f>
        <v>3196171.2</v>
      </c>
      <c r="I20" s="3"/>
      <c r="J20" s="22">
        <f>SUM(J15:J19)</f>
        <v>803508.8</v>
      </c>
      <c r="L20" s="3"/>
      <c r="M20" s="109">
        <f>SUM(M15:M19)</f>
        <v>68208</v>
      </c>
      <c r="O20" s="3"/>
      <c r="P20" s="22">
        <f>SUM(P15:P19)</f>
        <v>133632</v>
      </c>
      <c r="R20" s="3"/>
      <c r="S20" s="109">
        <f>SUM(S15:S19)</f>
        <v>258633.59999999998</v>
      </c>
      <c r="U20" s="3"/>
      <c r="V20" s="22">
        <f>SUM(V15:V19)</f>
        <v>375144</v>
      </c>
    </row>
    <row r="22" spans="1:22" ht="20" thickBot="1" x14ac:dyDescent="0.25">
      <c r="A22" s="6" t="s">
        <v>201</v>
      </c>
      <c r="B22" s="82"/>
      <c r="C22" s="2" t="s">
        <v>185</v>
      </c>
      <c r="N22" s="253">
        <v>46176</v>
      </c>
    </row>
    <row r="23" spans="1:22" ht="18" thickBot="1" x14ac:dyDescent="0.25">
      <c r="A23" s="8" t="s">
        <v>74</v>
      </c>
      <c r="B23" s="87" t="s">
        <v>921</v>
      </c>
      <c r="C23" s="9" t="s">
        <v>36</v>
      </c>
      <c r="D23" s="9" t="s">
        <v>77</v>
      </c>
      <c r="E23" s="9">
        <v>36</v>
      </c>
      <c r="F23" s="10">
        <v>11368</v>
      </c>
      <c r="G23" s="14">
        <f>E23*F23</f>
        <v>409248</v>
      </c>
      <c r="H23" s="23">
        <v>9</v>
      </c>
      <c r="I23" s="24">
        <v>11368</v>
      </c>
      <c r="J23" s="25">
        <f>H23*I23</f>
        <v>102312</v>
      </c>
      <c r="K23" s="92"/>
      <c r="L23" s="93">
        <v>11368</v>
      </c>
      <c r="M23" s="108">
        <f>K23*L23</f>
        <v>0</v>
      </c>
      <c r="N23" s="23"/>
      <c r="O23" s="24">
        <v>11368</v>
      </c>
      <c r="P23" s="25">
        <f>N23*O23</f>
        <v>0</v>
      </c>
    </row>
    <row r="24" spans="1:22" ht="18" thickBot="1" x14ac:dyDescent="0.25">
      <c r="A24" s="8" t="s">
        <v>74</v>
      </c>
      <c r="B24" s="87" t="s">
        <v>830</v>
      </c>
      <c r="C24" s="9" t="s">
        <v>36</v>
      </c>
      <c r="D24" s="9" t="s">
        <v>78</v>
      </c>
      <c r="E24" s="9">
        <v>36</v>
      </c>
      <c r="F24" s="10">
        <v>13096.4</v>
      </c>
      <c r="G24" s="14">
        <f>E24*F24</f>
        <v>471470.39999999997</v>
      </c>
      <c r="H24" s="23">
        <v>9</v>
      </c>
      <c r="I24" s="24">
        <v>13096.4</v>
      </c>
      <c r="J24" s="25">
        <f>H24*I24</f>
        <v>117867.59999999999</v>
      </c>
      <c r="K24" s="92"/>
      <c r="L24" s="93">
        <v>13096.4</v>
      </c>
      <c r="M24" s="108">
        <f>K24*L24</f>
        <v>0</v>
      </c>
      <c r="N24" s="23"/>
      <c r="O24" s="24">
        <v>13096.4</v>
      </c>
      <c r="P24" s="25">
        <f>N24*O24</f>
        <v>0</v>
      </c>
    </row>
    <row r="25" spans="1:22" ht="18" thickBot="1" x14ac:dyDescent="0.25">
      <c r="A25" s="8" t="s">
        <v>75</v>
      </c>
      <c r="B25" s="87" t="s">
        <v>848</v>
      </c>
      <c r="C25" s="9" t="s">
        <v>36</v>
      </c>
      <c r="D25" s="9" t="s">
        <v>79</v>
      </c>
      <c r="E25" s="9">
        <v>36</v>
      </c>
      <c r="F25" s="10">
        <v>10057.200000000001</v>
      </c>
      <c r="G25" s="14">
        <f>E25*F25</f>
        <v>362059.2</v>
      </c>
      <c r="H25" s="23">
        <v>9</v>
      </c>
      <c r="I25" s="24">
        <v>10057.200000000001</v>
      </c>
      <c r="J25" s="25">
        <f>H25*I25</f>
        <v>90514.8</v>
      </c>
      <c r="K25" s="92">
        <v>18</v>
      </c>
      <c r="L25" s="93">
        <v>10057.200000000001</v>
      </c>
      <c r="M25" s="108">
        <f>K25*L25</f>
        <v>181029.6</v>
      </c>
      <c r="N25" s="23"/>
      <c r="O25" s="24">
        <v>10057.200000000001</v>
      </c>
      <c r="P25" s="25">
        <f>N25*O25</f>
        <v>0</v>
      </c>
    </row>
    <row r="26" spans="1:22" ht="18" thickBot="1" x14ac:dyDescent="0.25">
      <c r="A26" s="8" t="s">
        <v>51</v>
      </c>
      <c r="B26" s="87" t="s">
        <v>839</v>
      </c>
      <c r="C26" s="9" t="s">
        <v>36</v>
      </c>
      <c r="D26" s="9" t="s">
        <v>80</v>
      </c>
      <c r="E26" s="9">
        <v>84</v>
      </c>
      <c r="F26" s="10">
        <v>5904.4</v>
      </c>
      <c r="G26" s="14">
        <f>E26*F26</f>
        <v>495969.6</v>
      </c>
      <c r="H26" s="23">
        <v>21</v>
      </c>
      <c r="I26" s="24">
        <v>5904.4</v>
      </c>
      <c r="J26" s="25">
        <f>H26*I26</f>
        <v>123992.4</v>
      </c>
      <c r="K26" s="92"/>
      <c r="L26" s="93">
        <v>5904.4</v>
      </c>
      <c r="M26" s="108">
        <f>K26*L26</f>
        <v>0</v>
      </c>
      <c r="N26" s="23">
        <v>42</v>
      </c>
      <c r="O26" s="24">
        <v>5904.4</v>
      </c>
      <c r="P26" s="25">
        <f>N26*O26</f>
        <v>247984.8</v>
      </c>
    </row>
    <row r="27" spans="1:22" ht="18" thickBot="1" x14ac:dyDescent="0.25">
      <c r="A27" s="8" t="s">
        <v>76</v>
      </c>
      <c r="B27" s="87" t="s">
        <v>922</v>
      </c>
      <c r="C27" s="9" t="s">
        <v>4</v>
      </c>
      <c r="D27" s="9" t="s">
        <v>81</v>
      </c>
      <c r="E27" s="9">
        <v>60</v>
      </c>
      <c r="F27" s="10">
        <v>8885.6</v>
      </c>
      <c r="G27" s="14">
        <f>E27*F27</f>
        <v>533136</v>
      </c>
      <c r="H27" s="23">
        <v>15</v>
      </c>
      <c r="I27" s="24">
        <v>8885.6</v>
      </c>
      <c r="J27" s="25">
        <f>H27*I27</f>
        <v>133284</v>
      </c>
      <c r="K27" s="92">
        <v>30</v>
      </c>
      <c r="L27" s="93">
        <v>8885.6</v>
      </c>
      <c r="M27" s="108">
        <f>K27*L27</f>
        <v>266568</v>
      </c>
      <c r="N27" s="23"/>
      <c r="O27" s="24">
        <v>8885.6</v>
      </c>
      <c r="P27" s="25">
        <f>N27*O27</f>
        <v>0</v>
      </c>
    </row>
    <row r="28" spans="1:22" ht="17" thickBot="1" x14ac:dyDescent="0.25">
      <c r="G28" s="15">
        <f>SUM(G23:G27)</f>
        <v>2271883.1999999997</v>
      </c>
      <c r="I28" s="3"/>
      <c r="J28" s="22">
        <f>SUM(J23:J27)</f>
        <v>567970.79999999993</v>
      </c>
      <c r="L28" s="3"/>
      <c r="M28" s="109">
        <f>SUM(M23:M27)</f>
        <v>447597.6</v>
      </c>
      <c r="O28" s="3"/>
      <c r="P28" s="22">
        <f>SUM(P23:P27)</f>
        <v>247984.8</v>
      </c>
    </row>
    <row r="29" spans="1:22" ht="20" thickBot="1" x14ac:dyDescent="0.25">
      <c r="A29" s="6" t="s">
        <v>202</v>
      </c>
      <c r="B29" s="82"/>
      <c r="Q29" s="253">
        <v>46176</v>
      </c>
    </row>
    <row r="30" spans="1:22" ht="18" thickBot="1" x14ac:dyDescent="0.25">
      <c r="A30" s="8" t="s">
        <v>59</v>
      </c>
      <c r="B30" s="75" t="s">
        <v>923</v>
      </c>
      <c r="C30" s="9" t="s">
        <v>36</v>
      </c>
      <c r="D30" s="9" t="s">
        <v>64</v>
      </c>
      <c r="E30" s="9">
        <v>60</v>
      </c>
      <c r="F30" s="10">
        <v>8468</v>
      </c>
      <c r="G30" s="14">
        <f>E30*F30</f>
        <v>508080</v>
      </c>
      <c r="H30" s="23">
        <v>15</v>
      </c>
      <c r="I30" s="24">
        <v>8468</v>
      </c>
      <c r="J30" s="25">
        <f>H30*I30</f>
        <v>127020</v>
      </c>
      <c r="K30" s="27"/>
      <c r="L30" s="28">
        <v>8468</v>
      </c>
      <c r="M30" s="29">
        <f>K30*L30</f>
        <v>0</v>
      </c>
      <c r="N30" s="18"/>
      <c r="O30" s="19">
        <v>8468</v>
      </c>
      <c r="P30" s="217">
        <f>N30*O30</f>
        <v>0</v>
      </c>
      <c r="Q30" s="23">
        <v>30</v>
      </c>
      <c r="R30" s="24">
        <v>8468</v>
      </c>
      <c r="S30" s="25">
        <f>Q30*R30</f>
        <v>254040</v>
      </c>
    </row>
    <row r="31" spans="1:22" ht="18" thickBot="1" x14ac:dyDescent="0.25">
      <c r="A31" s="8" t="s">
        <v>60</v>
      </c>
      <c r="B31" s="75" t="s">
        <v>895</v>
      </c>
      <c r="C31" s="9" t="s">
        <v>36</v>
      </c>
      <c r="D31" s="9" t="s">
        <v>65</v>
      </c>
      <c r="E31" s="9">
        <v>432</v>
      </c>
      <c r="F31" s="10">
        <v>4860.3999999999996</v>
      </c>
      <c r="G31" s="14">
        <f>E31*F31</f>
        <v>2099692.7999999998</v>
      </c>
      <c r="H31" s="23">
        <v>108</v>
      </c>
      <c r="I31" s="24">
        <v>4860.3999999999996</v>
      </c>
      <c r="J31" s="25">
        <f>H31*I31</f>
        <v>524923.19999999995</v>
      </c>
      <c r="K31" s="27"/>
      <c r="L31" s="28">
        <v>4860.3999999999996</v>
      </c>
      <c r="M31" s="29">
        <f>K31*L31</f>
        <v>0</v>
      </c>
      <c r="N31" s="18">
        <v>216</v>
      </c>
      <c r="O31" s="19">
        <v>4860.3999999999996</v>
      </c>
      <c r="P31" s="217">
        <f>N31*O31</f>
        <v>1049846.3999999999</v>
      </c>
      <c r="Q31" s="23"/>
      <c r="R31" s="24">
        <v>4860.3999999999996</v>
      </c>
      <c r="S31" s="25">
        <f>Q31*R31</f>
        <v>0</v>
      </c>
    </row>
    <row r="32" spans="1:22" ht="18" thickBot="1" x14ac:dyDescent="0.25">
      <c r="A32" s="8" t="s">
        <v>61</v>
      </c>
      <c r="B32" s="90" t="s">
        <v>883</v>
      </c>
      <c r="C32" s="9" t="s">
        <v>36</v>
      </c>
      <c r="D32" s="9" t="s">
        <v>66</v>
      </c>
      <c r="E32" s="9">
        <v>144</v>
      </c>
      <c r="F32" s="10">
        <v>8120</v>
      </c>
      <c r="G32" s="14">
        <f>E32*F32</f>
        <v>1169280</v>
      </c>
      <c r="H32" s="23">
        <v>36</v>
      </c>
      <c r="I32" s="24">
        <v>8120</v>
      </c>
      <c r="J32" s="25">
        <f>H32*I32</f>
        <v>292320</v>
      </c>
      <c r="K32" s="27"/>
      <c r="L32" s="28">
        <v>8120</v>
      </c>
      <c r="M32" s="29">
        <f>K32*L32</f>
        <v>0</v>
      </c>
      <c r="N32" s="18">
        <v>72</v>
      </c>
      <c r="O32" s="19">
        <v>8120</v>
      </c>
      <c r="P32" s="217">
        <f>N32*O32</f>
        <v>584640</v>
      </c>
      <c r="Q32" s="23"/>
      <c r="R32" s="24">
        <v>8120</v>
      </c>
      <c r="S32" s="25">
        <f>Q32*R32</f>
        <v>0</v>
      </c>
    </row>
    <row r="33" spans="1:19" ht="18" thickBot="1" x14ac:dyDescent="0.25">
      <c r="A33" s="8" t="s">
        <v>62</v>
      </c>
      <c r="B33" s="75" t="s">
        <v>924</v>
      </c>
      <c r="C33" s="9" t="s">
        <v>36</v>
      </c>
      <c r="D33" s="9" t="s">
        <v>67</v>
      </c>
      <c r="E33" s="9">
        <v>36</v>
      </c>
      <c r="F33" s="10">
        <v>8932</v>
      </c>
      <c r="G33" s="14">
        <f>E33*F33</f>
        <v>321552</v>
      </c>
      <c r="H33" s="23">
        <v>9</v>
      </c>
      <c r="I33" s="24">
        <v>8932</v>
      </c>
      <c r="J33" s="25">
        <f>H33*I33</f>
        <v>80388</v>
      </c>
      <c r="K33" s="27"/>
      <c r="L33" s="28">
        <v>8932</v>
      </c>
      <c r="M33" s="29">
        <f>K33*L33</f>
        <v>0</v>
      </c>
      <c r="N33" s="18">
        <v>18</v>
      </c>
      <c r="O33" s="19">
        <v>8932</v>
      </c>
      <c r="P33" s="217">
        <f>N33*O33</f>
        <v>160776</v>
      </c>
      <c r="Q33" s="23"/>
      <c r="R33" s="24">
        <v>8932</v>
      </c>
      <c r="S33" s="25">
        <f>Q33*R33</f>
        <v>0</v>
      </c>
    </row>
    <row r="34" spans="1:19" ht="18" thickBot="1" x14ac:dyDescent="0.25">
      <c r="A34" s="8" t="s">
        <v>63</v>
      </c>
      <c r="B34" s="75" t="s">
        <v>886</v>
      </c>
      <c r="C34" s="9" t="s">
        <v>36</v>
      </c>
      <c r="D34" s="9" t="s">
        <v>68</v>
      </c>
      <c r="E34" s="9">
        <v>72</v>
      </c>
      <c r="F34" s="10">
        <v>7424</v>
      </c>
      <c r="G34" s="14">
        <f>E34*F34</f>
        <v>534528</v>
      </c>
      <c r="H34" s="23"/>
      <c r="I34" s="24">
        <v>7424</v>
      </c>
      <c r="J34" s="25">
        <f>H34*I34</f>
        <v>0</v>
      </c>
      <c r="K34" s="27">
        <v>18</v>
      </c>
      <c r="L34" s="28">
        <v>7424</v>
      </c>
      <c r="M34" s="29">
        <f>K34*L34</f>
        <v>133632</v>
      </c>
      <c r="N34" s="18">
        <v>18</v>
      </c>
      <c r="O34" s="19">
        <v>7424</v>
      </c>
      <c r="P34" s="217">
        <f>N34*O34</f>
        <v>133632</v>
      </c>
      <c r="Q34" s="23"/>
      <c r="R34" s="24">
        <v>7424</v>
      </c>
      <c r="S34" s="25">
        <f>Q34*R34</f>
        <v>0</v>
      </c>
    </row>
    <row r="35" spans="1:19" ht="17" thickBot="1" x14ac:dyDescent="0.25">
      <c r="G35" s="15">
        <f>SUM(G30:G34)</f>
        <v>4633132.8</v>
      </c>
      <c r="I35" s="3"/>
      <c r="J35" s="22">
        <f>SUM(J30:J34)</f>
        <v>1024651.2</v>
      </c>
      <c r="L35" s="3"/>
      <c r="M35" s="147">
        <f>SUM(M30:M34)</f>
        <v>133632</v>
      </c>
      <c r="O35" s="3"/>
      <c r="P35" s="52">
        <f>SUM(P30:P34)</f>
        <v>1928894.4</v>
      </c>
      <c r="R35" s="3"/>
      <c r="S35" s="22">
        <f>SUM(S30:S34)</f>
        <v>254040</v>
      </c>
    </row>
    <row r="37" spans="1:19" ht="20" thickBot="1" x14ac:dyDescent="0.25">
      <c r="A37" s="6" t="s">
        <v>91</v>
      </c>
      <c r="B37" s="82"/>
      <c r="C37" s="2" t="s">
        <v>189</v>
      </c>
    </row>
    <row r="38" spans="1:19" ht="18" thickBot="1" x14ac:dyDescent="0.25">
      <c r="A38" s="8" t="s">
        <v>47</v>
      </c>
      <c r="B38" s="75" t="s">
        <v>896</v>
      </c>
      <c r="C38" s="9" t="s">
        <v>4</v>
      </c>
      <c r="D38" s="9" t="s">
        <v>92</v>
      </c>
      <c r="E38" s="9">
        <v>60</v>
      </c>
      <c r="F38" s="10">
        <v>4988</v>
      </c>
      <c r="G38" s="14">
        <f>E38*F38</f>
        <v>299280</v>
      </c>
    </row>
    <row r="39" spans="1:19" ht="18" thickBot="1" x14ac:dyDescent="0.25">
      <c r="A39" s="8" t="s">
        <v>94</v>
      </c>
      <c r="B39" s="75" t="s">
        <v>925</v>
      </c>
      <c r="C39" s="9" t="s">
        <v>4</v>
      </c>
      <c r="D39" s="9" t="s">
        <v>93</v>
      </c>
      <c r="E39" s="9">
        <v>36</v>
      </c>
      <c r="F39" s="10">
        <v>15312</v>
      </c>
      <c r="G39" s="14">
        <f>E39*F39</f>
        <v>551232</v>
      </c>
    </row>
    <row r="40" spans="1:19" ht="18" thickBot="1" x14ac:dyDescent="0.25">
      <c r="A40" s="8" t="s">
        <v>95</v>
      </c>
      <c r="B40" s="75" t="s">
        <v>836</v>
      </c>
      <c r="C40" s="9" t="s">
        <v>4</v>
      </c>
      <c r="D40" s="9" t="s">
        <v>96</v>
      </c>
      <c r="E40" s="9">
        <v>228</v>
      </c>
      <c r="F40" s="10">
        <v>3248</v>
      </c>
      <c r="G40" s="14">
        <f>E40*F40</f>
        <v>740544</v>
      </c>
    </row>
    <row r="41" spans="1:19" ht="18" thickBot="1" x14ac:dyDescent="0.25">
      <c r="A41" s="8" t="s">
        <v>97</v>
      </c>
      <c r="B41" s="75" t="s">
        <v>926</v>
      </c>
      <c r="C41" s="9" t="s">
        <v>4</v>
      </c>
      <c r="D41" s="9" t="s">
        <v>98</v>
      </c>
      <c r="E41" s="9">
        <v>24</v>
      </c>
      <c r="F41" s="10">
        <v>10324</v>
      </c>
      <c r="G41" s="14">
        <f>E41*F41</f>
        <v>247776</v>
      </c>
    </row>
    <row r="42" spans="1:19" ht="18" thickBot="1" x14ac:dyDescent="0.25">
      <c r="A42" s="8" t="s">
        <v>45</v>
      </c>
      <c r="B42" s="75"/>
      <c r="C42" s="9" t="s">
        <v>4</v>
      </c>
      <c r="D42" s="9" t="s">
        <v>99</v>
      </c>
      <c r="E42" s="9">
        <v>20</v>
      </c>
      <c r="F42" s="10">
        <v>7486.64</v>
      </c>
      <c r="G42" s="14">
        <f>E42*F42</f>
        <v>149732.80000000002</v>
      </c>
    </row>
    <row r="43" spans="1:19" ht="17" thickBot="1" x14ac:dyDescent="0.25">
      <c r="G43" s="15">
        <f>SUM(G38:G42)</f>
        <v>1988564.8</v>
      </c>
    </row>
    <row r="45" spans="1:19" ht="20" thickBot="1" x14ac:dyDescent="0.25">
      <c r="A45" s="6" t="s">
        <v>187</v>
      </c>
      <c r="B45" s="82"/>
      <c r="C45" s="2" t="s">
        <v>69</v>
      </c>
      <c r="D45" s="2" t="s">
        <v>70</v>
      </c>
      <c r="E45" s="2" t="s">
        <v>188</v>
      </c>
    </row>
    <row r="46" spans="1:19" ht="18" thickBot="1" x14ac:dyDescent="0.25">
      <c r="A46" s="8" t="s">
        <v>71</v>
      </c>
      <c r="B46" s="75" t="s">
        <v>927</v>
      </c>
      <c r="C46" s="9" t="s">
        <v>4</v>
      </c>
      <c r="D46" s="9" t="s">
        <v>72</v>
      </c>
      <c r="E46" s="9">
        <v>48</v>
      </c>
      <c r="F46" s="10">
        <v>10092</v>
      </c>
      <c r="G46" s="14">
        <f>F46*E46</f>
        <v>484416</v>
      </c>
    </row>
    <row r="47" spans="1:19" ht="18" thickBot="1" x14ac:dyDescent="0.25">
      <c r="A47" s="8" t="s">
        <v>71</v>
      </c>
      <c r="B47" s="75" t="s">
        <v>928</v>
      </c>
      <c r="C47" s="9" t="s">
        <v>4</v>
      </c>
      <c r="D47" s="9" t="s">
        <v>73</v>
      </c>
      <c r="E47" s="9">
        <v>24</v>
      </c>
      <c r="F47" s="10">
        <v>3712</v>
      </c>
      <c r="G47" s="14">
        <f>F47*E47</f>
        <v>89088</v>
      </c>
    </row>
    <row r="48" spans="1:19" ht="17" thickBot="1" x14ac:dyDescent="0.25">
      <c r="G48" s="15">
        <f>SUM(G46:G47)</f>
        <v>573504</v>
      </c>
    </row>
    <row r="49" spans="1:13" ht="18" thickBot="1" x14ac:dyDescent="0.25">
      <c r="A49" s="7" t="s">
        <v>278</v>
      </c>
      <c r="B49" s="80"/>
      <c r="C49" s="2" t="s">
        <v>276</v>
      </c>
      <c r="D49" s="2" t="s">
        <v>277</v>
      </c>
      <c r="G49" s="17"/>
    </row>
    <row r="50" spans="1:13" ht="35" thickBot="1" x14ac:dyDescent="0.25">
      <c r="A50" s="8" t="s">
        <v>274</v>
      </c>
      <c r="B50" s="75" t="s">
        <v>999</v>
      </c>
      <c r="C50" s="9" t="s">
        <v>275</v>
      </c>
      <c r="D50" s="9"/>
      <c r="E50" s="9">
        <v>96</v>
      </c>
      <c r="F50" s="10">
        <v>49880</v>
      </c>
      <c r="G50" s="14">
        <f>F50*E50</f>
        <v>4788480</v>
      </c>
      <c r="H50" s="23">
        <v>96</v>
      </c>
      <c r="I50" s="24">
        <v>49880</v>
      </c>
      <c r="J50" s="25">
        <f>I50*H50</f>
        <v>4788480</v>
      </c>
      <c r="K50" s="27"/>
      <c r="L50" s="28">
        <v>49880</v>
      </c>
      <c r="M50" s="29">
        <f>L50*K50</f>
        <v>0</v>
      </c>
    </row>
    <row r="51" spans="1:13" ht="18" thickBot="1" x14ac:dyDescent="0.25">
      <c r="A51" s="8" t="s">
        <v>273</v>
      </c>
      <c r="B51" s="75" t="s">
        <v>896</v>
      </c>
      <c r="C51" s="9" t="s">
        <v>4</v>
      </c>
      <c r="D51" s="9"/>
      <c r="E51" s="9">
        <v>48</v>
      </c>
      <c r="F51" s="10">
        <v>7331.2</v>
      </c>
      <c r="G51" s="14">
        <f>F51*E51</f>
        <v>351897.59999999998</v>
      </c>
      <c r="H51" s="23">
        <v>8</v>
      </c>
      <c r="I51" s="24">
        <v>7331.2</v>
      </c>
      <c r="J51" s="25">
        <f>I51*H51</f>
        <v>58649.599999999999</v>
      </c>
      <c r="K51" s="27">
        <v>40</v>
      </c>
      <c r="L51" s="28">
        <v>7331.2</v>
      </c>
      <c r="M51" s="29">
        <f>L51*K51</f>
        <v>293248</v>
      </c>
    </row>
    <row r="52" spans="1:13" ht="18" thickBot="1" x14ac:dyDescent="0.25">
      <c r="A52" s="8" t="s">
        <v>272</v>
      </c>
      <c r="B52" s="75" t="s">
        <v>955</v>
      </c>
      <c r="C52" s="9" t="s">
        <v>4</v>
      </c>
      <c r="D52" s="9"/>
      <c r="E52" s="9">
        <v>48</v>
      </c>
      <c r="F52" s="10">
        <v>2436</v>
      </c>
      <c r="G52" s="14">
        <f>F52*E52</f>
        <v>116928</v>
      </c>
      <c r="H52" s="23">
        <v>20</v>
      </c>
      <c r="I52" s="24">
        <v>2436</v>
      </c>
      <c r="J52" s="25">
        <f>I52*H52</f>
        <v>48720</v>
      </c>
      <c r="K52" s="27">
        <v>28</v>
      </c>
      <c r="L52" s="28">
        <v>2436</v>
      </c>
      <c r="M52" s="29">
        <f>L52*K52</f>
        <v>68208</v>
      </c>
    </row>
    <row r="53" spans="1:13" ht="18" thickBot="1" x14ac:dyDescent="0.25">
      <c r="A53" s="8" t="s">
        <v>271</v>
      </c>
      <c r="B53" s="75"/>
      <c r="C53" s="9" t="s">
        <v>4</v>
      </c>
      <c r="D53" s="9"/>
      <c r="E53" s="9">
        <v>48</v>
      </c>
      <c r="F53" s="10">
        <v>4756</v>
      </c>
      <c r="G53" s="14">
        <f>F53*E53</f>
        <v>228288</v>
      </c>
      <c r="H53" s="23"/>
      <c r="I53" s="24">
        <v>4756</v>
      </c>
      <c r="J53" s="25">
        <f>I53*H53</f>
        <v>0</v>
      </c>
      <c r="K53" s="27">
        <v>48</v>
      </c>
      <c r="L53" s="28">
        <v>4756</v>
      </c>
      <c r="M53" s="29">
        <f>L53*K53</f>
        <v>228288</v>
      </c>
    </row>
    <row r="54" spans="1:13" ht="17" thickBot="1" x14ac:dyDescent="0.25">
      <c r="G54" s="15">
        <f>SUM(G50:G53)</f>
        <v>5485593.5999999996</v>
      </c>
      <c r="I54" s="3"/>
      <c r="J54" s="22">
        <f>SUM(J50:J53)</f>
        <v>4895849.5999999996</v>
      </c>
      <c r="L54" s="3"/>
      <c r="M54" s="147">
        <f>SUM(M50:M53)</f>
        <v>589744</v>
      </c>
    </row>
    <row r="56" spans="1:13" ht="17" thickBot="1" x14ac:dyDescent="0.25">
      <c r="A56" s="71" t="s">
        <v>1595</v>
      </c>
    </row>
    <row r="57" spans="1:13" ht="18" thickBot="1" x14ac:dyDescent="0.25">
      <c r="A57" s="8" t="s">
        <v>1590</v>
      </c>
      <c r="B57" s="75" t="s">
        <v>885</v>
      </c>
      <c r="C57" s="9" t="s">
        <v>36</v>
      </c>
      <c r="D57" s="9" t="s">
        <v>53</v>
      </c>
      <c r="E57" s="9">
        <v>16</v>
      </c>
      <c r="F57" s="10">
        <v>8468</v>
      </c>
      <c r="G57" s="14">
        <f>F57*E57</f>
        <v>135488</v>
      </c>
      <c r="H57" s="27">
        <v>8</v>
      </c>
      <c r="I57" s="28">
        <v>8468</v>
      </c>
      <c r="J57" s="29">
        <f>I57*H57</f>
        <v>67744</v>
      </c>
    </row>
    <row r="58" spans="1:13" ht="18" thickBot="1" x14ac:dyDescent="0.25">
      <c r="A58" s="8" t="s">
        <v>290</v>
      </c>
      <c r="B58" s="75" t="s">
        <v>831</v>
      </c>
      <c r="C58" s="9" t="s">
        <v>36</v>
      </c>
      <c r="D58" s="9" t="s">
        <v>1593</v>
      </c>
      <c r="E58" s="9">
        <v>24</v>
      </c>
      <c r="F58" s="10">
        <v>4872</v>
      </c>
      <c r="G58" s="14">
        <f t="shared" ref="G58:G65" si="0">F58*E58</f>
        <v>116928</v>
      </c>
      <c r="H58" s="27">
        <v>8</v>
      </c>
      <c r="I58" s="28">
        <v>4872</v>
      </c>
      <c r="J58" s="29">
        <f t="shared" ref="J58:J65" si="1">I58*H58</f>
        <v>38976</v>
      </c>
    </row>
    <row r="59" spans="1:13" ht="18" thickBot="1" x14ac:dyDescent="0.25">
      <c r="A59" s="8" t="s">
        <v>938</v>
      </c>
      <c r="B59" s="75" t="s">
        <v>835</v>
      </c>
      <c r="C59" s="9" t="s">
        <v>36</v>
      </c>
      <c r="D59" s="9" t="s">
        <v>297</v>
      </c>
      <c r="E59" s="9">
        <v>13</v>
      </c>
      <c r="F59" s="10">
        <v>2833.88</v>
      </c>
      <c r="G59" s="14">
        <f t="shared" si="0"/>
        <v>36840.44</v>
      </c>
      <c r="H59" s="27"/>
      <c r="I59" s="28">
        <v>2833.88</v>
      </c>
      <c r="J59" s="29">
        <f t="shared" si="1"/>
        <v>0</v>
      </c>
    </row>
    <row r="60" spans="1:13" ht="18" thickBot="1" x14ac:dyDescent="0.25">
      <c r="A60" s="8" t="s">
        <v>1244</v>
      </c>
      <c r="B60" s="75" t="s">
        <v>862</v>
      </c>
      <c r="C60" s="9" t="s">
        <v>36</v>
      </c>
      <c r="D60" s="9" t="s">
        <v>782</v>
      </c>
      <c r="E60" s="9">
        <v>12</v>
      </c>
      <c r="F60" s="10">
        <v>5788.4</v>
      </c>
      <c r="G60" s="14">
        <f t="shared" si="0"/>
        <v>69460.799999999988</v>
      </c>
      <c r="H60" s="27">
        <v>6</v>
      </c>
      <c r="I60" s="28">
        <v>5788.4</v>
      </c>
      <c r="J60" s="29">
        <f t="shared" si="1"/>
        <v>34730.399999999994</v>
      </c>
    </row>
    <row r="61" spans="1:13" ht="18" thickBot="1" x14ac:dyDescent="0.25">
      <c r="A61" s="8" t="s">
        <v>145</v>
      </c>
      <c r="B61" s="75" t="s">
        <v>914</v>
      </c>
      <c r="C61" s="9" t="s">
        <v>36</v>
      </c>
      <c r="D61" s="9" t="s">
        <v>780</v>
      </c>
      <c r="E61" s="9">
        <v>37</v>
      </c>
      <c r="F61" s="10">
        <v>11948</v>
      </c>
      <c r="G61" s="14">
        <f t="shared" si="0"/>
        <v>442076</v>
      </c>
      <c r="H61" s="27"/>
      <c r="I61" s="28">
        <v>11948</v>
      </c>
      <c r="J61" s="29">
        <f t="shared" si="1"/>
        <v>0</v>
      </c>
    </row>
    <row r="62" spans="1:13" ht="18" thickBot="1" x14ac:dyDescent="0.25">
      <c r="A62" s="8" t="s">
        <v>602</v>
      </c>
      <c r="B62" s="75" t="s">
        <v>896</v>
      </c>
      <c r="C62" s="9" t="s">
        <v>36</v>
      </c>
      <c r="D62" s="9" t="s">
        <v>111</v>
      </c>
      <c r="E62" s="9">
        <v>12</v>
      </c>
      <c r="F62" s="10">
        <v>4756</v>
      </c>
      <c r="G62" s="14">
        <f t="shared" si="0"/>
        <v>57072</v>
      </c>
      <c r="H62" s="27"/>
      <c r="I62" s="28">
        <v>4756</v>
      </c>
      <c r="J62" s="29">
        <f t="shared" si="1"/>
        <v>0</v>
      </c>
    </row>
    <row r="63" spans="1:13" ht="18" thickBot="1" x14ac:dyDescent="0.25">
      <c r="A63" s="8" t="s">
        <v>1244</v>
      </c>
      <c r="B63" s="75" t="s">
        <v>1763</v>
      </c>
      <c r="C63" s="9" t="s">
        <v>36</v>
      </c>
      <c r="D63" s="9" t="s">
        <v>779</v>
      </c>
      <c r="E63" s="9">
        <v>12</v>
      </c>
      <c r="F63" s="10">
        <v>8700</v>
      </c>
      <c r="G63" s="14">
        <f t="shared" si="0"/>
        <v>104400</v>
      </c>
      <c r="H63" s="27">
        <v>6</v>
      </c>
      <c r="I63" s="28">
        <v>8700</v>
      </c>
      <c r="J63" s="29">
        <f t="shared" si="1"/>
        <v>52200</v>
      </c>
    </row>
    <row r="64" spans="1:13" ht="18" thickBot="1" x14ac:dyDescent="0.25">
      <c r="A64" s="8" t="s">
        <v>1591</v>
      </c>
      <c r="B64" s="75" t="s">
        <v>1764</v>
      </c>
      <c r="C64" s="9" t="s">
        <v>36</v>
      </c>
      <c r="D64" s="9" t="s">
        <v>1594</v>
      </c>
      <c r="E64" s="9">
        <v>12</v>
      </c>
      <c r="F64" s="10">
        <v>5104</v>
      </c>
      <c r="G64" s="14">
        <f t="shared" si="0"/>
        <v>61248</v>
      </c>
      <c r="H64" s="27">
        <v>12</v>
      </c>
      <c r="I64" s="28">
        <v>5104</v>
      </c>
      <c r="J64" s="29">
        <f t="shared" si="1"/>
        <v>61248</v>
      </c>
    </row>
    <row r="65" spans="1:10" ht="18" thickBot="1" x14ac:dyDescent="0.25">
      <c r="A65" s="8" t="s">
        <v>1592</v>
      </c>
      <c r="B65" s="75" t="s">
        <v>929</v>
      </c>
      <c r="C65" s="9" t="s">
        <v>36</v>
      </c>
      <c r="D65" s="9" t="s">
        <v>302</v>
      </c>
      <c r="E65" s="9">
        <v>12</v>
      </c>
      <c r="F65" s="10">
        <v>15196</v>
      </c>
      <c r="G65" s="14">
        <f t="shared" si="0"/>
        <v>182352</v>
      </c>
      <c r="H65" s="27">
        <v>4</v>
      </c>
      <c r="I65" s="28">
        <v>15196</v>
      </c>
      <c r="J65" s="29">
        <f t="shared" si="1"/>
        <v>60784</v>
      </c>
    </row>
    <row r="66" spans="1:10" ht="17" thickBot="1" x14ac:dyDescent="0.25">
      <c r="G66" s="15">
        <f>SUM(G57:G65)</f>
        <v>1205865.24</v>
      </c>
      <c r="I66" s="3"/>
      <c r="J66" s="147">
        <f>SUM(J57:J65)</f>
        <v>315682.40000000002</v>
      </c>
    </row>
    <row r="67" spans="1:10" ht="17" thickBot="1" x14ac:dyDescent="0.25">
      <c r="A67" s="71" t="s">
        <v>819</v>
      </c>
      <c r="B67" s="88"/>
      <c r="C67" s="67" t="s">
        <v>816</v>
      </c>
      <c r="D67" s="67" t="s">
        <v>817</v>
      </c>
      <c r="E67" s="67"/>
      <c r="F67" s="67"/>
      <c r="G67" s="70"/>
    </row>
    <row r="68" spans="1:10" ht="17" thickBot="1" x14ac:dyDescent="0.25">
      <c r="A68" s="68" t="s">
        <v>818</v>
      </c>
      <c r="B68" s="89" t="s">
        <v>925</v>
      </c>
      <c r="C68" s="68" t="s">
        <v>36</v>
      </c>
      <c r="D68" s="68"/>
      <c r="E68" s="68">
        <v>12</v>
      </c>
      <c r="F68" s="69">
        <v>16472</v>
      </c>
      <c r="G68" s="72">
        <f>F68*E68</f>
        <v>197664</v>
      </c>
      <c r="H68" s="151">
        <v>6</v>
      </c>
      <c r="I68" s="152">
        <v>16472</v>
      </c>
      <c r="J68" s="153">
        <f>I68*H68</f>
        <v>98832</v>
      </c>
    </row>
    <row r="70" spans="1:10" ht="17" thickBot="1" x14ac:dyDescent="0.25">
      <c r="A70" s="30" t="s">
        <v>1596</v>
      </c>
      <c r="B70" s="2" t="s">
        <v>816</v>
      </c>
      <c r="C70" s="2" t="s">
        <v>817</v>
      </c>
      <c r="F70" s="2"/>
    </row>
    <row r="71" spans="1:10" ht="18" thickBot="1" x14ac:dyDescent="0.25">
      <c r="A71" s="9" t="s">
        <v>1119</v>
      </c>
      <c r="B71" s="75" t="s">
        <v>945</v>
      </c>
      <c r="C71" s="9" t="s">
        <v>36</v>
      </c>
      <c r="D71" s="9" t="s">
        <v>1120</v>
      </c>
      <c r="E71" s="9">
        <v>6</v>
      </c>
      <c r="F71" s="10">
        <v>4408</v>
      </c>
      <c r="G71" s="10">
        <f>F71*E71</f>
        <v>26448</v>
      </c>
      <c r="H71" s="27">
        <v>3</v>
      </c>
      <c r="I71" s="28">
        <v>4408</v>
      </c>
      <c r="J71" s="28">
        <f>I71*H71</f>
        <v>13224</v>
      </c>
    </row>
    <row r="72" spans="1:10" ht="18" thickBot="1" x14ac:dyDescent="0.25">
      <c r="A72" s="9" t="s">
        <v>1119</v>
      </c>
      <c r="B72" s="75" t="s">
        <v>1762</v>
      </c>
      <c r="C72" s="9" t="s">
        <v>36</v>
      </c>
      <c r="D72" s="9" t="s">
        <v>1120</v>
      </c>
      <c r="E72" s="9">
        <v>6</v>
      </c>
      <c r="F72" s="10">
        <v>4408</v>
      </c>
      <c r="G72" s="10">
        <f>F72*E72</f>
        <v>26448</v>
      </c>
      <c r="H72" s="27">
        <v>3</v>
      </c>
      <c r="I72" s="28">
        <v>4408</v>
      </c>
      <c r="J72" s="28">
        <f>I72*H72</f>
        <v>13224</v>
      </c>
    </row>
    <row r="73" spans="1:10" ht="17" thickBot="1" x14ac:dyDescent="0.25">
      <c r="A73" s="2"/>
      <c r="B73" s="2"/>
      <c r="F73" s="2"/>
      <c r="G73" s="103">
        <f>SUM(G71:G72)</f>
        <v>52896</v>
      </c>
      <c r="J73" s="150">
        <f>SUM(J71:J72)</f>
        <v>26448</v>
      </c>
    </row>
    <row r="77" spans="1:10" ht="17" thickBot="1" x14ac:dyDescent="0.25">
      <c r="A77" s="30" t="s">
        <v>824</v>
      </c>
      <c r="B77" s="74"/>
      <c r="C77" s="2" t="s">
        <v>821</v>
      </c>
      <c r="D77" s="2" t="s">
        <v>820</v>
      </c>
      <c r="G77" s="3"/>
    </row>
    <row r="78" spans="1:10" ht="17" thickBot="1" x14ac:dyDescent="0.25">
      <c r="A78" s="9" t="s">
        <v>286</v>
      </c>
      <c r="B78" s="76" t="s">
        <v>1275</v>
      </c>
      <c r="C78" s="9" t="s">
        <v>36</v>
      </c>
      <c r="D78" s="9" t="s">
        <v>1218</v>
      </c>
      <c r="E78" s="9">
        <v>6</v>
      </c>
      <c r="F78" s="10">
        <v>5333.68</v>
      </c>
      <c r="G78" s="10">
        <f>F78*E78</f>
        <v>32002.080000000002</v>
      </c>
      <c r="H78" s="18">
        <v>3</v>
      </c>
      <c r="I78" s="19">
        <v>5333.68</v>
      </c>
      <c r="J78" s="19">
        <f>I78*H78</f>
        <v>16001.04</v>
      </c>
    </row>
    <row r="79" spans="1:10" ht="17" thickBot="1" x14ac:dyDescent="0.25">
      <c r="A79" s="9" t="s">
        <v>823</v>
      </c>
      <c r="B79" s="76" t="s">
        <v>952</v>
      </c>
      <c r="C79" s="9" t="s">
        <v>9</v>
      </c>
      <c r="D79" s="9" t="s">
        <v>665</v>
      </c>
      <c r="E79" s="9">
        <v>12</v>
      </c>
      <c r="F79" s="10">
        <v>7308</v>
      </c>
      <c r="G79" s="10">
        <f t="shared" ref="G79:G86" si="2">F79*E79</f>
        <v>87696</v>
      </c>
      <c r="H79" s="18">
        <v>6</v>
      </c>
      <c r="I79" s="19">
        <v>7308</v>
      </c>
      <c r="J79" s="19">
        <f t="shared" ref="J79:J86" si="3">I79*H79</f>
        <v>43848</v>
      </c>
    </row>
    <row r="80" spans="1:10" ht="17" thickBot="1" x14ac:dyDescent="0.25">
      <c r="A80" s="9" t="s">
        <v>822</v>
      </c>
      <c r="B80" s="76" t="s">
        <v>857</v>
      </c>
      <c r="C80" s="9" t="s">
        <v>9</v>
      </c>
      <c r="D80" s="9" t="s">
        <v>163</v>
      </c>
      <c r="E80" s="9">
        <v>6</v>
      </c>
      <c r="F80" s="10">
        <v>5452</v>
      </c>
      <c r="G80" s="10">
        <f t="shared" si="2"/>
        <v>32712</v>
      </c>
      <c r="H80" s="18">
        <v>3</v>
      </c>
      <c r="I80" s="19">
        <v>5452</v>
      </c>
      <c r="J80" s="19">
        <f t="shared" si="3"/>
        <v>16356</v>
      </c>
    </row>
    <row r="81" spans="1:13" ht="17" thickBot="1" x14ac:dyDescent="0.25">
      <c r="A81" s="9" t="s">
        <v>822</v>
      </c>
      <c r="B81" s="76" t="s">
        <v>915</v>
      </c>
      <c r="C81" s="9" t="s">
        <v>9</v>
      </c>
      <c r="D81" s="9" t="s">
        <v>676</v>
      </c>
      <c r="E81" s="9">
        <v>6</v>
      </c>
      <c r="F81" s="10">
        <v>6206</v>
      </c>
      <c r="G81" s="10">
        <f t="shared" si="2"/>
        <v>37236</v>
      </c>
      <c r="H81" s="18">
        <v>3</v>
      </c>
      <c r="I81" s="19">
        <v>6206</v>
      </c>
      <c r="J81" s="19">
        <f t="shared" si="3"/>
        <v>18618</v>
      </c>
    </row>
    <row r="82" spans="1:13" ht="17" thickBot="1" x14ac:dyDescent="0.25">
      <c r="A82" s="9" t="s">
        <v>140</v>
      </c>
      <c r="B82" s="76" t="s">
        <v>1276</v>
      </c>
      <c r="C82" s="9" t="s">
        <v>9</v>
      </c>
      <c r="D82" s="9" t="s">
        <v>1259</v>
      </c>
      <c r="E82" s="9">
        <v>27</v>
      </c>
      <c r="F82" s="10">
        <v>1972</v>
      </c>
      <c r="G82" s="10">
        <f t="shared" si="2"/>
        <v>53244</v>
      </c>
      <c r="H82" s="18">
        <v>14</v>
      </c>
      <c r="I82" s="19">
        <v>1972</v>
      </c>
      <c r="J82" s="19">
        <f t="shared" si="3"/>
        <v>27608</v>
      </c>
    </row>
    <row r="83" spans="1:13" ht="17" thickBot="1" x14ac:dyDescent="0.25">
      <c r="A83" s="9" t="s">
        <v>45</v>
      </c>
      <c r="B83" s="76" t="s">
        <v>1277</v>
      </c>
      <c r="C83" s="9" t="s">
        <v>9</v>
      </c>
      <c r="D83" s="9" t="s">
        <v>1216</v>
      </c>
      <c r="E83" s="9">
        <v>67</v>
      </c>
      <c r="F83" s="10">
        <v>6728</v>
      </c>
      <c r="G83" s="10">
        <f t="shared" si="2"/>
        <v>450776</v>
      </c>
      <c r="H83" s="18">
        <v>15</v>
      </c>
      <c r="I83" s="19">
        <v>6728</v>
      </c>
      <c r="J83" s="19">
        <f t="shared" si="3"/>
        <v>100920</v>
      </c>
    </row>
    <row r="84" spans="1:13" ht="17" thickBot="1" x14ac:dyDescent="0.25">
      <c r="A84" s="9" t="s">
        <v>667</v>
      </c>
      <c r="B84" s="76" t="s">
        <v>974</v>
      </c>
      <c r="C84" s="9" t="s">
        <v>36</v>
      </c>
      <c r="D84" s="9" t="s">
        <v>668</v>
      </c>
      <c r="E84" s="9">
        <v>6</v>
      </c>
      <c r="F84" s="10">
        <v>6368.4</v>
      </c>
      <c r="G84" s="10">
        <f t="shared" si="2"/>
        <v>38210.399999999994</v>
      </c>
      <c r="H84" s="18">
        <v>3</v>
      </c>
      <c r="I84" s="19">
        <v>6368.4</v>
      </c>
      <c r="J84" s="19">
        <f t="shared" si="3"/>
        <v>19105.199999999997</v>
      </c>
    </row>
    <row r="85" spans="1:13" ht="17" thickBot="1" x14ac:dyDescent="0.25">
      <c r="A85" s="9" t="s">
        <v>282</v>
      </c>
      <c r="B85" s="76" t="s">
        <v>923</v>
      </c>
      <c r="C85" s="9" t="s">
        <v>9</v>
      </c>
      <c r="D85" s="9" t="s">
        <v>1274</v>
      </c>
      <c r="E85" s="9">
        <v>135</v>
      </c>
      <c r="F85" s="10">
        <v>4524</v>
      </c>
      <c r="G85" s="10">
        <f t="shared" si="2"/>
        <v>610740</v>
      </c>
      <c r="H85" s="18">
        <v>27</v>
      </c>
      <c r="I85" s="19">
        <v>4524</v>
      </c>
      <c r="J85" s="19">
        <f t="shared" si="3"/>
        <v>122148</v>
      </c>
    </row>
    <row r="86" spans="1:13" ht="17" thickBot="1" x14ac:dyDescent="0.25">
      <c r="A86" s="9" t="s">
        <v>45</v>
      </c>
      <c r="B86" s="76" t="s">
        <v>979</v>
      </c>
      <c r="C86" s="9" t="s">
        <v>4</v>
      </c>
      <c r="D86" s="9" t="s">
        <v>681</v>
      </c>
      <c r="E86" s="9">
        <v>12</v>
      </c>
      <c r="F86" s="10">
        <v>14418.8</v>
      </c>
      <c r="G86" s="10">
        <f t="shared" si="2"/>
        <v>173025.59999999998</v>
      </c>
      <c r="H86" s="18">
        <v>6</v>
      </c>
      <c r="I86" s="19">
        <v>14418.8</v>
      </c>
      <c r="J86" s="19">
        <f t="shared" si="3"/>
        <v>86512.799999999988</v>
      </c>
    </row>
    <row r="87" spans="1:13" ht="17" thickBot="1" x14ac:dyDescent="0.25">
      <c r="A87" s="2"/>
      <c r="B87" s="77"/>
      <c r="G87" s="12">
        <f>SUM(G78:G86)</f>
        <v>1515642.08</v>
      </c>
      <c r="I87" s="3"/>
      <c r="J87" s="34">
        <f>SUM(J78:J86)</f>
        <v>451117.04</v>
      </c>
    </row>
    <row r="88" spans="1:13" ht="17" thickBot="1" x14ac:dyDescent="0.25">
      <c r="A88" s="30" t="s">
        <v>1270</v>
      </c>
      <c r="B88" s="2" t="s">
        <v>821</v>
      </c>
      <c r="C88" s="2" t="s">
        <v>820</v>
      </c>
      <c r="F88" s="2"/>
      <c r="G88" s="3"/>
    </row>
    <row r="89" spans="1:13" ht="17" thickBot="1" x14ac:dyDescent="0.25">
      <c r="A89" s="9" t="s">
        <v>242</v>
      </c>
      <c r="B89" s="75"/>
      <c r="C89" s="9" t="s">
        <v>36</v>
      </c>
      <c r="D89" s="9" t="s">
        <v>1114</v>
      </c>
      <c r="E89" s="9">
        <v>129</v>
      </c>
      <c r="F89" s="10">
        <v>5196.8</v>
      </c>
      <c r="G89" s="10">
        <f>F89*E89</f>
        <v>670387.20000000007</v>
      </c>
      <c r="H89" s="18"/>
      <c r="I89" s="19">
        <v>5196.8</v>
      </c>
      <c r="J89" s="19">
        <f>I89*H89</f>
        <v>0</v>
      </c>
      <c r="K89" s="27"/>
      <c r="L89" s="28">
        <v>5196.8</v>
      </c>
      <c r="M89" s="28">
        <f>L89*K89</f>
        <v>0</v>
      </c>
    </row>
    <row r="90" spans="1:13" ht="18" thickBot="1" x14ac:dyDescent="0.25">
      <c r="A90" s="9" t="s">
        <v>797</v>
      </c>
      <c r="B90" s="75" t="s">
        <v>1271</v>
      </c>
      <c r="C90" s="9" t="s">
        <v>36</v>
      </c>
      <c r="D90" s="9" t="s">
        <v>941</v>
      </c>
      <c r="E90" s="9">
        <v>135</v>
      </c>
      <c r="F90" s="10">
        <v>3596</v>
      </c>
      <c r="G90" s="10">
        <f>F90*E90</f>
        <v>485460</v>
      </c>
      <c r="H90" s="18">
        <v>11</v>
      </c>
      <c r="I90" s="19">
        <v>3596</v>
      </c>
      <c r="J90" s="19">
        <f>I90*H90</f>
        <v>39556</v>
      </c>
      <c r="K90" s="27">
        <v>20</v>
      </c>
      <c r="L90" s="28">
        <v>3596</v>
      </c>
      <c r="M90" s="28">
        <f>L90*K90</f>
        <v>71920</v>
      </c>
    </row>
    <row r="91" spans="1:13" ht="18" thickBot="1" x14ac:dyDescent="0.25">
      <c r="A91" s="9" t="s">
        <v>1115</v>
      </c>
      <c r="B91" s="75" t="s">
        <v>1272</v>
      </c>
      <c r="C91" s="9" t="s">
        <v>36</v>
      </c>
      <c r="D91" s="9" t="s">
        <v>1116</v>
      </c>
      <c r="E91" s="9">
        <v>10</v>
      </c>
      <c r="F91" s="10">
        <v>777.2</v>
      </c>
      <c r="G91" s="10">
        <f>F91*E91</f>
        <v>7772</v>
      </c>
      <c r="H91" s="18">
        <v>5</v>
      </c>
      <c r="I91" s="19">
        <v>777.2</v>
      </c>
      <c r="J91" s="19">
        <f>I91*H91</f>
        <v>3886</v>
      </c>
      <c r="K91" s="27"/>
      <c r="L91" s="28">
        <v>777.2</v>
      </c>
      <c r="M91" s="28">
        <f>L91*K91</f>
        <v>0</v>
      </c>
    </row>
    <row r="92" spans="1:13" ht="18" thickBot="1" x14ac:dyDescent="0.25">
      <c r="A92" s="9" t="s">
        <v>1117</v>
      </c>
      <c r="B92" s="75" t="s">
        <v>1273</v>
      </c>
      <c r="C92" s="9" t="s">
        <v>36</v>
      </c>
      <c r="D92" s="9" t="s">
        <v>1118</v>
      </c>
      <c r="E92" s="9">
        <v>50</v>
      </c>
      <c r="F92" s="10">
        <v>1844.4</v>
      </c>
      <c r="G92" s="10">
        <f>F92*E92</f>
        <v>92220</v>
      </c>
      <c r="H92" s="18">
        <v>12</v>
      </c>
      <c r="I92" s="19">
        <v>1844.4</v>
      </c>
      <c r="J92" s="19">
        <f>I92*H92</f>
        <v>22132.800000000003</v>
      </c>
      <c r="K92" s="27"/>
      <c r="L92" s="28">
        <v>1844.4</v>
      </c>
      <c r="M92" s="28">
        <f>L92*K92</f>
        <v>0</v>
      </c>
    </row>
    <row r="93" spans="1:13" ht="17" thickBot="1" x14ac:dyDescent="0.25">
      <c r="A93" s="2"/>
      <c r="B93" s="2"/>
      <c r="F93" s="2"/>
      <c r="G93" s="103">
        <f>SUM(G89:G92)</f>
        <v>1255839.2000000002</v>
      </c>
      <c r="J93" s="114">
        <f>SUM(J89:J92)</f>
        <v>65574.8</v>
      </c>
      <c r="M93" s="150">
        <f>SUM(M89:M92)</f>
        <v>71920</v>
      </c>
    </row>
    <row r="94" spans="1:13" x14ac:dyDescent="0.2">
      <c r="A94" s="2"/>
      <c r="B94" s="77"/>
      <c r="G94" s="3"/>
    </row>
    <row r="95" spans="1:13" x14ac:dyDescent="0.2">
      <c r="A95" s="2"/>
      <c r="B95" s="77"/>
      <c r="G95" s="3"/>
    </row>
    <row r="96" spans="1:13" ht="17" thickBot="1" x14ac:dyDescent="0.25">
      <c r="A96" s="30" t="s">
        <v>825</v>
      </c>
      <c r="B96" s="74"/>
      <c r="C96" s="2" t="s">
        <v>821</v>
      </c>
      <c r="D96" s="2" t="s">
        <v>820</v>
      </c>
      <c r="G96" s="3"/>
    </row>
    <row r="97" spans="1:13" ht="17" thickBot="1" x14ac:dyDescent="0.25">
      <c r="A97" s="184" t="s">
        <v>46</v>
      </c>
      <c r="B97" s="185" t="s">
        <v>1279</v>
      </c>
      <c r="C97" s="184" t="s">
        <v>36</v>
      </c>
      <c r="D97" s="184" t="s">
        <v>1278</v>
      </c>
      <c r="E97" s="184">
        <v>28</v>
      </c>
      <c r="F97" s="186">
        <v>2000</v>
      </c>
      <c r="G97" s="186">
        <v>56000.07</v>
      </c>
      <c r="H97" s="18">
        <v>14</v>
      </c>
      <c r="I97" s="19">
        <v>2000</v>
      </c>
      <c r="J97" s="19">
        <f>I97*H97</f>
        <v>28000</v>
      </c>
    </row>
    <row r="98" spans="1:13" ht="17" thickBot="1" x14ac:dyDescent="0.25">
      <c r="A98" s="184" t="s">
        <v>667</v>
      </c>
      <c r="B98" s="185"/>
      <c r="C98" s="184" t="s">
        <v>36</v>
      </c>
      <c r="D98" s="184"/>
      <c r="E98" s="184">
        <v>6</v>
      </c>
      <c r="F98" s="186">
        <v>1547.76</v>
      </c>
      <c r="G98" s="186">
        <v>9286.59</v>
      </c>
      <c r="H98" s="18"/>
      <c r="I98" s="19">
        <v>1547.76</v>
      </c>
      <c r="J98" s="19">
        <f>I98*H98</f>
        <v>0</v>
      </c>
    </row>
    <row r="99" spans="1:13" ht="17" thickBot="1" x14ac:dyDescent="0.25">
      <c r="A99" s="9" t="s">
        <v>140</v>
      </c>
      <c r="B99" s="76" t="s">
        <v>1276</v>
      </c>
      <c r="C99" s="9" t="s">
        <v>36</v>
      </c>
      <c r="D99" s="9" t="s">
        <v>1263</v>
      </c>
      <c r="E99" s="9">
        <v>27</v>
      </c>
      <c r="F99" s="10">
        <v>2192.4</v>
      </c>
      <c r="G99" s="10">
        <f>F99*E99</f>
        <v>59194.8</v>
      </c>
      <c r="H99" s="18">
        <v>14</v>
      </c>
      <c r="I99" s="19">
        <v>2192.4</v>
      </c>
      <c r="J99" s="19">
        <f>I99*H99</f>
        <v>30693.600000000002</v>
      </c>
    </row>
    <row r="100" spans="1:13" ht="17" thickBot="1" x14ac:dyDescent="0.25">
      <c r="A100" s="9" t="s">
        <v>58</v>
      </c>
      <c r="B100" s="76" t="s">
        <v>899</v>
      </c>
      <c r="C100" s="9" t="s">
        <v>36</v>
      </c>
      <c r="D100" s="9" t="s">
        <v>343</v>
      </c>
      <c r="E100" s="9">
        <v>120</v>
      </c>
      <c r="F100" s="10">
        <v>65284.800000000003</v>
      </c>
      <c r="G100" s="10">
        <f>F100*E100</f>
        <v>7834176</v>
      </c>
      <c r="H100" s="18">
        <v>50</v>
      </c>
      <c r="I100" s="19">
        <v>65284.800000000003</v>
      </c>
      <c r="J100" s="19">
        <f>I100*H100</f>
        <v>3264240</v>
      </c>
    </row>
    <row r="101" spans="1:13" ht="17" thickBot="1" x14ac:dyDescent="0.25">
      <c r="A101" s="9" t="s">
        <v>667</v>
      </c>
      <c r="B101" s="76" t="s">
        <v>1280</v>
      </c>
      <c r="C101" s="9" t="s">
        <v>36</v>
      </c>
      <c r="D101" s="9" t="s">
        <v>988</v>
      </c>
      <c r="E101" s="9">
        <v>6</v>
      </c>
      <c r="F101" s="10">
        <v>11368</v>
      </c>
      <c r="G101" s="10">
        <f>F101*E101</f>
        <v>68208</v>
      </c>
      <c r="H101" s="18">
        <v>3</v>
      </c>
      <c r="I101" s="19">
        <v>11368</v>
      </c>
      <c r="J101" s="19">
        <f>I101*H101</f>
        <v>34104</v>
      </c>
    </row>
    <row r="102" spans="1:13" ht="17" thickBot="1" x14ac:dyDescent="0.25">
      <c r="A102" s="2"/>
      <c r="B102" s="77"/>
      <c r="G102" s="12">
        <f>SUM(G97:G101)</f>
        <v>8026865.46</v>
      </c>
      <c r="I102" s="3"/>
      <c r="J102" s="34">
        <f>SUM(J97:J101)</f>
        <v>3357037.6</v>
      </c>
    </row>
    <row r="103" spans="1:13" ht="17" thickBot="1" x14ac:dyDescent="0.25">
      <c r="A103" s="30" t="s">
        <v>1137</v>
      </c>
      <c r="B103" s="2" t="s">
        <v>1135</v>
      </c>
      <c r="C103" s="2" t="s">
        <v>1136</v>
      </c>
      <c r="F103" s="2"/>
    </row>
    <row r="104" spans="1:13" ht="17" thickBot="1" x14ac:dyDescent="0.25">
      <c r="A104" s="9" t="s">
        <v>45</v>
      </c>
      <c r="B104" s="9"/>
      <c r="C104" s="9" t="s">
        <v>36</v>
      </c>
      <c r="D104" s="9" t="s">
        <v>113</v>
      </c>
      <c r="E104" s="9">
        <v>12</v>
      </c>
      <c r="F104" s="10">
        <v>10440</v>
      </c>
      <c r="G104" s="12">
        <f>F104*E104</f>
        <v>125280</v>
      </c>
    </row>
    <row r="105" spans="1:13" x14ac:dyDescent="0.2">
      <c r="A105" s="7"/>
    </row>
    <row r="106" spans="1:13" ht="17" thickBot="1" x14ac:dyDescent="0.25">
      <c r="A106" s="30" t="s">
        <v>1143</v>
      </c>
      <c r="B106" s="2" t="s">
        <v>1135</v>
      </c>
      <c r="C106" s="2" t="s">
        <v>1136</v>
      </c>
      <c r="F106" s="2"/>
    </row>
    <row r="107" spans="1:13" ht="17" thickBot="1" x14ac:dyDescent="0.25">
      <c r="A107" s="9" t="s">
        <v>243</v>
      </c>
      <c r="B107" s="75"/>
      <c r="C107" s="9" t="s">
        <v>36</v>
      </c>
      <c r="D107" s="9" t="s">
        <v>1142</v>
      </c>
      <c r="E107" s="9">
        <v>12</v>
      </c>
      <c r="F107" s="10">
        <v>5684</v>
      </c>
      <c r="G107" s="10">
        <f>F107*E107</f>
        <v>68208</v>
      </c>
      <c r="H107" s="18">
        <v>3</v>
      </c>
      <c r="I107" s="19">
        <v>5684</v>
      </c>
      <c r="J107" s="19">
        <f>I107*H107</f>
        <v>17052</v>
      </c>
      <c r="K107" s="27"/>
      <c r="L107" s="28">
        <v>5684</v>
      </c>
      <c r="M107" s="28">
        <f>L107*K107</f>
        <v>0</v>
      </c>
    </row>
    <row r="108" spans="1:13" ht="18" thickBot="1" x14ac:dyDescent="0.25">
      <c r="A108" s="9" t="s">
        <v>58</v>
      </c>
      <c r="B108" s="75" t="s">
        <v>893</v>
      </c>
      <c r="C108" s="9" t="s">
        <v>36</v>
      </c>
      <c r="D108" s="9" t="s">
        <v>1141</v>
      </c>
      <c r="E108" s="9">
        <v>27</v>
      </c>
      <c r="F108" s="10">
        <v>113564</v>
      </c>
      <c r="G108" s="10">
        <f>F108*E108</f>
        <v>3066228</v>
      </c>
      <c r="H108" s="18">
        <v>7</v>
      </c>
      <c r="I108" s="19">
        <v>113564</v>
      </c>
      <c r="J108" s="19">
        <f>I108*H108</f>
        <v>794948</v>
      </c>
      <c r="K108" s="27">
        <v>20</v>
      </c>
      <c r="L108" s="28">
        <v>113564</v>
      </c>
      <c r="M108" s="28">
        <f>L108*K108</f>
        <v>2271280</v>
      </c>
    </row>
    <row r="109" spans="1:13" ht="17" thickBot="1" x14ac:dyDescent="0.25">
      <c r="A109" s="9" t="s">
        <v>285</v>
      </c>
      <c r="B109" s="75"/>
      <c r="C109" s="9" t="s">
        <v>36</v>
      </c>
      <c r="D109" s="9" t="s">
        <v>690</v>
      </c>
      <c r="E109" s="9">
        <v>45</v>
      </c>
      <c r="F109" s="10">
        <v>10672</v>
      </c>
      <c r="G109" s="10">
        <f>F109*E109</f>
        <v>480240</v>
      </c>
      <c r="H109" s="18">
        <v>11</v>
      </c>
      <c r="I109" s="19">
        <v>10672</v>
      </c>
      <c r="J109" s="19">
        <f>I109*H109</f>
        <v>117392</v>
      </c>
      <c r="K109" s="27"/>
      <c r="L109" s="28">
        <v>10672</v>
      </c>
      <c r="M109" s="28">
        <f>L109*K109</f>
        <v>0</v>
      </c>
    </row>
    <row r="110" spans="1:13" ht="17" thickBot="1" x14ac:dyDescent="0.25">
      <c r="A110" s="9" t="s">
        <v>45</v>
      </c>
      <c r="B110" s="75"/>
      <c r="C110" s="9" t="s">
        <v>36</v>
      </c>
      <c r="D110" s="9" t="s">
        <v>120</v>
      </c>
      <c r="E110" s="9">
        <v>12</v>
      </c>
      <c r="F110" s="10">
        <v>11600</v>
      </c>
      <c r="G110" s="10">
        <f>F110*E110</f>
        <v>139200</v>
      </c>
      <c r="H110" s="18">
        <v>3</v>
      </c>
      <c r="I110" s="19">
        <v>11600</v>
      </c>
      <c r="J110" s="19">
        <f>I110*H110</f>
        <v>34800</v>
      </c>
      <c r="K110" s="27"/>
      <c r="L110" s="28">
        <v>11600</v>
      </c>
      <c r="M110" s="28">
        <f>L110*K110</f>
        <v>0</v>
      </c>
    </row>
    <row r="111" spans="1:13" ht="17" thickBot="1" x14ac:dyDescent="0.25">
      <c r="A111" s="9" t="s">
        <v>35</v>
      </c>
      <c r="B111" s="75"/>
      <c r="C111" s="9" t="s">
        <v>36</v>
      </c>
      <c r="D111" s="9" t="s">
        <v>319</v>
      </c>
      <c r="E111" s="9">
        <v>48</v>
      </c>
      <c r="F111" s="10">
        <v>6380</v>
      </c>
      <c r="G111" s="10">
        <f>F111*E111</f>
        <v>306240</v>
      </c>
      <c r="H111" s="18">
        <v>12</v>
      </c>
      <c r="I111" s="19">
        <v>6380</v>
      </c>
      <c r="J111" s="19">
        <f>I111*H111</f>
        <v>76560</v>
      </c>
      <c r="K111" s="27"/>
      <c r="L111" s="28">
        <v>6380</v>
      </c>
      <c r="M111" s="28">
        <f>L111*K111</f>
        <v>0</v>
      </c>
    </row>
    <row r="112" spans="1:13" ht="17" thickBot="1" x14ac:dyDescent="0.25">
      <c r="A112" s="2"/>
      <c r="F112" s="2"/>
      <c r="G112" s="103">
        <f>SUM(G107:G111)</f>
        <v>4060116</v>
      </c>
      <c r="J112" s="114">
        <f>SUM(J107:J111)</f>
        <v>1040752</v>
      </c>
      <c r="M112" s="150">
        <f>SUM(M107:M111)</f>
        <v>2271280</v>
      </c>
    </row>
    <row r="113" spans="1:13" ht="17" thickBot="1" x14ac:dyDescent="0.25">
      <c r="A113" s="30" t="s">
        <v>1645</v>
      </c>
      <c r="B113" s="2" t="s">
        <v>1135</v>
      </c>
      <c r="C113" s="2" t="s">
        <v>1136</v>
      </c>
      <c r="F113" s="2"/>
      <c r="G113" s="107"/>
      <c r="J113" s="107"/>
    </row>
    <row r="114" spans="1:13" ht="17" thickBot="1" x14ac:dyDescent="0.25">
      <c r="A114" s="9" t="s">
        <v>58</v>
      </c>
      <c r="B114" s="75"/>
      <c r="C114" s="312" t="s">
        <v>36</v>
      </c>
      <c r="D114" s="9"/>
      <c r="E114" s="9">
        <v>54</v>
      </c>
      <c r="F114" s="10">
        <v>113564</v>
      </c>
      <c r="G114" s="12">
        <f>F114*E114</f>
        <v>6132456</v>
      </c>
      <c r="H114" s="23">
        <v>24</v>
      </c>
      <c r="I114" s="24">
        <v>113564</v>
      </c>
      <c r="J114" s="26">
        <f>I114*H114</f>
        <v>2725536</v>
      </c>
    </row>
    <row r="115" spans="1:13" x14ac:dyDescent="0.2">
      <c r="A115" s="2"/>
      <c r="F115" s="2"/>
      <c r="G115" s="3"/>
      <c r="J115" s="107"/>
    </row>
    <row r="116" spans="1:13" x14ac:dyDescent="0.2">
      <c r="A116" s="2"/>
      <c r="F116" s="2"/>
      <c r="G116" s="107"/>
      <c r="J116" s="107"/>
    </row>
    <row r="118" spans="1:13" ht="17" thickBot="1" x14ac:dyDescent="0.25">
      <c r="A118" s="30" t="s">
        <v>1153</v>
      </c>
      <c r="B118" s="2" t="s">
        <v>1135</v>
      </c>
      <c r="C118" s="2" t="s">
        <v>1136</v>
      </c>
      <c r="F118" s="2"/>
    </row>
    <row r="119" spans="1:13" ht="17" thickBot="1" x14ac:dyDescent="0.25">
      <c r="A119" s="9" t="s">
        <v>239</v>
      </c>
      <c r="B119" s="76" t="s">
        <v>952</v>
      </c>
      <c r="C119" s="9" t="s">
        <v>36</v>
      </c>
      <c r="D119" s="9" t="s">
        <v>80</v>
      </c>
      <c r="E119" s="9">
        <v>48</v>
      </c>
      <c r="F119" s="10">
        <v>4872</v>
      </c>
      <c r="G119" s="10">
        <f>F119*E119</f>
        <v>233856</v>
      </c>
      <c r="H119" s="18">
        <v>12</v>
      </c>
      <c r="I119" s="19">
        <v>4872</v>
      </c>
      <c r="J119" s="19">
        <f>I119*H119</f>
        <v>58464</v>
      </c>
      <c r="K119" s="92"/>
      <c r="L119" s="93">
        <v>4872</v>
      </c>
      <c r="M119" s="93">
        <f>L119*K119</f>
        <v>0</v>
      </c>
    </row>
    <row r="120" spans="1:13" ht="17" thickBot="1" x14ac:dyDescent="0.25">
      <c r="A120" s="9" t="s">
        <v>239</v>
      </c>
      <c r="B120" s="76" t="s">
        <v>923</v>
      </c>
      <c r="C120" s="9" t="s">
        <v>36</v>
      </c>
      <c r="D120" s="9" t="s">
        <v>1152</v>
      </c>
      <c r="E120" s="9">
        <v>34</v>
      </c>
      <c r="F120" s="10">
        <v>4152.8</v>
      </c>
      <c r="G120" s="10">
        <f t="shared" ref="G120:G133" si="4">F120*E120</f>
        <v>141195.20000000001</v>
      </c>
      <c r="H120" s="18">
        <v>10</v>
      </c>
      <c r="I120" s="19">
        <v>4152.8</v>
      </c>
      <c r="J120" s="19">
        <f t="shared" ref="J120:J133" si="5">I120*H120</f>
        <v>41528</v>
      </c>
      <c r="K120" s="92"/>
      <c r="L120" s="93">
        <v>4152.8</v>
      </c>
      <c r="M120" s="93">
        <f t="shared" ref="M120:M133" si="6">L120*K120</f>
        <v>0</v>
      </c>
    </row>
    <row r="121" spans="1:13" ht="17" thickBot="1" x14ac:dyDescent="0.25">
      <c r="A121" s="9" t="s">
        <v>45</v>
      </c>
      <c r="B121" s="89" t="s">
        <v>925</v>
      </c>
      <c r="C121" s="9" t="s">
        <v>36</v>
      </c>
      <c r="D121" s="9" t="s">
        <v>987</v>
      </c>
      <c r="E121" s="9">
        <v>36</v>
      </c>
      <c r="F121" s="10">
        <v>17284</v>
      </c>
      <c r="G121" s="10">
        <f t="shared" si="4"/>
        <v>622224</v>
      </c>
      <c r="H121" s="18">
        <v>9</v>
      </c>
      <c r="I121" s="19">
        <v>17284</v>
      </c>
      <c r="J121" s="19">
        <f t="shared" si="5"/>
        <v>155556</v>
      </c>
      <c r="K121" s="92">
        <v>6</v>
      </c>
      <c r="L121" s="93">
        <v>17284</v>
      </c>
      <c r="M121" s="93">
        <f t="shared" si="6"/>
        <v>103704</v>
      </c>
    </row>
    <row r="122" spans="1:13" ht="17" thickBot="1" x14ac:dyDescent="0.25">
      <c r="A122" s="9" t="s">
        <v>35</v>
      </c>
      <c r="B122" s="76" t="s">
        <v>1277</v>
      </c>
      <c r="C122" s="9" t="s">
        <v>36</v>
      </c>
      <c r="D122" s="9" t="s">
        <v>677</v>
      </c>
      <c r="E122" s="9">
        <v>34</v>
      </c>
      <c r="F122" s="10">
        <v>8352</v>
      </c>
      <c r="G122" s="10">
        <f t="shared" si="4"/>
        <v>283968</v>
      </c>
      <c r="H122" s="18"/>
      <c r="I122" s="19">
        <v>8352</v>
      </c>
      <c r="J122" s="19">
        <f t="shared" si="5"/>
        <v>0</v>
      </c>
      <c r="K122" s="92"/>
      <c r="L122" s="93">
        <v>8352</v>
      </c>
      <c r="M122" s="93">
        <f t="shared" si="6"/>
        <v>0</v>
      </c>
    </row>
    <row r="123" spans="1:13" ht="18" thickBot="1" x14ac:dyDescent="0.25">
      <c r="A123" s="9" t="s">
        <v>35</v>
      </c>
      <c r="B123" s="75" t="s">
        <v>896</v>
      </c>
      <c r="C123" s="9" t="s">
        <v>36</v>
      </c>
      <c r="D123" s="9" t="s">
        <v>1151</v>
      </c>
      <c r="E123" s="9">
        <v>4</v>
      </c>
      <c r="F123" s="10">
        <v>8479.6</v>
      </c>
      <c r="G123" s="10">
        <f t="shared" si="4"/>
        <v>33918.400000000001</v>
      </c>
      <c r="H123" s="18">
        <v>1</v>
      </c>
      <c r="I123" s="19">
        <v>8479.6</v>
      </c>
      <c r="J123" s="19">
        <f t="shared" si="5"/>
        <v>8479.6</v>
      </c>
      <c r="K123" s="92">
        <v>3</v>
      </c>
      <c r="L123" s="93">
        <v>8479.6</v>
      </c>
      <c r="M123" s="93">
        <f t="shared" si="6"/>
        <v>25438.800000000003</v>
      </c>
    </row>
    <row r="124" spans="1:13" ht="18" thickBot="1" x14ac:dyDescent="0.25">
      <c r="A124" s="9" t="s">
        <v>46</v>
      </c>
      <c r="B124" s="75" t="s">
        <v>903</v>
      </c>
      <c r="C124" s="9" t="s">
        <v>36</v>
      </c>
      <c r="D124" s="9" t="s">
        <v>991</v>
      </c>
      <c r="E124" s="9">
        <v>12</v>
      </c>
      <c r="F124" s="10">
        <v>3004.4</v>
      </c>
      <c r="G124" s="10">
        <f t="shared" si="4"/>
        <v>36052.800000000003</v>
      </c>
      <c r="H124" s="18">
        <v>3</v>
      </c>
      <c r="I124" s="19">
        <v>3004.4</v>
      </c>
      <c r="J124" s="19">
        <f t="shared" si="5"/>
        <v>9013.2000000000007</v>
      </c>
      <c r="K124" s="92">
        <v>9</v>
      </c>
      <c r="L124" s="93">
        <v>3004.4</v>
      </c>
      <c r="M124" s="93">
        <f t="shared" si="6"/>
        <v>27039.600000000002</v>
      </c>
    </row>
    <row r="125" spans="1:13" ht="18" thickBot="1" x14ac:dyDescent="0.25">
      <c r="A125" s="9" t="s">
        <v>285</v>
      </c>
      <c r="B125" s="75" t="s">
        <v>929</v>
      </c>
      <c r="C125" s="9" t="s">
        <v>36</v>
      </c>
      <c r="D125" s="9" t="s">
        <v>656</v>
      </c>
      <c r="E125" s="9">
        <v>8</v>
      </c>
      <c r="F125" s="10">
        <v>3016</v>
      </c>
      <c r="G125" s="10">
        <f t="shared" si="4"/>
        <v>24128</v>
      </c>
      <c r="H125" s="18">
        <v>2</v>
      </c>
      <c r="I125" s="19">
        <v>3016</v>
      </c>
      <c r="J125" s="19">
        <f t="shared" si="5"/>
        <v>6032</v>
      </c>
      <c r="K125" s="92">
        <v>6</v>
      </c>
      <c r="L125" s="93">
        <v>3016</v>
      </c>
      <c r="M125" s="93">
        <f t="shared" si="6"/>
        <v>18096</v>
      </c>
    </row>
    <row r="126" spans="1:13" ht="18" thickBot="1" x14ac:dyDescent="0.25">
      <c r="A126" s="9" t="s">
        <v>35</v>
      </c>
      <c r="B126" s="75" t="s">
        <v>885</v>
      </c>
      <c r="C126" s="9" t="s">
        <v>36</v>
      </c>
      <c r="D126" s="9" t="s">
        <v>167</v>
      </c>
      <c r="E126" s="9">
        <v>24</v>
      </c>
      <c r="F126" s="10">
        <v>11948</v>
      </c>
      <c r="G126" s="10">
        <f t="shared" si="4"/>
        <v>286752</v>
      </c>
      <c r="H126" s="18">
        <v>8</v>
      </c>
      <c r="I126" s="19">
        <v>11948</v>
      </c>
      <c r="J126" s="19">
        <f t="shared" si="5"/>
        <v>95584</v>
      </c>
      <c r="K126" s="92"/>
      <c r="L126" s="93">
        <v>11948</v>
      </c>
      <c r="M126" s="93">
        <f t="shared" si="6"/>
        <v>0</v>
      </c>
    </row>
    <row r="127" spans="1:13" ht="18" thickBot="1" x14ac:dyDescent="0.25">
      <c r="A127" s="9" t="s">
        <v>283</v>
      </c>
      <c r="B127" s="87" t="s">
        <v>921</v>
      </c>
      <c r="C127" s="9" t="s">
        <v>36</v>
      </c>
      <c r="D127" s="9" t="s">
        <v>311</v>
      </c>
      <c r="E127" s="9">
        <v>12</v>
      </c>
      <c r="F127" s="10">
        <v>7540</v>
      </c>
      <c r="G127" s="10">
        <f t="shared" si="4"/>
        <v>90480</v>
      </c>
      <c r="H127" s="18">
        <v>3</v>
      </c>
      <c r="I127" s="19">
        <v>7540</v>
      </c>
      <c r="J127" s="19">
        <f t="shared" si="5"/>
        <v>22620</v>
      </c>
      <c r="K127" s="92"/>
      <c r="L127" s="93">
        <v>7540</v>
      </c>
      <c r="M127" s="93">
        <f t="shared" si="6"/>
        <v>0</v>
      </c>
    </row>
    <row r="128" spans="1:13" ht="18" thickBot="1" x14ac:dyDescent="0.25">
      <c r="A128" s="9" t="s">
        <v>290</v>
      </c>
      <c r="B128" s="75" t="s">
        <v>831</v>
      </c>
      <c r="C128" s="9" t="s">
        <v>36</v>
      </c>
      <c r="D128" s="9" t="s">
        <v>1150</v>
      </c>
      <c r="E128" s="9">
        <v>12</v>
      </c>
      <c r="F128" s="10">
        <v>3306</v>
      </c>
      <c r="G128" s="10">
        <f t="shared" si="4"/>
        <v>39672</v>
      </c>
      <c r="H128" s="18">
        <v>3</v>
      </c>
      <c r="I128" s="19">
        <v>3306</v>
      </c>
      <c r="J128" s="19">
        <f t="shared" si="5"/>
        <v>9918</v>
      </c>
      <c r="K128" s="92"/>
      <c r="L128" s="93">
        <v>3306</v>
      </c>
      <c r="M128" s="93">
        <f t="shared" si="6"/>
        <v>0</v>
      </c>
    </row>
    <row r="129" spans="1:13" ht="17" thickBot="1" x14ac:dyDescent="0.25">
      <c r="A129" s="9" t="s">
        <v>140</v>
      </c>
      <c r="B129" s="76" t="s">
        <v>974</v>
      </c>
      <c r="C129" s="9" t="s">
        <v>36</v>
      </c>
      <c r="D129" s="9" t="s">
        <v>989</v>
      </c>
      <c r="E129" s="9">
        <v>60</v>
      </c>
      <c r="F129" s="10">
        <v>9512</v>
      </c>
      <c r="G129" s="10">
        <f t="shared" si="4"/>
        <v>570720</v>
      </c>
      <c r="H129" s="18"/>
      <c r="I129" s="19">
        <v>9512</v>
      </c>
      <c r="J129" s="19">
        <f t="shared" si="5"/>
        <v>0</v>
      </c>
      <c r="K129" s="92"/>
      <c r="L129" s="93">
        <v>9512</v>
      </c>
      <c r="M129" s="93">
        <f t="shared" si="6"/>
        <v>0</v>
      </c>
    </row>
    <row r="130" spans="1:13" ht="18" thickBot="1" x14ac:dyDescent="0.25">
      <c r="A130" s="9" t="s">
        <v>35</v>
      </c>
      <c r="B130" s="75" t="s">
        <v>896</v>
      </c>
      <c r="C130" s="9" t="s">
        <v>36</v>
      </c>
      <c r="D130" s="9" t="s">
        <v>198</v>
      </c>
      <c r="E130" s="9">
        <v>24</v>
      </c>
      <c r="F130" s="10">
        <v>11484</v>
      </c>
      <c r="G130" s="10">
        <f t="shared" si="4"/>
        <v>275616</v>
      </c>
      <c r="H130" s="18">
        <v>6</v>
      </c>
      <c r="I130" s="19">
        <v>11484</v>
      </c>
      <c r="J130" s="19">
        <f t="shared" si="5"/>
        <v>68904</v>
      </c>
      <c r="K130" s="92"/>
      <c r="L130" s="93">
        <v>11484</v>
      </c>
      <c r="M130" s="93">
        <f t="shared" si="6"/>
        <v>0</v>
      </c>
    </row>
    <row r="131" spans="1:13" ht="18" thickBot="1" x14ac:dyDescent="0.25">
      <c r="A131" s="9" t="s">
        <v>45</v>
      </c>
      <c r="B131" s="75" t="s">
        <v>918</v>
      </c>
      <c r="C131" s="9" t="s">
        <v>36</v>
      </c>
      <c r="D131" s="9" t="s">
        <v>1149</v>
      </c>
      <c r="E131" s="9">
        <v>12</v>
      </c>
      <c r="F131" s="10">
        <v>3108.8</v>
      </c>
      <c r="G131" s="10">
        <f t="shared" si="4"/>
        <v>37305.600000000006</v>
      </c>
      <c r="H131" s="18">
        <v>3</v>
      </c>
      <c r="I131" s="19">
        <v>3108.8</v>
      </c>
      <c r="J131" s="19">
        <f t="shared" si="5"/>
        <v>9326.4000000000015</v>
      </c>
      <c r="K131" s="92">
        <v>9</v>
      </c>
      <c r="L131" s="93">
        <v>3108.8</v>
      </c>
      <c r="M131" s="93">
        <f t="shared" si="6"/>
        <v>27979.200000000001</v>
      </c>
    </row>
    <row r="132" spans="1:13" ht="18" thickBot="1" x14ac:dyDescent="0.25">
      <c r="A132" s="9" t="s">
        <v>239</v>
      </c>
      <c r="B132" s="75" t="s">
        <v>894</v>
      </c>
      <c r="C132" s="9" t="s">
        <v>36</v>
      </c>
      <c r="D132" s="9" t="s">
        <v>81</v>
      </c>
      <c r="E132" s="9">
        <v>36</v>
      </c>
      <c r="F132" s="10">
        <v>5742</v>
      </c>
      <c r="G132" s="10">
        <f t="shared" si="4"/>
        <v>206712</v>
      </c>
      <c r="H132" s="18">
        <v>9</v>
      </c>
      <c r="I132" s="19">
        <v>5742</v>
      </c>
      <c r="J132" s="19">
        <f t="shared" si="5"/>
        <v>51678</v>
      </c>
      <c r="K132" s="92">
        <v>27</v>
      </c>
      <c r="L132" s="93">
        <v>5742</v>
      </c>
      <c r="M132" s="93">
        <f t="shared" si="6"/>
        <v>155034</v>
      </c>
    </row>
    <row r="133" spans="1:13" ht="18" thickBot="1" x14ac:dyDescent="0.25">
      <c r="A133" s="9" t="s">
        <v>58</v>
      </c>
      <c r="B133" s="75" t="s">
        <v>895</v>
      </c>
      <c r="C133" s="9" t="s">
        <v>36</v>
      </c>
      <c r="D133" s="9" t="s">
        <v>413</v>
      </c>
      <c r="E133" s="9">
        <v>180</v>
      </c>
      <c r="F133" s="10">
        <v>3108.8</v>
      </c>
      <c r="G133" s="10">
        <f t="shared" si="4"/>
        <v>559584</v>
      </c>
      <c r="H133" s="18">
        <v>25</v>
      </c>
      <c r="I133" s="19">
        <v>3108.8</v>
      </c>
      <c r="J133" s="19">
        <f t="shared" si="5"/>
        <v>77720</v>
      </c>
      <c r="K133" s="92">
        <v>135</v>
      </c>
      <c r="L133" s="93">
        <v>3108.8</v>
      </c>
      <c r="M133" s="93">
        <f t="shared" si="6"/>
        <v>419688</v>
      </c>
    </row>
    <row r="134" spans="1:13" ht="17" thickBot="1" x14ac:dyDescent="0.25">
      <c r="A134" s="2"/>
      <c r="F134" s="99"/>
      <c r="G134" s="103">
        <f>SUM(G119:G133)</f>
        <v>3442184</v>
      </c>
      <c r="I134" s="99"/>
      <c r="J134" s="114">
        <f>SUM(J119:J133)</f>
        <v>614823.19999999995</v>
      </c>
      <c r="L134" s="99"/>
      <c r="M134" s="170">
        <f>SUM(M119:M133)</f>
        <v>776979.6</v>
      </c>
    </row>
    <row r="135" spans="1:13" ht="17" thickBot="1" x14ac:dyDescent="0.25">
      <c r="A135" s="30" t="s">
        <v>1268</v>
      </c>
      <c r="B135" s="2" t="s">
        <v>1135</v>
      </c>
      <c r="C135" s="2" t="s">
        <v>1267</v>
      </c>
      <c r="F135" s="2"/>
    </row>
    <row r="136" spans="1:13" ht="17" thickBot="1" x14ac:dyDescent="0.25">
      <c r="A136" s="9" t="s">
        <v>45</v>
      </c>
      <c r="B136" s="75"/>
      <c r="C136" s="9" t="s">
        <v>36</v>
      </c>
      <c r="D136" s="9" t="s">
        <v>111</v>
      </c>
      <c r="E136" s="9">
        <v>104</v>
      </c>
      <c r="F136" s="10">
        <v>7888</v>
      </c>
      <c r="G136" s="10">
        <f>F136*E136</f>
        <v>820352</v>
      </c>
      <c r="H136" s="23"/>
      <c r="I136" s="24">
        <v>7888</v>
      </c>
      <c r="J136" s="24">
        <f>I136*H136</f>
        <v>0</v>
      </c>
    </row>
    <row r="137" spans="1:13" ht="17" thickBot="1" x14ac:dyDescent="0.25">
      <c r="A137" s="9" t="s">
        <v>239</v>
      </c>
      <c r="B137" s="75"/>
      <c r="C137" s="9" t="s">
        <v>36</v>
      </c>
      <c r="D137" s="9" t="s">
        <v>56</v>
      </c>
      <c r="E137" s="9">
        <v>168</v>
      </c>
      <c r="F137" s="10">
        <v>7308</v>
      </c>
      <c r="G137" s="10">
        <f t="shared" ref="G137:G145" si="7">F137*E137</f>
        <v>1227744</v>
      </c>
      <c r="H137" s="23"/>
      <c r="I137" s="24">
        <v>7308</v>
      </c>
      <c r="J137" s="24">
        <f t="shared" ref="J137:J145" si="8">I137*H137</f>
        <v>0</v>
      </c>
    </row>
    <row r="138" spans="1:13" ht="17" thickBot="1" x14ac:dyDescent="0.25">
      <c r="A138" s="9" t="s">
        <v>283</v>
      </c>
      <c r="B138" s="75"/>
      <c r="C138" s="9" t="s">
        <v>36</v>
      </c>
      <c r="D138" s="9" t="s">
        <v>1266</v>
      </c>
      <c r="E138" s="9">
        <v>96</v>
      </c>
      <c r="F138" s="10">
        <v>11598.84</v>
      </c>
      <c r="G138" s="10">
        <f t="shared" si="7"/>
        <v>1113488.6400000001</v>
      </c>
      <c r="H138" s="23"/>
      <c r="I138" s="24">
        <v>11598.84</v>
      </c>
      <c r="J138" s="24">
        <f t="shared" si="8"/>
        <v>0</v>
      </c>
    </row>
    <row r="139" spans="1:13" ht="17" thickBot="1" x14ac:dyDescent="0.25">
      <c r="A139" s="9" t="s">
        <v>239</v>
      </c>
      <c r="B139" s="75"/>
      <c r="C139" s="9" t="s">
        <v>36</v>
      </c>
      <c r="D139" s="9" t="s">
        <v>1265</v>
      </c>
      <c r="E139" s="9">
        <v>76</v>
      </c>
      <c r="F139" s="10">
        <v>7540</v>
      </c>
      <c r="G139" s="10">
        <f t="shared" si="7"/>
        <v>573040</v>
      </c>
      <c r="H139" s="23">
        <v>8</v>
      </c>
      <c r="I139" s="24">
        <v>7540</v>
      </c>
      <c r="J139" s="24">
        <f t="shared" si="8"/>
        <v>60320</v>
      </c>
    </row>
    <row r="140" spans="1:13" ht="17" thickBot="1" x14ac:dyDescent="0.25">
      <c r="A140" s="9" t="s">
        <v>1264</v>
      </c>
      <c r="B140" s="75"/>
      <c r="C140" s="9" t="s">
        <v>36</v>
      </c>
      <c r="D140" s="9" t="s">
        <v>331</v>
      </c>
      <c r="E140" s="9">
        <v>88</v>
      </c>
      <c r="F140" s="10">
        <v>6960</v>
      </c>
      <c r="G140" s="10">
        <f t="shared" si="7"/>
        <v>612480</v>
      </c>
      <c r="H140" s="23"/>
      <c r="I140" s="24">
        <v>6960</v>
      </c>
      <c r="J140" s="24">
        <f t="shared" si="8"/>
        <v>0</v>
      </c>
    </row>
    <row r="141" spans="1:13" ht="17" thickBot="1" x14ac:dyDescent="0.25">
      <c r="A141" s="9" t="s">
        <v>46</v>
      </c>
      <c r="B141" s="75"/>
      <c r="C141" s="9" t="s">
        <v>36</v>
      </c>
      <c r="D141" s="9" t="s">
        <v>991</v>
      </c>
      <c r="E141" s="9">
        <v>48</v>
      </c>
      <c r="F141" s="10">
        <v>5220</v>
      </c>
      <c r="G141" s="10">
        <f t="shared" si="7"/>
        <v>250560</v>
      </c>
      <c r="H141" s="23">
        <v>24</v>
      </c>
      <c r="I141" s="24">
        <v>5220</v>
      </c>
      <c r="J141" s="24">
        <f t="shared" si="8"/>
        <v>125280</v>
      </c>
    </row>
    <row r="142" spans="1:13" ht="17" thickBot="1" x14ac:dyDescent="0.25">
      <c r="A142" s="9" t="s">
        <v>140</v>
      </c>
      <c r="B142" s="75"/>
      <c r="C142" s="9" t="s">
        <v>36</v>
      </c>
      <c r="D142" s="9" t="s">
        <v>1263</v>
      </c>
      <c r="E142" s="9">
        <v>118</v>
      </c>
      <c r="F142" s="10">
        <v>2192.4</v>
      </c>
      <c r="G142" s="10">
        <f t="shared" si="7"/>
        <v>258703.2</v>
      </c>
      <c r="H142" s="23">
        <v>40</v>
      </c>
      <c r="I142" s="24">
        <v>2192.4</v>
      </c>
      <c r="J142" s="24">
        <f t="shared" si="8"/>
        <v>87696</v>
      </c>
    </row>
    <row r="143" spans="1:13" ht="17" thickBot="1" x14ac:dyDescent="0.25">
      <c r="A143" s="9" t="s">
        <v>239</v>
      </c>
      <c r="B143" s="75"/>
      <c r="C143" s="9" t="s">
        <v>36</v>
      </c>
      <c r="D143" s="9" t="s">
        <v>1262</v>
      </c>
      <c r="E143" s="9">
        <v>154</v>
      </c>
      <c r="F143" s="10">
        <v>4199.2</v>
      </c>
      <c r="G143" s="10">
        <f t="shared" si="7"/>
        <v>646676.79999999993</v>
      </c>
      <c r="H143" s="23"/>
      <c r="I143" s="24">
        <v>4199.2</v>
      </c>
      <c r="J143" s="24">
        <f t="shared" si="8"/>
        <v>0</v>
      </c>
    </row>
    <row r="144" spans="1:13" ht="17" thickBot="1" x14ac:dyDescent="0.25">
      <c r="A144" s="9" t="s">
        <v>1261</v>
      </c>
      <c r="B144" s="75"/>
      <c r="C144" s="9" t="s">
        <v>36</v>
      </c>
      <c r="D144" s="9" t="s">
        <v>1260</v>
      </c>
      <c r="E144" s="9">
        <v>36</v>
      </c>
      <c r="F144" s="10">
        <v>3688.8</v>
      </c>
      <c r="G144" s="10">
        <f t="shared" si="7"/>
        <v>132796.80000000002</v>
      </c>
      <c r="H144" s="23">
        <v>24</v>
      </c>
      <c r="I144" s="24">
        <v>3688.8</v>
      </c>
      <c r="J144" s="24">
        <f t="shared" si="8"/>
        <v>88531.200000000012</v>
      </c>
    </row>
    <row r="145" spans="1:10" ht="17" thickBot="1" x14ac:dyDescent="0.25">
      <c r="A145" s="9" t="s">
        <v>140</v>
      </c>
      <c r="B145" s="75"/>
      <c r="C145" s="9" t="s">
        <v>36</v>
      </c>
      <c r="D145" s="9" t="s">
        <v>1259</v>
      </c>
      <c r="E145" s="9">
        <v>120</v>
      </c>
      <c r="F145" s="10">
        <v>1972</v>
      </c>
      <c r="G145" s="10">
        <f t="shared" si="7"/>
        <v>236640</v>
      </c>
      <c r="H145" s="23">
        <v>38</v>
      </c>
      <c r="I145" s="24">
        <v>1972</v>
      </c>
      <c r="J145" s="24">
        <f t="shared" si="8"/>
        <v>74936</v>
      </c>
    </row>
    <row r="146" spans="1:10" ht="17" thickBot="1" x14ac:dyDescent="0.25">
      <c r="A146" s="2"/>
      <c r="F146" s="2"/>
      <c r="G146" s="103">
        <f>SUM(G136:G145)</f>
        <v>5872481.4400000004</v>
      </c>
      <c r="J146" s="244">
        <f>SUM(J136:J145)</f>
        <v>436763.2</v>
      </c>
    </row>
    <row r="147" spans="1:10" ht="17" thickBot="1" x14ac:dyDescent="0.25">
      <c r="A147" s="30" t="s">
        <v>1269</v>
      </c>
      <c r="B147" s="2" t="s">
        <v>1195</v>
      </c>
      <c r="C147" s="2" t="s">
        <v>1194</v>
      </c>
      <c r="F147" s="2"/>
    </row>
    <row r="148" spans="1:10" ht="18" thickBot="1" x14ac:dyDescent="0.25">
      <c r="A148" s="9" t="s">
        <v>1193</v>
      </c>
      <c r="B148" s="75" t="s">
        <v>1764</v>
      </c>
      <c r="C148" s="9" t="s">
        <v>36</v>
      </c>
      <c r="D148" s="9"/>
      <c r="E148" s="9">
        <v>12</v>
      </c>
      <c r="F148" s="10">
        <v>3712</v>
      </c>
      <c r="G148" s="10">
        <f>F148*E148</f>
        <v>44544</v>
      </c>
      <c r="H148" s="18">
        <v>7</v>
      </c>
      <c r="I148" s="19">
        <v>3712</v>
      </c>
      <c r="J148" s="19">
        <f>I148*H148</f>
        <v>25984</v>
      </c>
    </row>
    <row r="149" spans="1:10" ht="18" thickBot="1" x14ac:dyDescent="0.25">
      <c r="A149" s="9" t="s">
        <v>1192</v>
      </c>
      <c r="B149" s="75" t="s">
        <v>835</v>
      </c>
      <c r="C149" s="9" t="s">
        <v>36</v>
      </c>
      <c r="D149" s="9"/>
      <c r="E149" s="9">
        <v>12</v>
      </c>
      <c r="F149" s="10">
        <v>3248</v>
      </c>
      <c r="G149" s="10">
        <f>F149*E149</f>
        <v>38976</v>
      </c>
      <c r="H149" s="18">
        <v>12</v>
      </c>
      <c r="I149" s="19">
        <v>3248</v>
      </c>
      <c r="J149" s="19">
        <f>I149*H149</f>
        <v>38976</v>
      </c>
    </row>
    <row r="150" spans="1:10" ht="18" thickBot="1" x14ac:dyDescent="0.25">
      <c r="A150" s="9" t="s">
        <v>1191</v>
      </c>
      <c r="B150" s="75" t="s">
        <v>917</v>
      </c>
      <c r="C150" s="9" t="s">
        <v>36</v>
      </c>
      <c r="D150" s="9"/>
      <c r="E150" s="9">
        <v>48</v>
      </c>
      <c r="F150" s="10">
        <v>3944</v>
      </c>
      <c r="G150" s="10">
        <f>F150*E150</f>
        <v>189312</v>
      </c>
      <c r="H150" s="18"/>
      <c r="I150" s="19">
        <v>3944</v>
      </c>
      <c r="J150" s="19">
        <f>I150*H150</f>
        <v>0</v>
      </c>
    </row>
    <row r="151" spans="1:10" ht="18" thickBot="1" x14ac:dyDescent="0.25">
      <c r="A151" s="9" t="s">
        <v>1190</v>
      </c>
      <c r="B151" s="75" t="s">
        <v>975</v>
      </c>
      <c r="C151" s="9" t="s">
        <v>36</v>
      </c>
      <c r="D151" s="9"/>
      <c r="E151" s="9">
        <v>24</v>
      </c>
      <c r="F151" s="10">
        <v>6264</v>
      </c>
      <c r="G151" s="10">
        <f>F151*E151</f>
        <v>150336</v>
      </c>
      <c r="H151" s="18">
        <v>6</v>
      </c>
      <c r="I151" s="19">
        <v>6264</v>
      </c>
      <c r="J151" s="19">
        <f>I151*H151</f>
        <v>37584</v>
      </c>
    </row>
    <row r="152" spans="1:10" ht="17" thickBot="1" x14ac:dyDescent="0.25">
      <c r="A152" s="2"/>
      <c r="B152" s="2"/>
      <c r="F152" s="2"/>
      <c r="G152" s="103">
        <f>SUM(G148:G151)</f>
        <v>423168</v>
      </c>
      <c r="J152" s="114">
        <f>SUM(J148:J151)</f>
        <v>102544</v>
      </c>
    </row>
    <row r="153" spans="1:10" ht="17" thickBot="1" x14ac:dyDescent="0.25">
      <c r="A153" s="30" t="s">
        <v>1730</v>
      </c>
      <c r="B153" s="2" t="s">
        <v>1726</v>
      </c>
      <c r="C153" s="2" t="s">
        <v>1727</v>
      </c>
      <c r="F153" s="2"/>
    </row>
    <row r="154" spans="1:10" ht="17" thickBot="1" x14ac:dyDescent="0.25">
      <c r="A154" s="9" t="s">
        <v>239</v>
      </c>
      <c r="B154" s="75"/>
      <c r="C154" s="9" t="s">
        <v>36</v>
      </c>
      <c r="D154" s="9" t="s">
        <v>658</v>
      </c>
      <c r="E154" s="9">
        <v>72</v>
      </c>
      <c r="F154" s="106">
        <v>8700</v>
      </c>
      <c r="G154" s="106">
        <f t="shared" ref="G154:G164" si="9">F154*E154</f>
        <v>626400</v>
      </c>
      <c r="H154" s="23">
        <v>18</v>
      </c>
      <c r="I154" s="241">
        <v>8700</v>
      </c>
      <c r="J154" s="241">
        <f t="shared" ref="J154:J164" si="10">I154*H154</f>
        <v>156600</v>
      </c>
    </row>
    <row r="155" spans="1:10" ht="17" thickBot="1" x14ac:dyDescent="0.25">
      <c r="A155" s="9" t="s">
        <v>282</v>
      </c>
      <c r="B155" s="75"/>
      <c r="C155" s="9" t="s">
        <v>36</v>
      </c>
      <c r="D155" s="9" t="s">
        <v>1265</v>
      </c>
      <c r="E155" s="9">
        <v>36</v>
      </c>
      <c r="F155" s="106">
        <v>6728</v>
      </c>
      <c r="G155" s="106">
        <f t="shared" si="9"/>
        <v>242208</v>
      </c>
      <c r="H155" s="23"/>
      <c r="I155" s="241">
        <v>6728</v>
      </c>
      <c r="J155" s="241">
        <f t="shared" si="10"/>
        <v>0</v>
      </c>
    </row>
    <row r="156" spans="1:10" ht="17" thickBot="1" x14ac:dyDescent="0.25">
      <c r="A156" s="9" t="s">
        <v>45</v>
      </c>
      <c r="B156" s="75"/>
      <c r="C156" s="9" t="s">
        <v>36</v>
      </c>
      <c r="D156" s="9" t="s">
        <v>112</v>
      </c>
      <c r="E156" s="9">
        <v>36</v>
      </c>
      <c r="F156" s="106">
        <v>15776</v>
      </c>
      <c r="G156" s="106">
        <f t="shared" si="9"/>
        <v>567936</v>
      </c>
      <c r="H156" s="23"/>
      <c r="I156" s="241">
        <v>15776</v>
      </c>
      <c r="J156" s="241">
        <f t="shared" si="10"/>
        <v>0</v>
      </c>
    </row>
    <row r="157" spans="1:10" ht="17" thickBot="1" x14ac:dyDescent="0.25">
      <c r="A157" s="9" t="s">
        <v>45</v>
      </c>
      <c r="B157" s="75"/>
      <c r="C157" s="9" t="s">
        <v>36</v>
      </c>
      <c r="D157" s="9" t="s">
        <v>295</v>
      </c>
      <c r="E157" s="9">
        <v>36</v>
      </c>
      <c r="F157" s="106">
        <v>13804</v>
      </c>
      <c r="G157" s="106">
        <f t="shared" si="9"/>
        <v>496944</v>
      </c>
      <c r="H157" s="23"/>
      <c r="I157" s="241">
        <v>13804</v>
      </c>
      <c r="J157" s="241">
        <f t="shared" si="10"/>
        <v>0</v>
      </c>
    </row>
    <row r="158" spans="1:10" ht="17" thickBot="1" x14ac:dyDescent="0.25">
      <c r="A158" s="9" t="s">
        <v>664</v>
      </c>
      <c r="B158" s="75"/>
      <c r="C158" s="9" t="s">
        <v>36</v>
      </c>
      <c r="D158" s="9" t="s">
        <v>1728</v>
      </c>
      <c r="E158" s="9">
        <v>36</v>
      </c>
      <c r="F158" s="106">
        <v>7308</v>
      </c>
      <c r="G158" s="106">
        <f t="shared" si="9"/>
        <v>263088</v>
      </c>
      <c r="H158" s="23">
        <v>9</v>
      </c>
      <c r="I158" s="241">
        <v>7308</v>
      </c>
      <c r="J158" s="241">
        <f t="shared" si="10"/>
        <v>65772</v>
      </c>
    </row>
    <row r="159" spans="1:10" ht="17" thickBot="1" x14ac:dyDescent="0.25">
      <c r="A159" s="9" t="s">
        <v>45</v>
      </c>
      <c r="B159" s="75"/>
      <c r="C159" s="9" t="s">
        <v>36</v>
      </c>
      <c r="D159" s="9" t="s">
        <v>395</v>
      </c>
      <c r="E159" s="9">
        <v>36</v>
      </c>
      <c r="F159" s="106">
        <v>11356.4</v>
      </c>
      <c r="G159" s="106">
        <f t="shared" si="9"/>
        <v>408830.39999999997</v>
      </c>
      <c r="H159" s="23"/>
      <c r="I159" s="241">
        <v>11356.4</v>
      </c>
      <c r="J159" s="241">
        <f t="shared" si="10"/>
        <v>0</v>
      </c>
    </row>
    <row r="160" spans="1:10" ht="17" thickBot="1" x14ac:dyDescent="0.25">
      <c r="A160" s="9" t="s">
        <v>45</v>
      </c>
      <c r="B160" s="75"/>
      <c r="C160" s="9" t="s">
        <v>36</v>
      </c>
      <c r="D160" s="9" t="s">
        <v>324</v>
      </c>
      <c r="E160" s="9">
        <v>24</v>
      </c>
      <c r="F160" s="106">
        <v>7424</v>
      </c>
      <c r="G160" s="106">
        <f t="shared" si="9"/>
        <v>178176</v>
      </c>
      <c r="H160" s="23">
        <v>6</v>
      </c>
      <c r="I160" s="241">
        <v>7424</v>
      </c>
      <c r="J160" s="241">
        <f t="shared" si="10"/>
        <v>44544</v>
      </c>
    </row>
    <row r="161" spans="1:10" ht="17" thickBot="1" x14ac:dyDescent="0.25">
      <c r="A161" s="9" t="s">
        <v>140</v>
      </c>
      <c r="B161" s="75"/>
      <c r="C161" s="9" t="s">
        <v>36</v>
      </c>
      <c r="D161" s="9" t="s">
        <v>141</v>
      </c>
      <c r="E161" s="9">
        <v>72</v>
      </c>
      <c r="F161" s="106">
        <v>10904</v>
      </c>
      <c r="G161" s="106">
        <f t="shared" si="9"/>
        <v>785088</v>
      </c>
      <c r="H161" s="23"/>
      <c r="I161" s="241">
        <v>10904</v>
      </c>
      <c r="J161" s="241">
        <f t="shared" si="10"/>
        <v>0</v>
      </c>
    </row>
    <row r="162" spans="1:10" ht="17" thickBot="1" x14ac:dyDescent="0.25">
      <c r="A162" s="9" t="s">
        <v>45</v>
      </c>
      <c r="B162" s="75"/>
      <c r="C162" s="9" t="s">
        <v>36</v>
      </c>
      <c r="D162" s="9" t="s">
        <v>1729</v>
      </c>
      <c r="E162" s="9">
        <v>12</v>
      </c>
      <c r="F162" s="106">
        <v>8584</v>
      </c>
      <c r="G162" s="106">
        <f t="shared" si="9"/>
        <v>103008</v>
      </c>
      <c r="H162" s="23"/>
      <c r="I162" s="241">
        <v>8584</v>
      </c>
      <c r="J162" s="241">
        <f t="shared" si="10"/>
        <v>0</v>
      </c>
    </row>
    <row r="163" spans="1:10" ht="17" thickBot="1" x14ac:dyDescent="0.25">
      <c r="A163" s="9" t="s">
        <v>45</v>
      </c>
      <c r="B163" s="75"/>
      <c r="C163" s="9" t="s">
        <v>36</v>
      </c>
      <c r="D163" s="9" t="s">
        <v>987</v>
      </c>
      <c r="E163" s="9">
        <v>72</v>
      </c>
      <c r="F163" s="106">
        <v>22388</v>
      </c>
      <c r="G163" s="106">
        <f t="shared" si="9"/>
        <v>1611936</v>
      </c>
      <c r="H163" s="23">
        <v>18</v>
      </c>
      <c r="I163" s="241">
        <v>22388</v>
      </c>
      <c r="J163" s="241">
        <f t="shared" si="10"/>
        <v>402984</v>
      </c>
    </row>
    <row r="164" spans="1:10" ht="17" thickBot="1" x14ac:dyDescent="0.25">
      <c r="A164" s="9" t="s">
        <v>45</v>
      </c>
      <c r="B164" s="75"/>
      <c r="C164" s="9" t="s">
        <v>36</v>
      </c>
      <c r="D164" s="9" t="s">
        <v>339</v>
      </c>
      <c r="E164" s="9">
        <v>24</v>
      </c>
      <c r="F164" s="106">
        <v>8259.2000000000007</v>
      </c>
      <c r="G164" s="106">
        <f t="shared" si="9"/>
        <v>198220.80000000002</v>
      </c>
      <c r="H164" s="23"/>
      <c r="I164" s="241">
        <v>8259.2000000000007</v>
      </c>
      <c r="J164" s="241">
        <f t="shared" si="10"/>
        <v>0</v>
      </c>
    </row>
    <row r="165" spans="1:10" ht="17" thickBot="1" x14ac:dyDescent="0.25">
      <c r="A165" s="2"/>
      <c r="F165" s="105"/>
      <c r="G165" s="166">
        <f>SUM(G154:G164)</f>
        <v>5481835.2000000002</v>
      </c>
      <c r="I165" s="105"/>
      <c r="J165" s="242">
        <f>SUM(J154:J164)</f>
        <v>669900</v>
      </c>
    </row>
    <row r="167" spans="1:10" ht="18" thickBot="1" x14ac:dyDescent="0.25">
      <c r="A167" s="7" t="s">
        <v>2155</v>
      </c>
      <c r="C167" s="2" t="s">
        <v>2153</v>
      </c>
      <c r="D167" s="2" t="s">
        <v>2154</v>
      </c>
    </row>
    <row r="168" spans="1:10" ht="18" thickBot="1" x14ac:dyDescent="0.25">
      <c r="A168" s="9" t="s">
        <v>47</v>
      </c>
      <c r="B168" s="75" t="s">
        <v>2158</v>
      </c>
      <c r="C168" s="9" t="s">
        <v>36</v>
      </c>
      <c r="D168" s="9" t="s">
        <v>2145</v>
      </c>
      <c r="E168" s="9">
        <v>70</v>
      </c>
      <c r="F168" s="10">
        <v>6229.2</v>
      </c>
      <c r="G168" s="10">
        <f>F168*E168</f>
        <v>436044</v>
      </c>
      <c r="H168" s="283"/>
      <c r="I168" s="24">
        <v>6229.2</v>
      </c>
      <c r="J168" s="24">
        <f>I168*H168</f>
        <v>0</v>
      </c>
    </row>
    <row r="169" spans="1:10" ht="18" thickBot="1" x14ac:dyDescent="0.25">
      <c r="A169" s="9" t="s">
        <v>61</v>
      </c>
      <c r="B169" s="75" t="s">
        <v>2157</v>
      </c>
      <c r="C169" s="9" t="s">
        <v>36</v>
      </c>
      <c r="D169" s="9" t="s">
        <v>2146</v>
      </c>
      <c r="E169" s="9">
        <v>84</v>
      </c>
      <c r="F169" s="10">
        <v>4350</v>
      </c>
      <c r="G169" s="10">
        <f t="shared" ref="G169:G174" si="11">F169*E169</f>
        <v>365400</v>
      </c>
      <c r="H169" s="283"/>
      <c r="I169" s="24">
        <v>4350</v>
      </c>
      <c r="J169" s="24">
        <f t="shared" ref="J169:J174" si="12">I169*H169</f>
        <v>0</v>
      </c>
    </row>
    <row r="170" spans="1:10" ht="18" thickBot="1" x14ac:dyDescent="0.25">
      <c r="A170" s="9" t="s">
        <v>47</v>
      </c>
      <c r="B170" s="75" t="s">
        <v>977</v>
      </c>
      <c r="C170" s="9" t="s">
        <v>36</v>
      </c>
      <c r="D170" s="9" t="s">
        <v>2147</v>
      </c>
      <c r="E170" s="9">
        <v>84</v>
      </c>
      <c r="F170" s="10">
        <v>6229.2</v>
      </c>
      <c r="G170" s="10">
        <f t="shared" si="11"/>
        <v>523252.8</v>
      </c>
      <c r="H170" s="283">
        <v>42</v>
      </c>
      <c r="I170" s="24">
        <v>6229.2</v>
      </c>
      <c r="J170" s="24">
        <f t="shared" si="12"/>
        <v>261626.4</v>
      </c>
    </row>
    <row r="171" spans="1:10" ht="18" thickBot="1" x14ac:dyDescent="0.25">
      <c r="A171" s="9" t="s">
        <v>48</v>
      </c>
      <c r="B171" s="75" t="s">
        <v>2159</v>
      </c>
      <c r="C171" s="9" t="s">
        <v>36</v>
      </c>
      <c r="D171" s="9" t="s">
        <v>2148</v>
      </c>
      <c r="E171" s="9">
        <v>112</v>
      </c>
      <c r="F171" s="10">
        <v>4663.2</v>
      </c>
      <c r="G171" s="10">
        <f t="shared" si="11"/>
        <v>522278.39999999997</v>
      </c>
      <c r="H171" s="283">
        <v>49</v>
      </c>
      <c r="I171" s="24">
        <v>4663.2</v>
      </c>
      <c r="J171" s="24">
        <f t="shared" si="12"/>
        <v>228496.8</v>
      </c>
    </row>
    <row r="172" spans="1:10" ht="18" thickBot="1" x14ac:dyDescent="0.25">
      <c r="A172" s="9" t="s">
        <v>2149</v>
      </c>
      <c r="B172" s="75" t="s">
        <v>1272</v>
      </c>
      <c r="C172" s="9" t="s">
        <v>36</v>
      </c>
      <c r="D172" s="9" t="s">
        <v>2150</v>
      </c>
      <c r="E172" s="9">
        <v>140</v>
      </c>
      <c r="F172" s="10">
        <v>1740</v>
      </c>
      <c r="G172" s="10">
        <f t="shared" si="11"/>
        <v>243600</v>
      </c>
      <c r="H172" s="283">
        <v>34</v>
      </c>
      <c r="I172" s="24">
        <v>1740</v>
      </c>
      <c r="J172" s="24">
        <f t="shared" si="12"/>
        <v>59160</v>
      </c>
    </row>
    <row r="173" spans="1:10" ht="18" thickBot="1" x14ac:dyDescent="0.25">
      <c r="A173" s="9" t="s">
        <v>76</v>
      </c>
      <c r="B173" s="75" t="s">
        <v>2156</v>
      </c>
      <c r="C173" s="9" t="s">
        <v>36</v>
      </c>
      <c r="D173" s="9" t="s">
        <v>2151</v>
      </c>
      <c r="E173" s="9">
        <v>84</v>
      </c>
      <c r="F173" s="10">
        <v>3944</v>
      </c>
      <c r="G173" s="10">
        <f t="shared" si="11"/>
        <v>331296</v>
      </c>
      <c r="H173" s="283">
        <v>7</v>
      </c>
      <c r="I173" s="24">
        <v>3944</v>
      </c>
      <c r="J173" s="24">
        <f t="shared" si="12"/>
        <v>27608</v>
      </c>
    </row>
    <row r="174" spans="1:10" ht="18" thickBot="1" x14ac:dyDescent="0.25">
      <c r="A174" s="9" t="s">
        <v>48</v>
      </c>
      <c r="B174" s="75" t="s">
        <v>2159</v>
      </c>
      <c r="C174" s="9" t="s">
        <v>36</v>
      </c>
      <c r="D174" s="9" t="s">
        <v>2152</v>
      </c>
      <c r="E174" s="9">
        <v>112</v>
      </c>
      <c r="F174" s="10">
        <v>4663.2</v>
      </c>
      <c r="G174" s="10">
        <f t="shared" si="11"/>
        <v>522278.39999999997</v>
      </c>
      <c r="H174" s="283">
        <v>48</v>
      </c>
      <c r="I174" s="24">
        <v>4663.2</v>
      </c>
      <c r="J174" s="24">
        <f t="shared" si="12"/>
        <v>223833.59999999998</v>
      </c>
    </row>
    <row r="175" spans="1:10" ht="17" thickBot="1" x14ac:dyDescent="0.25">
      <c r="E175" s="255"/>
      <c r="F175" s="264"/>
      <c r="G175" s="12">
        <f>SUM(G168:G174)</f>
        <v>2944149.6</v>
      </c>
      <c r="H175" s="255"/>
      <c r="I175" s="264"/>
      <c r="J175" s="26">
        <f>SUM(J168:J174)</f>
        <v>800724.79999999993</v>
      </c>
    </row>
    <row r="176" spans="1:10" ht="18" thickBot="1" x14ac:dyDescent="0.25">
      <c r="A176" s="7" t="s">
        <v>2268</v>
      </c>
    </row>
    <row r="177" spans="1:7" ht="17" thickBot="1" x14ac:dyDescent="0.25">
      <c r="A177" s="9" t="s">
        <v>134</v>
      </c>
      <c r="B177" s="75"/>
      <c r="C177" s="9" t="s">
        <v>4</v>
      </c>
      <c r="D177" s="9" t="s">
        <v>2265</v>
      </c>
      <c r="E177" s="9">
        <v>24</v>
      </c>
      <c r="F177" s="10">
        <v>9396</v>
      </c>
      <c r="G177" s="10">
        <f>F177*E177</f>
        <v>225504</v>
      </c>
    </row>
    <row r="178" spans="1:7" ht="17" thickBot="1" x14ac:dyDescent="0.25">
      <c r="A178" s="9" t="s">
        <v>2266</v>
      </c>
      <c r="B178" s="75"/>
      <c r="C178" s="9" t="s">
        <v>332</v>
      </c>
      <c r="D178" s="9" t="s">
        <v>2267</v>
      </c>
      <c r="E178" s="9">
        <v>156</v>
      </c>
      <c r="F178" s="10">
        <v>36772</v>
      </c>
      <c r="G178" s="10">
        <f>F178*E178</f>
        <v>5736432</v>
      </c>
    </row>
    <row r="179" spans="1:7" ht="17" thickBot="1" x14ac:dyDescent="0.25">
      <c r="A179" s="255"/>
      <c r="C179" s="255"/>
      <c r="D179" s="255"/>
      <c r="E179" s="255"/>
      <c r="F179" s="264"/>
      <c r="G179" s="12">
        <f>G178+G177</f>
        <v>5961936</v>
      </c>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BACDB-A6E0-704A-BD5A-FDDBC12D896D}">
  <dimension ref="A2:S170"/>
  <sheetViews>
    <sheetView topLeftCell="A140" zoomScaleNormal="100" workbookViewId="0">
      <selection activeCell="G170" sqref="G170"/>
    </sheetView>
  </sheetViews>
  <sheetFormatPr baseColWidth="10" defaultRowHeight="16" x14ac:dyDescent="0.2"/>
  <cols>
    <col min="1" max="1" width="80.1640625" customWidth="1"/>
    <col min="2" max="2" width="18.83203125" style="78" customWidth="1"/>
    <col min="4" max="4" width="31.1640625" customWidth="1"/>
    <col min="6" max="6" width="12.6640625" customWidth="1"/>
    <col min="7" max="7" width="17.1640625" customWidth="1"/>
    <col min="9" max="9" width="13" customWidth="1"/>
    <col min="10" max="10" width="14.83203125" customWidth="1"/>
    <col min="12" max="12" width="12.6640625" customWidth="1"/>
    <col min="13" max="13" width="15.83203125" customWidth="1"/>
    <col min="16" max="16" width="18.83203125" customWidth="1"/>
    <col min="18" max="18" width="12.6640625" customWidth="1"/>
    <col min="19" max="19" width="16.83203125" customWidth="1"/>
  </cols>
  <sheetData>
    <row r="2" spans="1:10" ht="17" thickBot="1" x14ac:dyDescent="0.25">
      <c r="A2" s="30" t="s">
        <v>1639</v>
      </c>
      <c r="B2" s="77" t="s">
        <v>1394</v>
      </c>
      <c r="C2" s="2" t="s">
        <v>1395</v>
      </c>
      <c r="G2" s="2"/>
    </row>
    <row r="3" spans="1:10" ht="18" thickBot="1" x14ac:dyDescent="0.25">
      <c r="A3" s="157" t="s">
        <v>1638</v>
      </c>
      <c r="B3" s="75" t="s">
        <v>1336</v>
      </c>
      <c r="C3" s="155" t="s">
        <v>36</v>
      </c>
      <c r="D3" s="9"/>
      <c r="E3" s="9">
        <v>12</v>
      </c>
      <c r="F3" s="10">
        <v>9280</v>
      </c>
      <c r="G3" s="10">
        <f t="shared" ref="G3:G13" si="0">F3*E3</f>
        <v>111360</v>
      </c>
      <c r="H3" s="23">
        <v>6</v>
      </c>
      <c r="I3" s="24">
        <v>9280</v>
      </c>
      <c r="J3" s="24">
        <f t="shared" ref="J3:J13" si="1">I3*H3</f>
        <v>55680</v>
      </c>
    </row>
    <row r="4" spans="1:10" ht="18" thickBot="1" x14ac:dyDescent="0.25">
      <c r="A4" s="9" t="s">
        <v>1637</v>
      </c>
      <c r="B4" s="75" t="s">
        <v>1565</v>
      </c>
      <c r="C4" s="155" t="s">
        <v>36</v>
      </c>
      <c r="D4" s="9"/>
      <c r="E4" s="9">
        <v>30</v>
      </c>
      <c r="F4" s="10">
        <v>11600</v>
      </c>
      <c r="G4" s="10">
        <f t="shared" si="0"/>
        <v>348000</v>
      </c>
      <c r="H4" s="23"/>
      <c r="I4" s="24">
        <v>11600</v>
      </c>
      <c r="J4" s="24">
        <f t="shared" si="1"/>
        <v>0</v>
      </c>
    </row>
    <row r="5" spans="1:10" ht="18" thickBot="1" x14ac:dyDescent="0.25">
      <c r="A5" s="9" t="s">
        <v>1636</v>
      </c>
      <c r="B5" s="75" t="s">
        <v>918</v>
      </c>
      <c r="C5" s="155" t="s">
        <v>36</v>
      </c>
      <c r="D5" s="9"/>
      <c r="E5" s="9">
        <v>10</v>
      </c>
      <c r="F5" s="10">
        <v>4640</v>
      </c>
      <c r="G5" s="10">
        <f t="shared" si="0"/>
        <v>46400</v>
      </c>
      <c r="H5" s="23">
        <v>6</v>
      </c>
      <c r="I5" s="24">
        <v>4640</v>
      </c>
      <c r="J5" s="24">
        <f t="shared" si="1"/>
        <v>27840</v>
      </c>
    </row>
    <row r="6" spans="1:10" ht="18" thickBot="1" x14ac:dyDescent="0.25">
      <c r="A6" s="9" t="s">
        <v>1635</v>
      </c>
      <c r="B6" s="75" t="s">
        <v>855</v>
      </c>
      <c r="C6" s="155" t="s">
        <v>36</v>
      </c>
      <c r="D6" s="9"/>
      <c r="E6" s="9">
        <v>30</v>
      </c>
      <c r="F6" s="10">
        <v>14500</v>
      </c>
      <c r="G6" s="10">
        <f t="shared" si="0"/>
        <v>435000</v>
      </c>
      <c r="H6" s="23"/>
      <c r="I6" s="24">
        <v>14500</v>
      </c>
      <c r="J6" s="24">
        <f t="shared" si="1"/>
        <v>0</v>
      </c>
    </row>
    <row r="7" spans="1:10" ht="18" thickBot="1" x14ac:dyDescent="0.25">
      <c r="A7" s="9" t="s">
        <v>1634</v>
      </c>
      <c r="B7" s="75" t="s">
        <v>1340</v>
      </c>
      <c r="C7" s="155" t="s">
        <v>36</v>
      </c>
      <c r="D7" s="9"/>
      <c r="E7" s="9">
        <v>12</v>
      </c>
      <c r="F7" s="10">
        <v>25520</v>
      </c>
      <c r="G7" s="10">
        <f t="shared" si="0"/>
        <v>306240</v>
      </c>
      <c r="H7" s="23">
        <v>8</v>
      </c>
      <c r="I7" s="24">
        <v>25520</v>
      </c>
      <c r="J7" s="24">
        <f t="shared" si="1"/>
        <v>204160</v>
      </c>
    </row>
    <row r="8" spans="1:10" ht="18" thickBot="1" x14ac:dyDescent="0.25">
      <c r="A8" s="9" t="s">
        <v>1633</v>
      </c>
      <c r="B8" s="75" t="s">
        <v>945</v>
      </c>
      <c r="C8" s="155" t="s">
        <v>36</v>
      </c>
      <c r="D8" s="9"/>
      <c r="E8" s="9">
        <v>10</v>
      </c>
      <c r="F8" s="10">
        <v>5800</v>
      </c>
      <c r="G8" s="10">
        <f t="shared" si="0"/>
        <v>58000</v>
      </c>
      <c r="H8" s="23">
        <v>6</v>
      </c>
      <c r="I8" s="24">
        <v>5800</v>
      </c>
      <c r="J8" s="24">
        <f t="shared" si="1"/>
        <v>34800</v>
      </c>
    </row>
    <row r="9" spans="1:10" ht="18" thickBot="1" x14ac:dyDescent="0.25">
      <c r="A9" s="9" t="s">
        <v>1632</v>
      </c>
      <c r="B9" s="75" t="s">
        <v>1336</v>
      </c>
      <c r="C9" s="155" t="s">
        <v>36</v>
      </c>
      <c r="D9" s="9"/>
      <c r="E9" s="9">
        <v>20</v>
      </c>
      <c r="F9" s="10">
        <v>5800</v>
      </c>
      <c r="G9" s="10">
        <f t="shared" si="0"/>
        <v>116000</v>
      </c>
      <c r="H9" s="23"/>
      <c r="I9" s="24">
        <v>5800</v>
      </c>
      <c r="J9" s="24">
        <f t="shared" si="1"/>
        <v>0</v>
      </c>
    </row>
    <row r="10" spans="1:10" ht="18" thickBot="1" x14ac:dyDescent="0.25">
      <c r="A10" s="9" t="s">
        <v>1631</v>
      </c>
      <c r="B10" s="75" t="s">
        <v>2086</v>
      </c>
      <c r="C10" s="155" t="s">
        <v>36</v>
      </c>
      <c r="D10" s="9"/>
      <c r="E10" s="9">
        <v>12</v>
      </c>
      <c r="F10" s="10">
        <v>3712</v>
      </c>
      <c r="G10" s="10">
        <f t="shared" si="0"/>
        <v>44544</v>
      </c>
      <c r="H10" s="23">
        <v>6</v>
      </c>
      <c r="I10" s="24">
        <v>3712</v>
      </c>
      <c r="J10" s="24">
        <f t="shared" si="1"/>
        <v>22272</v>
      </c>
    </row>
    <row r="11" spans="1:10" ht="18" thickBot="1" x14ac:dyDescent="0.25">
      <c r="A11" s="9" t="s">
        <v>1630</v>
      </c>
      <c r="B11" s="75" t="s">
        <v>927</v>
      </c>
      <c r="C11" s="155" t="s">
        <v>36</v>
      </c>
      <c r="D11" s="9"/>
      <c r="E11" s="9">
        <v>10</v>
      </c>
      <c r="F11" s="10">
        <v>3712</v>
      </c>
      <c r="G11" s="10">
        <f t="shared" si="0"/>
        <v>37120</v>
      </c>
      <c r="H11" s="23">
        <v>6</v>
      </c>
      <c r="I11" s="24">
        <v>3712</v>
      </c>
      <c r="J11" s="24">
        <f t="shared" si="1"/>
        <v>22272</v>
      </c>
    </row>
    <row r="12" spans="1:10" ht="18" thickBot="1" x14ac:dyDescent="0.25">
      <c r="A12" s="9" t="s">
        <v>1629</v>
      </c>
      <c r="B12" s="75" t="s">
        <v>927</v>
      </c>
      <c r="C12" s="155" t="s">
        <v>36</v>
      </c>
      <c r="D12" s="9"/>
      <c r="E12" s="9">
        <v>10</v>
      </c>
      <c r="F12" s="10">
        <v>10440</v>
      </c>
      <c r="G12" s="10">
        <f t="shared" si="0"/>
        <v>104400</v>
      </c>
      <c r="H12" s="23">
        <v>7</v>
      </c>
      <c r="I12" s="24">
        <v>10440</v>
      </c>
      <c r="J12" s="24">
        <f t="shared" si="1"/>
        <v>73080</v>
      </c>
    </row>
    <row r="13" spans="1:10" ht="18" thickBot="1" x14ac:dyDescent="0.25">
      <c r="A13" s="9" t="s">
        <v>1628</v>
      </c>
      <c r="B13" s="75" t="s">
        <v>920</v>
      </c>
      <c r="C13" s="155" t="s">
        <v>36</v>
      </c>
      <c r="D13" s="9"/>
      <c r="E13" s="9">
        <v>30</v>
      </c>
      <c r="F13" s="10">
        <v>13920</v>
      </c>
      <c r="G13" s="10">
        <f t="shared" si="0"/>
        <v>417600</v>
      </c>
      <c r="H13" s="23"/>
      <c r="I13" s="24">
        <v>13920</v>
      </c>
      <c r="J13" s="24">
        <f t="shared" si="1"/>
        <v>0</v>
      </c>
    </row>
    <row r="14" spans="1:10" ht="17" thickBot="1" x14ac:dyDescent="0.25">
      <c r="B14" s="200"/>
      <c r="G14" s="103">
        <f>SUM(G3:G13)</f>
        <v>2024664</v>
      </c>
      <c r="J14" s="244">
        <f>SUM(J3:J13)</f>
        <v>440104</v>
      </c>
    </row>
    <row r="16" spans="1:10" ht="17" thickBot="1" x14ac:dyDescent="0.25">
      <c r="A16" s="30" t="s">
        <v>1939</v>
      </c>
      <c r="B16" s="201" t="s">
        <v>1394</v>
      </c>
      <c r="C16" s="2" t="s">
        <v>1395</v>
      </c>
      <c r="E16" s="1"/>
      <c r="F16" s="1"/>
      <c r="G16" s="2"/>
    </row>
    <row r="17" spans="1:13" ht="17" thickBot="1" x14ac:dyDescent="0.25">
      <c r="A17" s="9" t="s">
        <v>1396</v>
      </c>
      <c r="B17" s="149" t="s">
        <v>1559</v>
      </c>
      <c r="C17" s="122" t="s">
        <v>36</v>
      </c>
      <c r="D17" s="9"/>
      <c r="E17" s="9">
        <v>12</v>
      </c>
      <c r="F17" s="10">
        <v>1392</v>
      </c>
      <c r="G17" s="10">
        <f t="shared" ref="G17:G48" si="2">F17*E17</f>
        <v>16704</v>
      </c>
      <c r="H17" s="27">
        <v>3</v>
      </c>
      <c r="I17" s="28">
        <v>1392</v>
      </c>
      <c r="J17" s="28">
        <f t="shared" ref="J17:J74" si="3">I17*H17</f>
        <v>4176</v>
      </c>
      <c r="K17" s="23"/>
      <c r="L17" s="24">
        <v>1392</v>
      </c>
      <c r="M17" s="24">
        <f t="shared" ref="M17:M74" si="4">L17*K17</f>
        <v>0</v>
      </c>
    </row>
    <row r="18" spans="1:13" ht="17" thickBot="1" x14ac:dyDescent="0.25">
      <c r="A18" s="9" t="s">
        <v>1397</v>
      </c>
      <c r="B18" s="149" t="s">
        <v>885</v>
      </c>
      <c r="C18" s="122" t="s">
        <v>36</v>
      </c>
      <c r="D18" s="9"/>
      <c r="E18" s="9">
        <v>10</v>
      </c>
      <c r="F18" s="10">
        <v>9396</v>
      </c>
      <c r="G18" s="10">
        <f t="shared" si="2"/>
        <v>93960</v>
      </c>
      <c r="H18" s="27">
        <v>3</v>
      </c>
      <c r="I18" s="28">
        <v>9396</v>
      </c>
      <c r="J18" s="28">
        <f t="shared" si="3"/>
        <v>28188</v>
      </c>
      <c r="K18" s="23"/>
      <c r="L18" s="24">
        <v>9396</v>
      </c>
      <c r="M18" s="24">
        <f t="shared" si="4"/>
        <v>0</v>
      </c>
    </row>
    <row r="19" spans="1:13" ht="17" thickBot="1" x14ac:dyDescent="0.25">
      <c r="A19" s="9" t="s">
        <v>1398</v>
      </c>
      <c r="B19" s="149" t="s">
        <v>850</v>
      </c>
      <c r="C19" s="122" t="s">
        <v>36</v>
      </c>
      <c r="D19" s="9"/>
      <c r="E19" s="9">
        <v>20</v>
      </c>
      <c r="F19" s="10">
        <v>20880</v>
      </c>
      <c r="G19" s="10">
        <f t="shared" si="2"/>
        <v>417600</v>
      </c>
      <c r="H19" s="27">
        <v>5</v>
      </c>
      <c r="I19" s="28">
        <v>20880</v>
      </c>
      <c r="J19" s="28">
        <f t="shared" si="3"/>
        <v>104400</v>
      </c>
      <c r="K19" s="23">
        <v>5</v>
      </c>
      <c r="L19" s="24">
        <v>20880</v>
      </c>
      <c r="M19" s="24">
        <f t="shared" si="4"/>
        <v>104400</v>
      </c>
    </row>
    <row r="20" spans="1:13" ht="17" thickBot="1" x14ac:dyDescent="0.25">
      <c r="A20" s="9" t="s">
        <v>1399</v>
      </c>
      <c r="B20" s="149" t="s">
        <v>850</v>
      </c>
      <c r="C20" s="122" t="s">
        <v>36</v>
      </c>
      <c r="D20" s="9"/>
      <c r="E20" s="9">
        <v>16</v>
      </c>
      <c r="F20" s="10">
        <v>812</v>
      </c>
      <c r="G20" s="10">
        <f t="shared" si="2"/>
        <v>12992</v>
      </c>
      <c r="H20" s="27">
        <v>4</v>
      </c>
      <c r="I20" s="28">
        <v>812</v>
      </c>
      <c r="J20" s="28">
        <f t="shared" si="3"/>
        <v>3248</v>
      </c>
      <c r="K20" s="23">
        <v>12</v>
      </c>
      <c r="L20" s="24">
        <v>812</v>
      </c>
      <c r="M20" s="24">
        <f t="shared" si="4"/>
        <v>9744</v>
      </c>
    </row>
    <row r="21" spans="1:13" ht="17" thickBot="1" x14ac:dyDescent="0.25">
      <c r="A21" s="9" t="s">
        <v>1400</v>
      </c>
      <c r="B21" s="149" t="s">
        <v>1776</v>
      </c>
      <c r="C21" s="122" t="s">
        <v>36</v>
      </c>
      <c r="D21" s="9"/>
      <c r="E21" s="9">
        <v>10</v>
      </c>
      <c r="F21" s="10">
        <v>5568</v>
      </c>
      <c r="G21" s="10">
        <f t="shared" si="2"/>
        <v>55680</v>
      </c>
      <c r="H21" s="27"/>
      <c r="I21" s="28">
        <v>5568</v>
      </c>
      <c r="J21" s="28">
        <f t="shared" si="3"/>
        <v>0</v>
      </c>
      <c r="K21" s="23">
        <v>10</v>
      </c>
      <c r="L21" s="24">
        <v>5568</v>
      </c>
      <c r="M21" s="24">
        <f t="shared" si="4"/>
        <v>55680</v>
      </c>
    </row>
    <row r="22" spans="1:13" ht="17" thickBot="1" x14ac:dyDescent="0.25">
      <c r="A22" s="9" t="s">
        <v>1401</v>
      </c>
      <c r="B22" s="149" t="s">
        <v>1562</v>
      </c>
      <c r="C22" s="122" t="s">
        <v>36</v>
      </c>
      <c r="D22" s="9"/>
      <c r="E22" s="9">
        <v>12</v>
      </c>
      <c r="F22" s="10">
        <v>3712</v>
      </c>
      <c r="G22" s="10">
        <f t="shared" si="2"/>
        <v>44544</v>
      </c>
      <c r="H22" s="27">
        <v>12</v>
      </c>
      <c r="I22" s="28">
        <v>3712</v>
      </c>
      <c r="J22" s="28">
        <f t="shared" si="3"/>
        <v>44544</v>
      </c>
      <c r="K22" s="23"/>
      <c r="L22" s="24">
        <v>3712</v>
      </c>
      <c r="M22" s="24">
        <f t="shared" si="4"/>
        <v>0</v>
      </c>
    </row>
    <row r="23" spans="1:13" ht="17" thickBot="1" x14ac:dyDescent="0.25">
      <c r="A23" s="9" t="s">
        <v>1402</v>
      </c>
      <c r="B23" s="149" t="s">
        <v>971</v>
      </c>
      <c r="C23" s="122" t="s">
        <v>36</v>
      </c>
      <c r="D23" s="9"/>
      <c r="E23" s="9">
        <v>5</v>
      </c>
      <c r="F23" s="10">
        <v>8700</v>
      </c>
      <c r="G23" s="10">
        <f t="shared" si="2"/>
        <v>43500</v>
      </c>
      <c r="H23" s="27">
        <v>1</v>
      </c>
      <c r="I23" s="28">
        <v>8700</v>
      </c>
      <c r="J23" s="28">
        <f t="shared" si="3"/>
        <v>8700</v>
      </c>
      <c r="K23" s="23">
        <v>4</v>
      </c>
      <c r="L23" s="24">
        <v>8700</v>
      </c>
      <c r="M23" s="24">
        <f t="shared" si="4"/>
        <v>34800</v>
      </c>
    </row>
    <row r="24" spans="1:13" ht="17" thickBot="1" x14ac:dyDescent="0.25">
      <c r="A24" s="9" t="s">
        <v>1403</v>
      </c>
      <c r="B24" s="149" t="s">
        <v>911</v>
      </c>
      <c r="C24" s="122" t="s">
        <v>36</v>
      </c>
      <c r="D24" s="9"/>
      <c r="E24" s="9">
        <v>23</v>
      </c>
      <c r="F24" s="10">
        <v>82360</v>
      </c>
      <c r="G24" s="10">
        <f t="shared" si="2"/>
        <v>1894280</v>
      </c>
      <c r="H24" s="27">
        <v>6</v>
      </c>
      <c r="I24" s="28">
        <v>82360</v>
      </c>
      <c r="J24" s="28">
        <f t="shared" si="3"/>
        <v>494160</v>
      </c>
      <c r="K24" s="23"/>
      <c r="L24" s="24">
        <v>82360</v>
      </c>
      <c r="M24" s="24">
        <f t="shared" si="4"/>
        <v>0</v>
      </c>
    </row>
    <row r="25" spans="1:13" ht="17" thickBot="1" x14ac:dyDescent="0.25">
      <c r="A25" s="9" t="s">
        <v>1404</v>
      </c>
      <c r="B25" s="149" t="s">
        <v>1958</v>
      </c>
      <c r="C25" s="122" t="s">
        <v>36</v>
      </c>
      <c r="D25" s="9"/>
      <c r="E25" s="9">
        <v>24</v>
      </c>
      <c r="F25" s="10">
        <v>4524</v>
      </c>
      <c r="G25" s="10">
        <f t="shared" si="2"/>
        <v>108576</v>
      </c>
      <c r="H25" s="27">
        <v>6</v>
      </c>
      <c r="I25" s="28">
        <v>4524</v>
      </c>
      <c r="J25" s="28">
        <f t="shared" si="3"/>
        <v>27144</v>
      </c>
      <c r="K25" s="23">
        <v>18</v>
      </c>
      <c r="L25" s="24">
        <v>4524</v>
      </c>
      <c r="M25" s="24">
        <f t="shared" si="4"/>
        <v>81432</v>
      </c>
    </row>
    <row r="26" spans="1:13" ht="17" thickBot="1" x14ac:dyDescent="0.25">
      <c r="A26" s="9" t="s">
        <v>1405</v>
      </c>
      <c r="B26" s="149" t="s">
        <v>1959</v>
      </c>
      <c r="C26" s="122" t="s">
        <v>36</v>
      </c>
      <c r="D26" s="9"/>
      <c r="E26" s="9">
        <v>10</v>
      </c>
      <c r="F26" s="10">
        <v>7424</v>
      </c>
      <c r="G26" s="10">
        <f t="shared" si="2"/>
        <v>74240</v>
      </c>
      <c r="H26" s="27">
        <v>6</v>
      </c>
      <c r="I26" s="28">
        <v>7424</v>
      </c>
      <c r="J26" s="28">
        <f t="shared" si="3"/>
        <v>44544</v>
      </c>
      <c r="K26" s="23">
        <v>4</v>
      </c>
      <c r="L26" s="24">
        <v>7424</v>
      </c>
      <c r="M26" s="24">
        <f t="shared" si="4"/>
        <v>29696</v>
      </c>
    </row>
    <row r="27" spans="1:13" ht="17" thickBot="1" x14ac:dyDescent="0.25">
      <c r="A27" s="9" t="s">
        <v>1406</v>
      </c>
      <c r="B27" s="149" t="s">
        <v>1958</v>
      </c>
      <c r="C27" s="122" t="s">
        <v>36</v>
      </c>
      <c r="D27" s="9"/>
      <c r="E27" s="9">
        <v>12</v>
      </c>
      <c r="F27" s="10">
        <v>8236</v>
      </c>
      <c r="G27" s="10">
        <f t="shared" si="2"/>
        <v>98832</v>
      </c>
      <c r="H27" s="27">
        <v>3</v>
      </c>
      <c r="I27" s="28">
        <v>8236</v>
      </c>
      <c r="J27" s="28">
        <f t="shared" si="3"/>
        <v>24708</v>
      </c>
      <c r="K27" s="23">
        <v>9</v>
      </c>
      <c r="L27" s="24">
        <v>8236</v>
      </c>
      <c r="M27" s="24">
        <f t="shared" si="4"/>
        <v>74124</v>
      </c>
    </row>
    <row r="28" spans="1:13" ht="17" thickBot="1" x14ac:dyDescent="0.25">
      <c r="A28" s="9" t="s">
        <v>1407</v>
      </c>
      <c r="B28" s="149" t="s">
        <v>852</v>
      </c>
      <c r="C28" s="122" t="s">
        <v>36</v>
      </c>
      <c r="D28" s="9"/>
      <c r="E28" s="9">
        <v>5</v>
      </c>
      <c r="F28" s="10">
        <v>2784</v>
      </c>
      <c r="G28" s="10">
        <f t="shared" si="2"/>
        <v>13920</v>
      </c>
      <c r="H28" s="27">
        <v>1</v>
      </c>
      <c r="I28" s="28">
        <v>2784</v>
      </c>
      <c r="J28" s="28">
        <f t="shared" si="3"/>
        <v>2784</v>
      </c>
      <c r="K28" s="23"/>
      <c r="L28" s="24">
        <v>2784</v>
      </c>
      <c r="M28" s="24">
        <f t="shared" si="4"/>
        <v>0</v>
      </c>
    </row>
    <row r="29" spans="1:13" ht="17" thickBot="1" x14ac:dyDescent="0.25">
      <c r="A29" s="9" t="s">
        <v>1408</v>
      </c>
      <c r="B29" s="149" t="s">
        <v>1578</v>
      </c>
      <c r="C29" s="122" t="s">
        <v>36</v>
      </c>
      <c r="D29" s="9"/>
      <c r="E29" s="9">
        <v>12</v>
      </c>
      <c r="F29" s="10">
        <v>9019</v>
      </c>
      <c r="G29" s="10">
        <f t="shared" si="2"/>
        <v>108228</v>
      </c>
      <c r="H29" s="27">
        <v>5</v>
      </c>
      <c r="I29" s="28">
        <v>9019</v>
      </c>
      <c r="J29" s="28">
        <f t="shared" si="3"/>
        <v>45095</v>
      </c>
      <c r="K29" s="23"/>
      <c r="L29" s="24">
        <v>9019</v>
      </c>
      <c r="M29" s="24">
        <f t="shared" si="4"/>
        <v>0</v>
      </c>
    </row>
    <row r="30" spans="1:13" ht="17" thickBot="1" x14ac:dyDescent="0.25">
      <c r="A30" s="9" t="s">
        <v>1409</v>
      </c>
      <c r="B30" s="149" t="s">
        <v>1774</v>
      </c>
      <c r="C30" s="122" t="s">
        <v>36</v>
      </c>
      <c r="D30" s="9"/>
      <c r="E30" s="9">
        <v>10</v>
      </c>
      <c r="F30" s="10">
        <v>2577.52</v>
      </c>
      <c r="G30" s="10">
        <f t="shared" si="2"/>
        <v>25775.200000000001</v>
      </c>
      <c r="H30" s="27">
        <v>5</v>
      </c>
      <c r="I30" s="28">
        <v>2577.52</v>
      </c>
      <c r="J30" s="28">
        <f t="shared" si="3"/>
        <v>12887.6</v>
      </c>
      <c r="K30" s="23">
        <v>5</v>
      </c>
      <c r="L30" s="24">
        <v>2577.52</v>
      </c>
      <c r="M30" s="24">
        <f t="shared" si="4"/>
        <v>12887.6</v>
      </c>
    </row>
    <row r="31" spans="1:13" ht="17" thickBot="1" x14ac:dyDescent="0.25">
      <c r="A31" s="35" t="s">
        <v>1410</v>
      </c>
      <c r="B31" s="149" t="s">
        <v>917</v>
      </c>
      <c r="C31" s="122" t="s">
        <v>36</v>
      </c>
      <c r="D31" s="9"/>
      <c r="E31" s="9">
        <v>10</v>
      </c>
      <c r="F31" s="10">
        <v>3712</v>
      </c>
      <c r="G31" s="10">
        <f t="shared" si="2"/>
        <v>37120</v>
      </c>
      <c r="H31" s="27">
        <v>3</v>
      </c>
      <c r="I31" s="28">
        <v>3712</v>
      </c>
      <c r="J31" s="28">
        <f t="shared" si="3"/>
        <v>11136</v>
      </c>
      <c r="K31" s="23">
        <v>7</v>
      </c>
      <c r="L31" s="24">
        <v>3712</v>
      </c>
      <c r="M31" s="24">
        <f t="shared" si="4"/>
        <v>25984</v>
      </c>
    </row>
    <row r="32" spans="1:13" ht="17" thickBot="1" x14ac:dyDescent="0.25">
      <c r="A32" s="9" t="s">
        <v>1411</v>
      </c>
      <c r="B32" s="149" t="s">
        <v>836</v>
      </c>
      <c r="C32" s="122" t="s">
        <v>36</v>
      </c>
      <c r="D32" s="9"/>
      <c r="E32" s="9">
        <v>10</v>
      </c>
      <c r="F32" s="10">
        <v>3712</v>
      </c>
      <c r="G32" s="10">
        <f t="shared" si="2"/>
        <v>37120</v>
      </c>
      <c r="H32" s="27">
        <v>3</v>
      </c>
      <c r="I32" s="28">
        <v>3712</v>
      </c>
      <c r="J32" s="28">
        <f t="shared" si="3"/>
        <v>11136</v>
      </c>
      <c r="K32" s="23">
        <v>7</v>
      </c>
      <c r="L32" s="24">
        <v>3712</v>
      </c>
      <c r="M32" s="24">
        <f t="shared" si="4"/>
        <v>25984</v>
      </c>
    </row>
    <row r="33" spans="1:13" ht="17" thickBot="1" x14ac:dyDescent="0.25">
      <c r="A33" s="9" t="s">
        <v>1412</v>
      </c>
      <c r="B33" s="149" t="s">
        <v>1563</v>
      </c>
      <c r="C33" s="122" t="s">
        <v>36</v>
      </c>
      <c r="D33" s="9"/>
      <c r="E33" s="9">
        <v>5</v>
      </c>
      <c r="F33" s="10">
        <v>4872</v>
      </c>
      <c r="G33" s="10">
        <f t="shared" si="2"/>
        <v>24360</v>
      </c>
      <c r="H33" s="27">
        <v>1</v>
      </c>
      <c r="I33" s="28">
        <v>4872</v>
      </c>
      <c r="J33" s="28">
        <f t="shared" si="3"/>
        <v>4872</v>
      </c>
      <c r="K33" s="23">
        <v>4</v>
      </c>
      <c r="L33" s="24">
        <v>4872</v>
      </c>
      <c r="M33" s="24">
        <f t="shared" si="4"/>
        <v>19488</v>
      </c>
    </row>
    <row r="34" spans="1:13" ht="17" thickBot="1" x14ac:dyDescent="0.25">
      <c r="A34" s="9" t="s">
        <v>1413</v>
      </c>
      <c r="B34" s="149" t="s">
        <v>1559</v>
      </c>
      <c r="C34" s="122" t="s">
        <v>36</v>
      </c>
      <c r="D34" s="9"/>
      <c r="E34" s="9">
        <v>12</v>
      </c>
      <c r="F34" s="10">
        <v>1392</v>
      </c>
      <c r="G34" s="10">
        <f t="shared" si="2"/>
        <v>16704</v>
      </c>
      <c r="H34" s="27"/>
      <c r="I34" s="28">
        <v>1392</v>
      </c>
      <c r="J34" s="28">
        <f t="shared" si="3"/>
        <v>0</v>
      </c>
      <c r="K34" s="23">
        <v>1</v>
      </c>
      <c r="L34" s="24">
        <v>1392</v>
      </c>
      <c r="M34" s="280">
        <f t="shared" si="4"/>
        <v>1392</v>
      </c>
    </row>
    <row r="35" spans="1:13" ht="17" thickBot="1" x14ac:dyDescent="0.25">
      <c r="A35" s="9" t="s">
        <v>1414</v>
      </c>
      <c r="B35" s="149" t="s">
        <v>972</v>
      </c>
      <c r="C35" s="122" t="s">
        <v>36</v>
      </c>
      <c r="D35" s="9"/>
      <c r="E35" s="9">
        <v>12</v>
      </c>
      <c r="F35" s="10">
        <v>7772</v>
      </c>
      <c r="G35" s="10">
        <f t="shared" si="2"/>
        <v>93264</v>
      </c>
      <c r="H35" s="27"/>
      <c r="I35" s="28">
        <v>7772</v>
      </c>
      <c r="J35" s="28">
        <f t="shared" si="3"/>
        <v>0</v>
      </c>
      <c r="K35" s="23"/>
      <c r="L35" s="24">
        <v>7772</v>
      </c>
      <c r="M35" s="24">
        <f t="shared" si="4"/>
        <v>0</v>
      </c>
    </row>
    <row r="36" spans="1:13" ht="17" thickBot="1" x14ac:dyDescent="0.25">
      <c r="A36" s="9" t="s">
        <v>1415</v>
      </c>
      <c r="B36" s="149" t="s">
        <v>836</v>
      </c>
      <c r="C36" s="122" t="s">
        <v>36</v>
      </c>
      <c r="D36" s="9"/>
      <c r="E36" s="9">
        <v>10</v>
      </c>
      <c r="F36" s="10">
        <v>3132</v>
      </c>
      <c r="G36" s="10">
        <f t="shared" si="2"/>
        <v>31320</v>
      </c>
      <c r="H36" s="27">
        <v>3</v>
      </c>
      <c r="I36" s="28">
        <v>3132</v>
      </c>
      <c r="J36" s="28">
        <f t="shared" si="3"/>
        <v>9396</v>
      </c>
      <c r="K36" s="23">
        <v>7</v>
      </c>
      <c r="L36" s="24">
        <v>3132</v>
      </c>
      <c r="M36" s="24">
        <f t="shared" si="4"/>
        <v>21924</v>
      </c>
    </row>
    <row r="37" spans="1:13" ht="17" thickBot="1" x14ac:dyDescent="0.25">
      <c r="A37" s="9" t="s">
        <v>1416</v>
      </c>
      <c r="B37" s="149" t="s">
        <v>947</v>
      </c>
      <c r="C37" s="122" t="s">
        <v>36</v>
      </c>
      <c r="D37" s="9"/>
      <c r="E37" s="9">
        <v>12</v>
      </c>
      <c r="F37" s="10">
        <v>5568</v>
      </c>
      <c r="G37" s="10">
        <f t="shared" si="2"/>
        <v>66816</v>
      </c>
      <c r="H37" s="27">
        <v>3</v>
      </c>
      <c r="I37" s="28">
        <v>5568</v>
      </c>
      <c r="J37" s="28">
        <f t="shared" si="3"/>
        <v>16704</v>
      </c>
      <c r="K37" s="23">
        <v>3</v>
      </c>
      <c r="L37" s="24">
        <v>5568</v>
      </c>
      <c r="M37" s="24">
        <f t="shared" si="4"/>
        <v>16704</v>
      </c>
    </row>
    <row r="38" spans="1:13" ht="17" thickBot="1" x14ac:dyDescent="0.25">
      <c r="A38" s="9" t="s">
        <v>1417</v>
      </c>
      <c r="B38" s="149" t="s">
        <v>835</v>
      </c>
      <c r="C38" s="122" t="s">
        <v>36</v>
      </c>
      <c r="D38" s="9"/>
      <c r="E38" s="9">
        <v>5</v>
      </c>
      <c r="F38" s="10">
        <v>3712</v>
      </c>
      <c r="G38" s="10">
        <f t="shared" si="2"/>
        <v>18560</v>
      </c>
      <c r="H38" s="27"/>
      <c r="I38" s="28">
        <v>3712</v>
      </c>
      <c r="J38" s="28">
        <f t="shared" si="3"/>
        <v>0</v>
      </c>
      <c r="K38" s="23">
        <v>5</v>
      </c>
      <c r="L38" s="24">
        <v>3712</v>
      </c>
      <c r="M38" s="24">
        <f t="shared" si="4"/>
        <v>18560</v>
      </c>
    </row>
    <row r="39" spans="1:13" ht="17" thickBot="1" x14ac:dyDescent="0.25">
      <c r="A39" s="9" t="s">
        <v>1418</v>
      </c>
      <c r="B39" s="149" t="s">
        <v>1947</v>
      </c>
      <c r="C39" s="122" t="s">
        <v>36</v>
      </c>
      <c r="D39" s="9"/>
      <c r="E39" s="9">
        <v>10</v>
      </c>
      <c r="F39" s="10">
        <v>2668</v>
      </c>
      <c r="G39" s="10">
        <f t="shared" si="2"/>
        <v>26680</v>
      </c>
      <c r="H39" s="27"/>
      <c r="I39" s="28">
        <v>2668</v>
      </c>
      <c r="J39" s="28">
        <f t="shared" si="3"/>
        <v>0</v>
      </c>
      <c r="K39" s="23">
        <v>5</v>
      </c>
      <c r="L39" s="24">
        <v>2668</v>
      </c>
      <c r="M39" s="24">
        <f t="shared" si="4"/>
        <v>13340</v>
      </c>
    </row>
    <row r="40" spans="1:13" ht="17" thickBot="1" x14ac:dyDescent="0.25">
      <c r="A40" s="9" t="s">
        <v>1419</v>
      </c>
      <c r="B40" s="149" t="s">
        <v>1574</v>
      </c>
      <c r="C40" s="122" t="s">
        <v>36</v>
      </c>
      <c r="D40" s="9"/>
      <c r="E40" s="9">
        <v>5</v>
      </c>
      <c r="F40" s="10">
        <v>1392</v>
      </c>
      <c r="G40" s="10">
        <f t="shared" si="2"/>
        <v>6960</v>
      </c>
      <c r="H40" s="27">
        <v>2</v>
      </c>
      <c r="I40" s="28">
        <v>1392</v>
      </c>
      <c r="J40" s="28">
        <f t="shared" si="3"/>
        <v>2784</v>
      </c>
      <c r="K40" s="23">
        <v>3</v>
      </c>
      <c r="L40" s="24">
        <v>1392</v>
      </c>
      <c r="M40" s="24">
        <f t="shared" si="4"/>
        <v>4176</v>
      </c>
    </row>
    <row r="41" spans="1:13" ht="17" thickBot="1" x14ac:dyDescent="0.25">
      <c r="A41" s="9" t="s">
        <v>1420</v>
      </c>
      <c r="B41" s="149" t="s">
        <v>857</v>
      </c>
      <c r="C41" s="122" t="s">
        <v>36</v>
      </c>
      <c r="D41" s="9"/>
      <c r="E41" s="9">
        <v>5</v>
      </c>
      <c r="F41" s="10">
        <v>4988</v>
      </c>
      <c r="G41" s="10">
        <f t="shared" si="2"/>
        <v>24940</v>
      </c>
      <c r="H41" s="27">
        <v>2</v>
      </c>
      <c r="I41" s="28">
        <v>4988</v>
      </c>
      <c r="J41" s="28">
        <f t="shared" si="3"/>
        <v>9976</v>
      </c>
      <c r="K41" s="23">
        <v>3</v>
      </c>
      <c r="L41" s="24">
        <v>4988</v>
      </c>
      <c r="M41" s="24">
        <f t="shared" si="4"/>
        <v>14964</v>
      </c>
    </row>
    <row r="42" spans="1:13" ht="17" thickBot="1" x14ac:dyDescent="0.25">
      <c r="A42" s="9" t="s">
        <v>1421</v>
      </c>
      <c r="B42" s="149" t="s">
        <v>843</v>
      </c>
      <c r="C42" s="122" t="s">
        <v>36</v>
      </c>
      <c r="D42" s="9"/>
      <c r="E42" s="9">
        <v>5</v>
      </c>
      <c r="F42" s="10">
        <v>8816</v>
      </c>
      <c r="G42" s="10">
        <f t="shared" si="2"/>
        <v>44080</v>
      </c>
      <c r="H42" s="27"/>
      <c r="I42" s="28">
        <v>8816</v>
      </c>
      <c r="J42" s="28">
        <f t="shared" si="3"/>
        <v>0</v>
      </c>
      <c r="K42" s="23"/>
      <c r="L42" s="24">
        <v>8816</v>
      </c>
      <c r="M42" s="24">
        <f t="shared" si="4"/>
        <v>0</v>
      </c>
    </row>
    <row r="43" spans="1:13" ht="17" thickBot="1" x14ac:dyDescent="0.25">
      <c r="A43" s="9" t="s">
        <v>1422</v>
      </c>
      <c r="B43" s="149" t="s">
        <v>1960</v>
      </c>
      <c r="C43" s="122" t="s">
        <v>36</v>
      </c>
      <c r="D43" s="9"/>
      <c r="E43" s="9">
        <v>12</v>
      </c>
      <c r="F43" s="10">
        <v>1392</v>
      </c>
      <c r="G43" s="10">
        <f t="shared" si="2"/>
        <v>16704</v>
      </c>
      <c r="H43" s="27">
        <v>3</v>
      </c>
      <c r="I43" s="28">
        <v>1392</v>
      </c>
      <c r="J43" s="28">
        <f t="shared" si="3"/>
        <v>4176</v>
      </c>
      <c r="K43" s="23"/>
      <c r="L43" s="24">
        <v>1392</v>
      </c>
      <c r="M43" s="24">
        <f t="shared" si="4"/>
        <v>0</v>
      </c>
    </row>
    <row r="44" spans="1:13" ht="17" thickBot="1" x14ac:dyDescent="0.25">
      <c r="A44" s="9" t="s">
        <v>1242</v>
      </c>
      <c r="B44" s="149" t="s">
        <v>1573</v>
      </c>
      <c r="C44" s="122" t="s">
        <v>36</v>
      </c>
      <c r="D44" s="9"/>
      <c r="E44" s="9">
        <v>5</v>
      </c>
      <c r="F44" s="10">
        <v>2552</v>
      </c>
      <c r="G44" s="10">
        <f t="shared" si="2"/>
        <v>12760</v>
      </c>
      <c r="H44" s="27">
        <v>2</v>
      </c>
      <c r="I44" s="28">
        <v>2552</v>
      </c>
      <c r="J44" s="28">
        <f t="shared" si="3"/>
        <v>5104</v>
      </c>
      <c r="K44" s="23">
        <v>3</v>
      </c>
      <c r="L44" s="24">
        <v>2552</v>
      </c>
      <c r="M44" s="24">
        <f t="shared" si="4"/>
        <v>7656</v>
      </c>
    </row>
    <row r="45" spans="1:13" ht="17" thickBot="1" x14ac:dyDescent="0.25">
      <c r="A45" s="9" t="s">
        <v>1423</v>
      </c>
      <c r="B45" s="149" t="s">
        <v>1961</v>
      </c>
      <c r="C45" s="122" t="s">
        <v>36</v>
      </c>
      <c r="D45" s="9"/>
      <c r="E45" s="9">
        <v>12</v>
      </c>
      <c r="F45" s="10">
        <v>3596</v>
      </c>
      <c r="G45" s="10">
        <f t="shared" si="2"/>
        <v>43152</v>
      </c>
      <c r="H45" s="27">
        <v>12</v>
      </c>
      <c r="I45" s="28">
        <v>3596</v>
      </c>
      <c r="J45" s="28">
        <f t="shared" si="3"/>
        <v>43152</v>
      </c>
      <c r="K45" s="23"/>
      <c r="L45" s="24">
        <v>3596</v>
      </c>
      <c r="M45" s="24">
        <f t="shared" si="4"/>
        <v>0</v>
      </c>
    </row>
    <row r="46" spans="1:13" ht="17" thickBot="1" x14ac:dyDescent="0.25">
      <c r="A46" s="9" t="s">
        <v>1424</v>
      </c>
      <c r="B46" s="149" t="s">
        <v>960</v>
      </c>
      <c r="C46" s="122" t="s">
        <v>36</v>
      </c>
      <c r="D46" s="9"/>
      <c r="E46" s="9">
        <v>12</v>
      </c>
      <c r="F46" s="10">
        <v>1276</v>
      </c>
      <c r="G46" s="10">
        <f t="shared" si="2"/>
        <v>15312</v>
      </c>
      <c r="H46" s="27"/>
      <c r="I46" s="28">
        <v>1276</v>
      </c>
      <c r="J46" s="28">
        <f t="shared" si="3"/>
        <v>0</v>
      </c>
      <c r="K46" s="23"/>
      <c r="L46" s="24">
        <v>1276</v>
      </c>
      <c r="M46" s="24">
        <f t="shared" si="4"/>
        <v>0</v>
      </c>
    </row>
    <row r="47" spans="1:13" ht="17" thickBot="1" x14ac:dyDescent="0.25">
      <c r="A47" s="9" t="s">
        <v>1425</v>
      </c>
      <c r="B47" s="149" t="s">
        <v>854</v>
      </c>
      <c r="C47" s="122" t="s">
        <v>36</v>
      </c>
      <c r="D47" s="9"/>
      <c r="E47" s="9">
        <v>5</v>
      </c>
      <c r="F47" s="10">
        <v>4756</v>
      </c>
      <c r="G47" s="10">
        <f t="shared" si="2"/>
        <v>23780</v>
      </c>
      <c r="H47" s="27">
        <v>1</v>
      </c>
      <c r="I47" s="28">
        <v>4756</v>
      </c>
      <c r="J47" s="28">
        <f t="shared" si="3"/>
        <v>4756</v>
      </c>
      <c r="K47" s="23">
        <v>4</v>
      </c>
      <c r="L47" s="24">
        <v>4756</v>
      </c>
      <c r="M47" s="24">
        <f t="shared" si="4"/>
        <v>19024</v>
      </c>
    </row>
    <row r="48" spans="1:13" ht="17" thickBot="1" x14ac:dyDescent="0.25">
      <c r="A48" s="9" t="s">
        <v>1426</v>
      </c>
      <c r="B48" s="149" t="s">
        <v>1361</v>
      </c>
      <c r="C48" s="122" t="s">
        <v>36</v>
      </c>
      <c r="D48" s="9"/>
      <c r="E48" s="9">
        <v>5</v>
      </c>
      <c r="F48" s="10">
        <v>9280</v>
      </c>
      <c r="G48" s="10">
        <f t="shared" si="2"/>
        <v>46400</v>
      </c>
      <c r="H48" s="27">
        <v>1</v>
      </c>
      <c r="I48" s="28">
        <v>9280</v>
      </c>
      <c r="J48" s="28">
        <f t="shared" si="3"/>
        <v>9280</v>
      </c>
      <c r="K48" s="23"/>
      <c r="L48" s="24">
        <v>9280</v>
      </c>
      <c r="M48" s="24">
        <f t="shared" si="4"/>
        <v>0</v>
      </c>
    </row>
    <row r="49" spans="1:13" ht="17" thickBot="1" x14ac:dyDescent="0.25">
      <c r="A49" s="9" t="s">
        <v>1427</v>
      </c>
      <c r="B49" s="149" t="s">
        <v>889</v>
      </c>
      <c r="C49" s="122" t="s">
        <v>36</v>
      </c>
      <c r="D49" s="9"/>
      <c r="E49" s="9">
        <v>10</v>
      </c>
      <c r="F49" s="10">
        <v>6728</v>
      </c>
      <c r="G49" s="10">
        <f t="shared" ref="G49:G74" si="5">F49*E49</f>
        <v>67280</v>
      </c>
      <c r="H49" s="27">
        <v>2</v>
      </c>
      <c r="I49" s="28">
        <v>6728</v>
      </c>
      <c r="J49" s="28">
        <f t="shared" si="3"/>
        <v>13456</v>
      </c>
      <c r="K49" s="23">
        <v>3</v>
      </c>
      <c r="L49" s="24">
        <v>6728</v>
      </c>
      <c r="M49" s="24">
        <f t="shared" si="4"/>
        <v>20184</v>
      </c>
    </row>
    <row r="50" spans="1:13" ht="17" thickBot="1" x14ac:dyDescent="0.25">
      <c r="A50" s="9" t="s">
        <v>1428</v>
      </c>
      <c r="B50" s="149" t="s">
        <v>909</v>
      </c>
      <c r="C50" s="122" t="s">
        <v>36</v>
      </c>
      <c r="D50" s="9"/>
      <c r="E50" s="9">
        <v>10</v>
      </c>
      <c r="F50" s="10">
        <v>11368</v>
      </c>
      <c r="G50" s="10">
        <f t="shared" si="5"/>
        <v>113680</v>
      </c>
      <c r="H50" s="27">
        <v>3</v>
      </c>
      <c r="I50" s="28">
        <v>11368</v>
      </c>
      <c r="J50" s="28">
        <f t="shared" si="3"/>
        <v>34104</v>
      </c>
      <c r="K50" s="23"/>
      <c r="L50" s="24">
        <v>11368</v>
      </c>
      <c r="M50" s="24">
        <f t="shared" si="4"/>
        <v>0</v>
      </c>
    </row>
    <row r="51" spans="1:13" ht="17" thickBot="1" x14ac:dyDescent="0.25">
      <c r="A51" s="9" t="s">
        <v>1429</v>
      </c>
      <c r="B51" s="149" t="s">
        <v>876</v>
      </c>
      <c r="C51" s="122" t="s">
        <v>36</v>
      </c>
      <c r="D51" s="9"/>
      <c r="E51" s="9">
        <v>12</v>
      </c>
      <c r="F51" s="10">
        <v>14036</v>
      </c>
      <c r="G51" s="10">
        <f t="shared" si="5"/>
        <v>168432</v>
      </c>
      <c r="H51" s="27">
        <v>3</v>
      </c>
      <c r="I51" s="28">
        <v>14036</v>
      </c>
      <c r="J51" s="28">
        <f t="shared" si="3"/>
        <v>42108</v>
      </c>
      <c r="K51" s="23"/>
      <c r="L51" s="24">
        <v>14036</v>
      </c>
      <c r="M51" s="24">
        <f t="shared" si="4"/>
        <v>0</v>
      </c>
    </row>
    <row r="52" spans="1:13" ht="17" thickBot="1" x14ac:dyDescent="0.25">
      <c r="A52" s="9" t="s">
        <v>1430</v>
      </c>
      <c r="B52" s="149" t="s">
        <v>859</v>
      </c>
      <c r="C52" s="122" t="s">
        <v>36</v>
      </c>
      <c r="D52" s="9"/>
      <c r="E52" s="9">
        <v>5</v>
      </c>
      <c r="F52" s="10">
        <v>1160</v>
      </c>
      <c r="G52" s="10">
        <f t="shared" si="5"/>
        <v>5800</v>
      </c>
      <c r="H52" s="27">
        <v>2</v>
      </c>
      <c r="I52" s="28">
        <v>1160</v>
      </c>
      <c r="J52" s="28">
        <f t="shared" si="3"/>
        <v>2320</v>
      </c>
      <c r="K52" s="23"/>
      <c r="L52" s="24">
        <v>1160</v>
      </c>
      <c r="M52" s="24">
        <f t="shared" si="4"/>
        <v>0</v>
      </c>
    </row>
    <row r="53" spans="1:13" ht="17" thickBot="1" x14ac:dyDescent="0.25">
      <c r="A53" s="9" t="s">
        <v>1431</v>
      </c>
      <c r="B53" s="149" t="s">
        <v>887</v>
      </c>
      <c r="C53" s="122" t="s">
        <v>36</v>
      </c>
      <c r="D53" s="9"/>
      <c r="E53" s="9">
        <v>10</v>
      </c>
      <c r="F53" s="10">
        <v>15196</v>
      </c>
      <c r="G53" s="10">
        <f t="shared" si="5"/>
        <v>151960</v>
      </c>
      <c r="H53" s="27"/>
      <c r="I53" s="28">
        <v>15196</v>
      </c>
      <c r="J53" s="28">
        <f t="shared" si="3"/>
        <v>0</v>
      </c>
      <c r="K53" s="23">
        <v>2</v>
      </c>
      <c r="L53" s="24">
        <v>15196</v>
      </c>
      <c r="M53" s="24">
        <f t="shared" si="4"/>
        <v>30392</v>
      </c>
    </row>
    <row r="54" spans="1:13" ht="17" thickBot="1" x14ac:dyDescent="0.25">
      <c r="A54" s="9" t="s">
        <v>1432</v>
      </c>
      <c r="B54" s="149" t="s">
        <v>974</v>
      </c>
      <c r="C54" s="122" t="s">
        <v>36</v>
      </c>
      <c r="D54" s="9"/>
      <c r="E54" s="9">
        <v>12</v>
      </c>
      <c r="F54" s="10">
        <v>6728</v>
      </c>
      <c r="G54" s="10">
        <f t="shared" si="5"/>
        <v>80736</v>
      </c>
      <c r="H54" s="27">
        <v>3</v>
      </c>
      <c r="I54" s="28">
        <v>6728</v>
      </c>
      <c r="J54" s="28">
        <f t="shared" si="3"/>
        <v>20184</v>
      </c>
      <c r="K54" s="23">
        <v>9</v>
      </c>
      <c r="L54" s="24">
        <v>6728</v>
      </c>
      <c r="M54" s="24">
        <f t="shared" si="4"/>
        <v>60552</v>
      </c>
    </row>
    <row r="55" spans="1:13" ht="17" thickBot="1" x14ac:dyDescent="0.25">
      <c r="A55" s="9" t="s">
        <v>1433</v>
      </c>
      <c r="B55" s="149" t="s">
        <v>1964</v>
      </c>
      <c r="C55" s="122" t="s">
        <v>36</v>
      </c>
      <c r="D55" s="9"/>
      <c r="E55" s="9">
        <v>10</v>
      </c>
      <c r="F55" s="10">
        <v>4512.3999999999996</v>
      </c>
      <c r="G55" s="10">
        <f t="shared" si="5"/>
        <v>45124</v>
      </c>
      <c r="H55" s="27">
        <v>3</v>
      </c>
      <c r="I55" s="28">
        <v>4512.3999999999996</v>
      </c>
      <c r="J55" s="28">
        <f t="shared" si="3"/>
        <v>13537.199999999999</v>
      </c>
      <c r="K55" s="23">
        <v>7</v>
      </c>
      <c r="L55" s="24">
        <v>4512.3999999999996</v>
      </c>
      <c r="M55" s="24">
        <f t="shared" si="4"/>
        <v>31586.799999999996</v>
      </c>
    </row>
    <row r="56" spans="1:13" ht="17" thickBot="1" x14ac:dyDescent="0.25">
      <c r="A56" s="9" t="s">
        <v>1434</v>
      </c>
      <c r="B56" s="149" t="s">
        <v>953</v>
      </c>
      <c r="C56" s="122" t="s">
        <v>36</v>
      </c>
      <c r="D56" s="9"/>
      <c r="E56" s="9">
        <v>10</v>
      </c>
      <c r="F56" s="10">
        <v>9280</v>
      </c>
      <c r="G56" s="10">
        <f t="shared" si="5"/>
        <v>92800</v>
      </c>
      <c r="H56" s="27">
        <v>2</v>
      </c>
      <c r="I56" s="28">
        <v>9280</v>
      </c>
      <c r="J56" s="28">
        <f t="shared" si="3"/>
        <v>18560</v>
      </c>
      <c r="K56" s="23">
        <v>8</v>
      </c>
      <c r="L56" s="24">
        <v>9280</v>
      </c>
      <c r="M56" s="24">
        <f t="shared" si="4"/>
        <v>74240</v>
      </c>
    </row>
    <row r="57" spans="1:13" ht="17" thickBot="1" x14ac:dyDescent="0.25">
      <c r="A57" s="35" t="s">
        <v>1435</v>
      </c>
      <c r="B57" s="149" t="s">
        <v>917</v>
      </c>
      <c r="C57" s="122" t="s">
        <v>36</v>
      </c>
      <c r="D57" s="9"/>
      <c r="E57" s="9">
        <v>5</v>
      </c>
      <c r="F57" s="10">
        <v>4988</v>
      </c>
      <c r="G57" s="10">
        <f t="shared" si="5"/>
        <v>24940</v>
      </c>
      <c r="H57" s="27">
        <v>2</v>
      </c>
      <c r="I57" s="28">
        <v>4988</v>
      </c>
      <c r="J57" s="28">
        <f t="shared" si="3"/>
        <v>9976</v>
      </c>
      <c r="K57" s="23">
        <v>3</v>
      </c>
      <c r="L57" s="24">
        <v>4988</v>
      </c>
      <c r="M57" s="24">
        <f t="shared" si="4"/>
        <v>14964</v>
      </c>
    </row>
    <row r="58" spans="1:13" ht="17" thickBot="1" x14ac:dyDescent="0.25">
      <c r="A58" s="9" t="s">
        <v>1436</v>
      </c>
      <c r="B58" s="149" t="s">
        <v>1362</v>
      </c>
      <c r="C58" s="122" t="s">
        <v>36</v>
      </c>
      <c r="D58" s="9"/>
      <c r="E58" s="9">
        <v>10</v>
      </c>
      <c r="F58" s="10">
        <v>9280</v>
      </c>
      <c r="G58" s="10">
        <f t="shared" si="5"/>
        <v>92800</v>
      </c>
      <c r="H58" s="27">
        <v>2</v>
      </c>
      <c r="I58" s="28">
        <v>9280</v>
      </c>
      <c r="J58" s="28">
        <f t="shared" si="3"/>
        <v>18560</v>
      </c>
      <c r="K58" s="23"/>
      <c r="L58" s="24">
        <v>9280</v>
      </c>
      <c r="M58" s="24">
        <f t="shared" si="4"/>
        <v>0</v>
      </c>
    </row>
    <row r="59" spans="1:13" ht="17" thickBot="1" x14ac:dyDescent="0.25">
      <c r="A59" s="9" t="s">
        <v>1437</v>
      </c>
      <c r="B59" s="149" t="s">
        <v>1582</v>
      </c>
      <c r="C59" s="122" t="s">
        <v>36</v>
      </c>
      <c r="D59" s="9"/>
      <c r="E59" s="9">
        <v>5</v>
      </c>
      <c r="F59" s="10">
        <v>6148</v>
      </c>
      <c r="G59" s="10">
        <f t="shared" si="5"/>
        <v>30740</v>
      </c>
      <c r="H59" s="27">
        <v>1</v>
      </c>
      <c r="I59" s="28">
        <v>6148</v>
      </c>
      <c r="J59" s="28">
        <f t="shared" si="3"/>
        <v>6148</v>
      </c>
      <c r="K59" s="23">
        <v>4</v>
      </c>
      <c r="L59" s="24">
        <v>6148</v>
      </c>
      <c r="M59" s="24">
        <f t="shared" si="4"/>
        <v>24592</v>
      </c>
    </row>
    <row r="60" spans="1:13" ht="17" thickBot="1" x14ac:dyDescent="0.25">
      <c r="A60" s="9" t="s">
        <v>1438</v>
      </c>
      <c r="B60" s="149" t="s">
        <v>900</v>
      </c>
      <c r="C60" s="122" t="s">
        <v>36</v>
      </c>
      <c r="D60" s="9"/>
      <c r="E60" s="9">
        <v>10</v>
      </c>
      <c r="F60" s="10">
        <v>2064.8000000000002</v>
      </c>
      <c r="G60" s="10">
        <f t="shared" si="5"/>
        <v>20648</v>
      </c>
      <c r="H60" s="27">
        <v>2</v>
      </c>
      <c r="I60" s="28">
        <v>2064.8000000000002</v>
      </c>
      <c r="J60" s="28">
        <f t="shared" si="3"/>
        <v>4129.6000000000004</v>
      </c>
      <c r="K60" s="23">
        <v>8</v>
      </c>
      <c r="L60" s="24">
        <v>2064.8000000000002</v>
      </c>
      <c r="M60" s="24">
        <f t="shared" si="4"/>
        <v>16518.400000000001</v>
      </c>
    </row>
    <row r="61" spans="1:13" ht="17" thickBot="1" x14ac:dyDescent="0.25">
      <c r="A61" s="9" t="s">
        <v>1439</v>
      </c>
      <c r="B61" s="149" t="s">
        <v>982</v>
      </c>
      <c r="C61" s="122" t="s">
        <v>36</v>
      </c>
      <c r="D61" s="9"/>
      <c r="E61" s="9">
        <v>5</v>
      </c>
      <c r="F61" s="10">
        <v>2064.8000000000002</v>
      </c>
      <c r="G61" s="10">
        <f t="shared" si="5"/>
        <v>10324</v>
      </c>
      <c r="H61" s="27">
        <v>2</v>
      </c>
      <c r="I61" s="28">
        <v>2064.8000000000002</v>
      </c>
      <c r="J61" s="28">
        <f t="shared" si="3"/>
        <v>4129.6000000000004</v>
      </c>
      <c r="K61" s="23">
        <v>3</v>
      </c>
      <c r="L61" s="24">
        <v>2064.8000000000002</v>
      </c>
      <c r="M61" s="24">
        <f t="shared" si="4"/>
        <v>6194.4000000000005</v>
      </c>
    </row>
    <row r="62" spans="1:13" ht="17" thickBot="1" x14ac:dyDescent="0.25">
      <c r="A62" s="35" t="s">
        <v>1440</v>
      </c>
      <c r="B62" s="149" t="s">
        <v>917</v>
      </c>
      <c r="C62" s="122" t="s">
        <v>36</v>
      </c>
      <c r="D62" s="9"/>
      <c r="E62" s="9">
        <v>5</v>
      </c>
      <c r="F62" s="10">
        <v>4640</v>
      </c>
      <c r="G62" s="10">
        <f t="shared" si="5"/>
        <v>23200</v>
      </c>
      <c r="H62" s="27">
        <v>2</v>
      </c>
      <c r="I62" s="28">
        <v>4640</v>
      </c>
      <c r="J62" s="28">
        <f t="shared" si="3"/>
        <v>9280</v>
      </c>
      <c r="K62" s="23">
        <v>3</v>
      </c>
      <c r="L62" s="24">
        <v>4640</v>
      </c>
      <c r="M62" s="24">
        <f t="shared" si="4"/>
        <v>13920</v>
      </c>
    </row>
    <row r="63" spans="1:13" ht="17" thickBot="1" x14ac:dyDescent="0.25">
      <c r="A63" s="9" t="s">
        <v>1441</v>
      </c>
      <c r="B63" s="149" t="s">
        <v>848</v>
      </c>
      <c r="C63" s="122" t="s">
        <v>36</v>
      </c>
      <c r="D63" s="9"/>
      <c r="E63" s="9">
        <v>5</v>
      </c>
      <c r="F63" s="10">
        <v>8236</v>
      </c>
      <c r="G63" s="10">
        <f t="shared" si="5"/>
        <v>41180</v>
      </c>
      <c r="H63" s="27">
        <v>2</v>
      </c>
      <c r="I63" s="28">
        <v>8236</v>
      </c>
      <c r="J63" s="28">
        <f t="shared" si="3"/>
        <v>16472</v>
      </c>
      <c r="K63" s="23">
        <v>3</v>
      </c>
      <c r="L63" s="24">
        <v>8236</v>
      </c>
      <c r="M63" s="24">
        <f t="shared" si="4"/>
        <v>24708</v>
      </c>
    </row>
    <row r="64" spans="1:13" ht="17" thickBot="1" x14ac:dyDescent="0.25">
      <c r="A64" s="9" t="s">
        <v>1442</v>
      </c>
      <c r="B64" s="149" t="s">
        <v>1341</v>
      </c>
      <c r="C64" s="122" t="s">
        <v>36</v>
      </c>
      <c r="D64" s="9"/>
      <c r="E64" s="9">
        <v>10</v>
      </c>
      <c r="F64" s="10">
        <v>8236</v>
      </c>
      <c r="G64" s="10">
        <f t="shared" si="5"/>
        <v>82360</v>
      </c>
      <c r="H64" s="27">
        <v>2</v>
      </c>
      <c r="I64" s="28">
        <v>8236</v>
      </c>
      <c r="J64" s="28">
        <f t="shared" si="3"/>
        <v>16472</v>
      </c>
      <c r="K64" s="23">
        <v>8</v>
      </c>
      <c r="L64" s="24">
        <v>8236</v>
      </c>
      <c r="M64" s="24">
        <f t="shared" si="4"/>
        <v>65888</v>
      </c>
    </row>
    <row r="65" spans="1:13" ht="17" thickBot="1" x14ac:dyDescent="0.25">
      <c r="A65" s="9" t="s">
        <v>1443</v>
      </c>
      <c r="B65" s="149" t="s">
        <v>955</v>
      </c>
      <c r="C65" s="122" t="s">
        <v>36</v>
      </c>
      <c r="D65" s="9"/>
      <c r="E65" s="9">
        <v>5</v>
      </c>
      <c r="F65" s="10">
        <v>2577.52</v>
      </c>
      <c r="G65" s="10">
        <f t="shared" si="5"/>
        <v>12887.6</v>
      </c>
      <c r="H65" s="27">
        <v>1</v>
      </c>
      <c r="I65" s="28">
        <v>2577.52</v>
      </c>
      <c r="J65" s="28">
        <f t="shared" si="3"/>
        <v>2577.52</v>
      </c>
      <c r="K65" s="23"/>
      <c r="L65" s="24">
        <v>2577.52</v>
      </c>
      <c r="M65" s="24">
        <f t="shared" si="4"/>
        <v>0</v>
      </c>
    </row>
    <row r="66" spans="1:13" ht="17" thickBot="1" x14ac:dyDescent="0.25">
      <c r="A66" s="9" t="s">
        <v>1444</v>
      </c>
      <c r="B66" s="149" t="s">
        <v>1963</v>
      </c>
      <c r="C66" s="122" t="s">
        <v>36</v>
      </c>
      <c r="D66" s="9"/>
      <c r="E66" s="9">
        <v>7</v>
      </c>
      <c r="F66" s="10">
        <v>812</v>
      </c>
      <c r="G66" s="10">
        <f t="shared" si="5"/>
        <v>5684</v>
      </c>
      <c r="H66" s="27">
        <v>2</v>
      </c>
      <c r="I66" s="28">
        <v>812</v>
      </c>
      <c r="J66" s="28">
        <f t="shared" si="3"/>
        <v>1624</v>
      </c>
      <c r="K66" s="23">
        <v>5</v>
      </c>
      <c r="L66" s="24">
        <v>812</v>
      </c>
      <c r="M66" s="24">
        <f t="shared" si="4"/>
        <v>4060</v>
      </c>
    </row>
    <row r="67" spans="1:13" ht="17" thickBot="1" x14ac:dyDescent="0.25">
      <c r="A67" s="9" t="s">
        <v>1445</v>
      </c>
      <c r="B67" s="149" t="s">
        <v>979</v>
      </c>
      <c r="C67" s="122" t="s">
        <v>36</v>
      </c>
      <c r="D67" s="9"/>
      <c r="E67" s="9">
        <v>20</v>
      </c>
      <c r="F67" s="10">
        <v>5568</v>
      </c>
      <c r="G67" s="10">
        <f t="shared" si="5"/>
        <v>111360</v>
      </c>
      <c r="H67" s="27">
        <v>5</v>
      </c>
      <c r="I67" s="28">
        <v>5568</v>
      </c>
      <c r="J67" s="28">
        <f t="shared" si="3"/>
        <v>27840</v>
      </c>
      <c r="K67" s="23"/>
      <c r="L67" s="24">
        <v>5568</v>
      </c>
      <c r="M67" s="24">
        <f t="shared" si="4"/>
        <v>0</v>
      </c>
    </row>
    <row r="68" spans="1:13" ht="17" thickBot="1" x14ac:dyDescent="0.25">
      <c r="A68" s="9" t="s">
        <v>1446</v>
      </c>
      <c r="B68" s="149" t="s">
        <v>1962</v>
      </c>
      <c r="C68" s="122" t="s">
        <v>36</v>
      </c>
      <c r="D68" s="9"/>
      <c r="E68" s="9">
        <v>24</v>
      </c>
      <c r="F68" s="10">
        <v>8352</v>
      </c>
      <c r="G68" s="10">
        <f t="shared" si="5"/>
        <v>200448</v>
      </c>
      <c r="H68" s="27">
        <v>6</v>
      </c>
      <c r="I68" s="28">
        <v>8352</v>
      </c>
      <c r="J68" s="28">
        <f t="shared" si="3"/>
        <v>50112</v>
      </c>
      <c r="K68" s="23">
        <v>6</v>
      </c>
      <c r="L68" s="24">
        <v>8352</v>
      </c>
      <c r="M68" s="24">
        <f t="shared" si="4"/>
        <v>50112</v>
      </c>
    </row>
    <row r="69" spans="1:13" ht="17" thickBot="1" x14ac:dyDescent="0.25">
      <c r="A69" s="9" t="s">
        <v>1447</v>
      </c>
      <c r="B69" s="149" t="s">
        <v>947</v>
      </c>
      <c r="C69" s="122" t="s">
        <v>36</v>
      </c>
      <c r="D69" s="9"/>
      <c r="E69" s="9">
        <v>5</v>
      </c>
      <c r="F69" s="10">
        <v>4408</v>
      </c>
      <c r="G69" s="10">
        <f t="shared" si="5"/>
        <v>22040</v>
      </c>
      <c r="H69" s="27">
        <v>1</v>
      </c>
      <c r="I69" s="28">
        <v>4408</v>
      </c>
      <c r="J69" s="28">
        <f t="shared" si="3"/>
        <v>4408</v>
      </c>
      <c r="K69" s="23">
        <v>4</v>
      </c>
      <c r="L69" s="24">
        <v>4408</v>
      </c>
      <c r="M69" s="24">
        <f t="shared" si="4"/>
        <v>17632</v>
      </c>
    </row>
    <row r="70" spans="1:13" ht="17" thickBot="1" x14ac:dyDescent="0.25">
      <c r="A70" s="9" t="s">
        <v>1448</v>
      </c>
      <c r="B70" s="149" t="s">
        <v>1343</v>
      </c>
      <c r="C70" s="122" t="s">
        <v>36</v>
      </c>
      <c r="D70" s="9"/>
      <c r="E70" s="9">
        <v>15</v>
      </c>
      <c r="F70" s="10">
        <v>89320</v>
      </c>
      <c r="G70" s="10">
        <f t="shared" si="5"/>
        <v>1339800</v>
      </c>
      <c r="H70" s="27">
        <v>15</v>
      </c>
      <c r="I70" s="28">
        <v>89320</v>
      </c>
      <c r="J70" s="28">
        <f t="shared" si="3"/>
        <v>1339800</v>
      </c>
      <c r="K70" s="23"/>
      <c r="L70" s="24">
        <v>89320</v>
      </c>
      <c r="M70" s="24">
        <f t="shared" si="4"/>
        <v>0</v>
      </c>
    </row>
    <row r="71" spans="1:13" ht="17" thickBot="1" x14ac:dyDescent="0.25">
      <c r="A71" s="9" t="s">
        <v>1449</v>
      </c>
      <c r="B71" s="149" t="s">
        <v>1772</v>
      </c>
      <c r="C71" s="122" t="s">
        <v>36</v>
      </c>
      <c r="D71" s="9"/>
      <c r="E71" s="9">
        <v>20</v>
      </c>
      <c r="F71" s="10">
        <v>2577.52</v>
      </c>
      <c r="G71" s="10">
        <f t="shared" si="5"/>
        <v>51550.400000000001</v>
      </c>
      <c r="H71" s="27">
        <v>5</v>
      </c>
      <c r="I71" s="28">
        <v>2577.52</v>
      </c>
      <c r="J71" s="28">
        <f t="shared" si="3"/>
        <v>12887.6</v>
      </c>
      <c r="K71" s="23">
        <v>10</v>
      </c>
      <c r="L71" s="24">
        <v>2577.52</v>
      </c>
      <c r="M71" s="24">
        <f t="shared" si="4"/>
        <v>25775.200000000001</v>
      </c>
    </row>
    <row r="72" spans="1:13" ht="17" thickBot="1" x14ac:dyDescent="0.25">
      <c r="A72" s="9" t="s">
        <v>1450</v>
      </c>
      <c r="B72" s="149" t="s">
        <v>907</v>
      </c>
      <c r="C72" s="122" t="s">
        <v>36</v>
      </c>
      <c r="D72" s="9"/>
      <c r="E72" s="9">
        <v>20</v>
      </c>
      <c r="F72" s="10">
        <v>93960</v>
      </c>
      <c r="G72" s="10">
        <f t="shared" si="5"/>
        <v>1879200</v>
      </c>
      <c r="H72" s="27"/>
      <c r="I72" s="28">
        <v>93960</v>
      </c>
      <c r="J72" s="28">
        <f t="shared" si="3"/>
        <v>0</v>
      </c>
      <c r="K72" s="23"/>
      <c r="L72" s="24">
        <v>93960</v>
      </c>
      <c r="M72" s="24">
        <f t="shared" si="4"/>
        <v>0</v>
      </c>
    </row>
    <row r="73" spans="1:13" ht="17" thickBot="1" x14ac:dyDescent="0.25">
      <c r="A73" s="9" t="s">
        <v>1451</v>
      </c>
      <c r="B73" s="149" t="s">
        <v>956</v>
      </c>
      <c r="C73" s="122" t="s">
        <v>36</v>
      </c>
      <c r="D73" s="9"/>
      <c r="E73" s="9">
        <v>10</v>
      </c>
      <c r="F73" s="10">
        <v>2946.4</v>
      </c>
      <c r="G73" s="10">
        <f t="shared" si="5"/>
        <v>29464</v>
      </c>
      <c r="H73" s="27">
        <v>3</v>
      </c>
      <c r="I73" s="28">
        <v>2946.4</v>
      </c>
      <c r="J73" s="28">
        <f t="shared" si="3"/>
        <v>8839.2000000000007</v>
      </c>
      <c r="K73" s="23">
        <v>7</v>
      </c>
      <c r="L73" s="24">
        <v>2946.4</v>
      </c>
      <c r="M73" s="24">
        <f t="shared" si="4"/>
        <v>20624.8</v>
      </c>
    </row>
    <row r="74" spans="1:13" ht="17" thickBot="1" x14ac:dyDescent="0.25">
      <c r="A74" s="9" t="s">
        <v>1452</v>
      </c>
      <c r="B74" s="149" t="s">
        <v>913</v>
      </c>
      <c r="C74" s="122" t="s">
        <v>36</v>
      </c>
      <c r="D74" s="9"/>
      <c r="E74" s="9">
        <v>10</v>
      </c>
      <c r="F74" s="10">
        <v>14140.4</v>
      </c>
      <c r="G74" s="10">
        <f t="shared" si="5"/>
        <v>141404</v>
      </c>
      <c r="H74" s="27">
        <v>2</v>
      </c>
      <c r="I74" s="28">
        <v>14140.4</v>
      </c>
      <c r="J74" s="28">
        <f t="shared" si="3"/>
        <v>28280.799999999999</v>
      </c>
      <c r="K74" s="23"/>
      <c r="L74" s="24">
        <v>14140.4</v>
      </c>
      <c r="M74" s="24">
        <f t="shared" si="4"/>
        <v>0</v>
      </c>
    </row>
    <row r="75" spans="1:13" ht="17" thickBot="1" x14ac:dyDescent="0.25">
      <c r="B75" s="202"/>
      <c r="C75" s="126"/>
      <c r="F75" s="1"/>
      <c r="G75" s="12">
        <f>SUM(G17:G74)</f>
        <v>8440705.1999999993</v>
      </c>
      <c r="I75" s="1"/>
      <c r="J75" s="148">
        <f>SUM(J17:J74)</f>
        <v>2682856.1200000006</v>
      </c>
      <c r="L75" s="1"/>
      <c r="M75" s="26">
        <f>SUM(M17:M74)</f>
        <v>1093903.2000000002</v>
      </c>
    </row>
    <row r="76" spans="1:13" ht="17" thickBot="1" x14ac:dyDescent="0.25">
      <c r="A76" s="171" t="s">
        <v>1095</v>
      </c>
      <c r="B76" s="203" t="s">
        <v>937</v>
      </c>
      <c r="C76" s="172" t="s">
        <v>1094</v>
      </c>
      <c r="D76" s="172"/>
      <c r="E76" s="172"/>
      <c r="F76" s="172"/>
      <c r="G76" s="172"/>
      <c r="H76" s="172"/>
      <c r="I76" s="172"/>
      <c r="J76" s="172"/>
    </row>
    <row r="77" spans="1:13" ht="17" thickBot="1" x14ac:dyDescent="0.25">
      <c r="A77" s="173" t="s">
        <v>242</v>
      </c>
      <c r="B77" s="204"/>
      <c r="C77" s="173" t="s">
        <v>36</v>
      </c>
      <c r="D77" s="173" t="s">
        <v>293</v>
      </c>
      <c r="E77" s="174">
        <v>24</v>
      </c>
      <c r="F77" s="175">
        <v>10092</v>
      </c>
      <c r="G77" s="176">
        <f>F77*E77</f>
        <v>242208</v>
      </c>
      <c r="H77" s="174">
        <v>6</v>
      </c>
      <c r="I77" s="175">
        <v>10092</v>
      </c>
      <c r="J77" s="176">
        <f>I77*H77</f>
        <v>60552</v>
      </c>
    </row>
    <row r="78" spans="1:13" x14ac:dyDescent="0.2">
      <c r="A78" s="4"/>
      <c r="B78" s="79"/>
      <c r="C78" s="2"/>
      <c r="D78" s="2"/>
      <c r="E78" s="2"/>
      <c r="F78" s="3"/>
      <c r="G78" s="2"/>
      <c r="H78" s="2"/>
      <c r="I78" s="2"/>
      <c r="J78" s="2"/>
    </row>
    <row r="79" spans="1:13" ht="17" thickBot="1" x14ac:dyDescent="0.25">
      <c r="A79" s="30" t="s">
        <v>1558</v>
      </c>
      <c r="B79" s="77" t="s">
        <v>937</v>
      </c>
      <c r="C79" s="2" t="s">
        <v>1094</v>
      </c>
      <c r="D79" s="2"/>
      <c r="E79" s="2"/>
      <c r="F79" s="2"/>
      <c r="G79" s="2"/>
      <c r="H79" s="2"/>
      <c r="I79" s="2"/>
      <c r="J79" s="2"/>
    </row>
    <row r="80" spans="1:13" ht="17" thickBot="1" x14ac:dyDescent="0.25">
      <c r="A80" s="9" t="s">
        <v>140</v>
      </c>
      <c r="B80" s="76" t="s">
        <v>1559</v>
      </c>
      <c r="C80" s="9" t="s">
        <v>36</v>
      </c>
      <c r="D80" s="9" t="s">
        <v>417</v>
      </c>
      <c r="E80" s="9">
        <v>12</v>
      </c>
      <c r="F80" s="10">
        <v>1438.4</v>
      </c>
      <c r="G80" s="10">
        <f t="shared" ref="G80:G104" si="6">F80*E80</f>
        <v>17260.800000000003</v>
      </c>
      <c r="H80" s="18">
        <v>3</v>
      </c>
      <c r="I80" s="19">
        <v>1438.4</v>
      </c>
      <c r="J80" s="19">
        <f t="shared" ref="J80:J104" si="7">I80*H80</f>
        <v>4315.2000000000007</v>
      </c>
      <c r="K80" s="27">
        <v>9</v>
      </c>
      <c r="L80" s="28">
        <v>1438.4</v>
      </c>
      <c r="M80" s="28">
        <f t="shared" ref="M80:M104" si="8">L80*K80</f>
        <v>12945.6</v>
      </c>
    </row>
    <row r="81" spans="1:13" ht="17" thickBot="1" x14ac:dyDescent="0.25">
      <c r="A81" s="9" t="s">
        <v>285</v>
      </c>
      <c r="B81" s="76" t="s">
        <v>954</v>
      </c>
      <c r="C81" s="9" t="s">
        <v>36</v>
      </c>
      <c r="D81" s="9" t="s">
        <v>690</v>
      </c>
      <c r="E81" s="9">
        <v>12</v>
      </c>
      <c r="F81" s="10">
        <v>7656</v>
      </c>
      <c r="G81" s="10">
        <f t="shared" si="6"/>
        <v>91872</v>
      </c>
      <c r="H81" s="18">
        <v>3</v>
      </c>
      <c r="I81" s="19">
        <v>7656</v>
      </c>
      <c r="J81" s="19">
        <f t="shared" si="7"/>
        <v>22968</v>
      </c>
      <c r="K81" s="27"/>
      <c r="L81" s="28">
        <v>7656</v>
      </c>
      <c r="M81" s="28">
        <f t="shared" si="8"/>
        <v>0</v>
      </c>
    </row>
    <row r="82" spans="1:13" ht="17" thickBot="1" x14ac:dyDescent="0.25">
      <c r="A82" s="9" t="s">
        <v>140</v>
      </c>
      <c r="B82" s="76" t="s">
        <v>1560</v>
      </c>
      <c r="C82" s="9" t="s">
        <v>36</v>
      </c>
      <c r="D82" s="9" t="s">
        <v>1104</v>
      </c>
      <c r="E82" s="9">
        <v>24</v>
      </c>
      <c r="F82" s="10">
        <v>6496</v>
      </c>
      <c r="G82" s="10">
        <f t="shared" si="6"/>
        <v>155904</v>
      </c>
      <c r="H82" s="18">
        <v>6</v>
      </c>
      <c r="I82" s="19">
        <v>6496</v>
      </c>
      <c r="J82" s="19">
        <f t="shared" si="7"/>
        <v>38976</v>
      </c>
      <c r="K82" s="27">
        <v>18</v>
      </c>
      <c r="L82" s="28">
        <v>6496</v>
      </c>
      <c r="M82" s="28">
        <f t="shared" si="8"/>
        <v>116928</v>
      </c>
    </row>
    <row r="83" spans="1:13" ht="17" thickBot="1" x14ac:dyDescent="0.25">
      <c r="A83" s="9" t="s">
        <v>46</v>
      </c>
      <c r="B83" s="76" t="s">
        <v>956</v>
      </c>
      <c r="C83" s="9" t="s">
        <v>36</v>
      </c>
      <c r="D83" s="9" t="s">
        <v>991</v>
      </c>
      <c r="E83" s="9">
        <v>10</v>
      </c>
      <c r="F83" s="10">
        <v>3004.4</v>
      </c>
      <c r="G83" s="10">
        <f t="shared" si="6"/>
        <v>30044</v>
      </c>
      <c r="H83" s="18">
        <v>3</v>
      </c>
      <c r="I83" s="19">
        <v>3004.4</v>
      </c>
      <c r="J83" s="19">
        <f t="shared" si="7"/>
        <v>9013.2000000000007</v>
      </c>
      <c r="K83" s="27">
        <v>7</v>
      </c>
      <c r="L83" s="28">
        <v>3004.4</v>
      </c>
      <c r="M83" s="28">
        <f t="shared" si="8"/>
        <v>21030.799999999999</v>
      </c>
    </row>
    <row r="84" spans="1:13" ht="17" thickBot="1" x14ac:dyDescent="0.25">
      <c r="A84" s="9" t="s">
        <v>140</v>
      </c>
      <c r="B84" s="76" t="s">
        <v>1561</v>
      </c>
      <c r="C84" s="9" t="s">
        <v>36</v>
      </c>
      <c r="D84" s="9" t="s">
        <v>1105</v>
      </c>
      <c r="E84" s="9">
        <v>24</v>
      </c>
      <c r="F84" s="10">
        <v>7656</v>
      </c>
      <c r="G84" s="10">
        <f t="shared" si="6"/>
        <v>183744</v>
      </c>
      <c r="H84" s="18">
        <v>6</v>
      </c>
      <c r="I84" s="19">
        <v>7656</v>
      </c>
      <c r="J84" s="19">
        <f t="shared" si="7"/>
        <v>45936</v>
      </c>
      <c r="K84" s="27"/>
      <c r="L84" s="28">
        <v>7656</v>
      </c>
      <c r="M84" s="28">
        <f t="shared" si="8"/>
        <v>0</v>
      </c>
    </row>
    <row r="85" spans="1:13" ht="17" thickBot="1" x14ac:dyDescent="0.25">
      <c r="A85" s="9" t="s">
        <v>239</v>
      </c>
      <c r="B85" s="76" t="s">
        <v>915</v>
      </c>
      <c r="C85" s="9" t="s">
        <v>36</v>
      </c>
      <c r="D85" s="9" t="s">
        <v>676</v>
      </c>
      <c r="E85" s="9">
        <v>24</v>
      </c>
      <c r="F85" s="10">
        <v>6206</v>
      </c>
      <c r="G85" s="10">
        <f t="shared" si="6"/>
        <v>148944</v>
      </c>
      <c r="H85" s="18">
        <v>5</v>
      </c>
      <c r="I85" s="19">
        <v>6206</v>
      </c>
      <c r="J85" s="19">
        <f t="shared" si="7"/>
        <v>31030</v>
      </c>
      <c r="K85" s="27"/>
      <c r="L85" s="28">
        <v>6206</v>
      </c>
      <c r="M85" s="28">
        <f t="shared" si="8"/>
        <v>0</v>
      </c>
    </row>
    <row r="86" spans="1:13" ht="17" thickBot="1" x14ac:dyDescent="0.25">
      <c r="A86" s="9" t="s">
        <v>240</v>
      </c>
      <c r="B86" s="76" t="s">
        <v>971</v>
      </c>
      <c r="C86" s="9" t="s">
        <v>36</v>
      </c>
      <c r="D86" s="9" t="s">
        <v>933</v>
      </c>
      <c r="E86" s="9">
        <v>12</v>
      </c>
      <c r="F86" s="10">
        <v>7772</v>
      </c>
      <c r="G86" s="10">
        <f t="shared" si="6"/>
        <v>93264</v>
      </c>
      <c r="H86" s="18">
        <v>3</v>
      </c>
      <c r="I86" s="19">
        <v>7772</v>
      </c>
      <c r="J86" s="19">
        <f t="shared" si="7"/>
        <v>23316</v>
      </c>
      <c r="K86" s="27">
        <v>9</v>
      </c>
      <c r="L86" s="28">
        <v>7772</v>
      </c>
      <c r="M86" s="28">
        <f t="shared" si="8"/>
        <v>69948</v>
      </c>
    </row>
    <row r="87" spans="1:13" ht="17" thickBot="1" x14ac:dyDescent="0.25">
      <c r="A87" s="9" t="s">
        <v>45</v>
      </c>
      <c r="B87" s="76" t="s">
        <v>905</v>
      </c>
      <c r="C87" s="9" t="s">
        <v>36</v>
      </c>
      <c r="D87" s="9" t="s">
        <v>164</v>
      </c>
      <c r="E87" s="9">
        <v>10</v>
      </c>
      <c r="F87" s="10">
        <v>11368</v>
      </c>
      <c r="G87" s="10">
        <f t="shared" si="6"/>
        <v>113680</v>
      </c>
      <c r="H87" s="18"/>
      <c r="I87" s="19">
        <v>11368</v>
      </c>
      <c r="J87" s="19">
        <f t="shared" si="7"/>
        <v>0</v>
      </c>
      <c r="K87" s="27"/>
      <c r="L87" s="28">
        <v>11368</v>
      </c>
      <c r="M87" s="28">
        <f t="shared" si="8"/>
        <v>0</v>
      </c>
    </row>
    <row r="88" spans="1:13" ht="17" thickBot="1" x14ac:dyDescent="0.25">
      <c r="A88" s="9" t="s">
        <v>239</v>
      </c>
      <c r="B88" s="76" t="s">
        <v>975</v>
      </c>
      <c r="C88" s="9" t="s">
        <v>36</v>
      </c>
      <c r="D88" s="9" t="s">
        <v>1106</v>
      </c>
      <c r="E88" s="9">
        <v>24</v>
      </c>
      <c r="F88" s="10">
        <v>5684</v>
      </c>
      <c r="G88" s="10">
        <f t="shared" si="6"/>
        <v>136416</v>
      </c>
      <c r="H88" s="18">
        <v>3</v>
      </c>
      <c r="I88" s="19">
        <v>5684</v>
      </c>
      <c r="J88" s="19">
        <f t="shared" si="7"/>
        <v>17052</v>
      </c>
      <c r="K88" s="27"/>
      <c r="L88" s="28">
        <v>5684</v>
      </c>
      <c r="M88" s="28">
        <f t="shared" si="8"/>
        <v>0</v>
      </c>
    </row>
    <row r="89" spans="1:13" ht="17" thickBot="1" x14ac:dyDescent="0.25">
      <c r="A89" s="9" t="s">
        <v>242</v>
      </c>
      <c r="B89" s="76" t="s">
        <v>926</v>
      </c>
      <c r="C89" s="9" t="s">
        <v>36</v>
      </c>
      <c r="D89" s="9" t="s">
        <v>1107</v>
      </c>
      <c r="E89" s="9">
        <v>7</v>
      </c>
      <c r="F89" s="10">
        <v>11832</v>
      </c>
      <c r="G89" s="10">
        <f t="shared" si="6"/>
        <v>82824</v>
      </c>
      <c r="H89" s="18">
        <v>2</v>
      </c>
      <c r="I89" s="19">
        <v>11832</v>
      </c>
      <c r="J89" s="19">
        <f t="shared" si="7"/>
        <v>23664</v>
      </c>
      <c r="K89" s="27">
        <v>5</v>
      </c>
      <c r="L89" s="28">
        <v>11832</v>
      </c>
      <c r="M89" s="28">
        <f t="shared" si="8"/>
        <v>59160</v>
      </c>
    </row>
    <row r="90" spans="1:13" ht="17" thickBot="1" x14ac:dyDescent="0.25">
      <c r="A90" s="9" t="s">
        <v>46</v>
      </c>
      <c r="B90" s="76" t="s">
        <v>903</v>
      </c>
      <c r="C90" s="9" t="s">
        <v>36</v>
      </c>
      <c r="D90" s="9" t="s">
        <v>54</v>
      </c>
      <c r="E90" s="9">
        <v>24</v>
      </c>
      <c r="F90" s="10">
        <v>10904</v>
      </c>
      <c r="G90" s="10">
        <f t="shared" si="6"/>
        <v>261696</v>
      </c>
      <c r="H90" s="18">
        <v>6</v>
      </c>
      <c r="I90" s="19">
        <v>10904</v>
      </c>
      <c r="J90" s="19">
        <f t="shared" si="7"/>
        <v>65424</v>
      </c>
      <c r="K90" s="27">
        <v>18</v>
      </c>
      <c r="L90" s="28">
        <v>10904</v>
      </c>
      <c r="M90" s="28">
        <f t="shared" si="8"/>
        <v>196272</v>
      </c>
    </row>
    <row r="91" spans="1:13" ht="17" thickBot="1" x14ac:dyDescent="0.25">
      <c r="A91" s="9" t="s">
        <v>283</v>
      </c>
      <c r="B91" s="76" t="s">
        <v>982</v>
      </c>
      <c r="C91" s="9" t="s">
        <v>36</v>
      </c>
      <c r="D91" s="9" t="s">
        <v>687</v>
      </c>
      <c r="E91" s="9">
        <v>5</v>
      </c>
      <c r="F91" s="10">
        <v>2517.1999999999998</v>
      </c>
      <c r="G91" s="10">
        <f t="shared" si="6"/>
        <v>12586</v>
      </c>
      <c r="H91" s="18"/>
      <c r="I91" s="19">
        <v>2517.1999999999998</v>
      </c>
      <c r="J91" s="19">
        <f t="shared" si="7"/>
        <v>0</v>
      </c>
      <c r="K91" s="27">
        <v>5</v>
      </c>
      <c r="L91" s="28">
        <v>2517.1999999999998</v>
      </c>
      <c r="M91" s="28">
        <f t="shared" si="8"/>
        <v>12586</v>
      </c>
    </row>
    <row r="92" spans="1:13" ht="17" thickBot="1" x14ac:dyDescent="0.25">
      <c r="A92" s="9" t="s">
        <v>285</v>
      </c>
      <c r="B92" s="76" t="s">
        <v>1562</v>
      </c>
      <c r="C92" s="9" t="s">
        <v>36</v>
      </c>
      <c r="D92" s="9" t="s">
        <v>1108</v>
      </c>
      <c r="E92" s="9">
        <v>15</v>
      </c>
      <c r="F92" s="10">
        <v>6264</v>
      </c>
      <c r="G92" s="10">
        <f t="shared" si="6"/>
        <v>93960</v>
      </c>
      <c r="H92" s="18">
        <v>4</v>
      </c>
      <c r="I92" s="19">
        <v>6264</v>
      </c>
      <c r="J92" s="19">
        <f t="shared" si="7"/>
        <v>25056</v>
      </c>
      <c r="K92" s="27">
        <v>11</v>
      </c>
      <c r="L92" s="28">
        <v>6264</v>
      </c>
      <c r="M92" s="28">
        <f t="shared" si="8"/>
        <v>68904</v>
      </c>
    </row>
    <row r="93" spans="1:13" ht="17" thickBot="1" x14ac:dyDescent="0.25">
      <c r="A93" s="9" t="s">
        <v>239</v>
      </c>
      <c r="B93" s="76" t="s">
        <v>1563</v>
      </c>
      <c r="C93" s="9" t="s">
        <v>36</v>
      </c>
      <c r="D93" s="9" t="s">
        <v>732</v>
      </c>
      <c r="E93" s="9">
        <v>24</v>
      </c>
      <c r="F93" s="10">
        <v>4872</v>
      </c>
      <c r="G93" s="10">
        <f t="shared" si="6"/>
        <v>116928</v>
      </c>
      <c r="H93" s="18">
        <v>6</v>
      </c>
      <c r="I93" s="19">
        <v>4872</v>
      </c>
      <c r="J93" s="19">
        <f t="shared" si="7"/>
        <v>29232</v>
      </c>
      <c r="K93" s="27">
        <v>18</v>
      </c>
      <c r="L93" s="28">
        <v>4872</v>
      </c>
      <c r="M93" s="28">
        <f t="shared" si="8"/>
        <v>87696</v>
      </c>
    </row>
    <row r="94" spans="1:13" ht="17" thickBot="1" x14ac:dyDescent="0.25">
      <c r="A94" s="9" t="s">
        <v>45</v>
      </c>
      <c r="B94" s="76" t="s">
        <v>914</v>
      </c>
      <c r="C94" s="9" t="s">
        <v>36</v>
      </c>
      <c r="D94" s="9" t="s">
        <v>780</v>
      </c>
      <c r="E94" s="9">
        <v>15</v>
      </c>
      <c r="F94" s="10">
        <v>11948</v>
      </c>
      <c r="G94" s="10">
        <f t="shared" si="6"/>
        <v>179220</v>
      </c>
      <c r="H94" s="18">
        <v>4</v>
      </c>
      <c r="I94" s="19">
        <v>11948</v>
      </c>
      <c r="J94" s="19">
        <f t="shared" si="7"/>
        <v>47792</v>
      </c>
      <c r="K94" s="27"/>
      <c r="L94" s="28">
        <v>11948</v>
      </c>
      <c r="M94" s="28">
        <f t="shared" si="8"/>
        <v>0</v>
      </c>
    </row>
    <row r="95" spans="1:13" ht="17" thickBot="1" x14ac:dyDescent="0.25">
      <c r="A95" s="9" t="s">
        <v>45</v>
      </c>
      <c r="B95" s="76" t="s">
        <v>1342</v>
      </c>
      <c r="C95" s="9" t="s">
        <v>36</v>
      </c>
      <c r="D95" s="9" t="s">
        <v>1109</v>
      </c>
      <c r="E95" s="9">
        <v>6</v>
      </c>
      <c r="F95" s="10">
        <v>15022</v>
      </c>
      <c r="G95" s="10">
        <f t="shared" si="6"/>
        <v>90132</v>
      </c>
      <c r="H95" s="18">
        <v>2</v>
      </c>
      <c r="I95" s="19">
        <v>15022</v>
      </c>
      <c r="J95" s="19">
        <f t="shared" si="7"/>
        <v>30044</v>
      </c>
      <c r="K95" s="27">
        <v>4</v>
      </c>
      <c r="L95" s="28">
        <v>15022</v>
      </c>
      <c r="M95" s="28">
        <f t="shared" si="8"/>
        <v>60088</v>
      </c>
    </row>
    <row r="96" spans="1:13" ht="17" thickBot="1" x14ac:dyDescent="0.25">
      <c r="A96" s="9" t="s">
        <v>240</v>
      </c>
      <c r="B96" s="76" t="s">
        <v>881</v>
      </c>
      <c r="C96" s="9" t="s">
        <v>36</v>
      </c>
      <c r="D96" s="9" t="s">
        <v>169</v>
      </c>
      <c r="E96" s="9">
        <v>12</v>
      </c>
      <c r="F96" s="10">
        <v>8456.4</v>
      </c>
      <c r="G96" s="10">
        <f t="shared" si="6"/>
        <v>101476.79999999999</v>
      </c>
      <c r="H96" s="18"/>
      <c r="I96" s="19">
        <v>8456.4</v>
      </c>
      <c r="J96" s="19">
        <f t="shared" si="7"/>
        <v>0</v>
      </c>
      <c r="K96" s="27"/>
      <c r="L96" s="28">
        <v>8456.4</v>
      </c>
      <c r="M96" s="28">
        <f t="shared" si="8"/>
        <v>0</v>
      </c>
    </row>
    <row r="97" spans="1:13" ht="17" thickBot="1" x14ac:dyDescent="0.25">
      <c r="A97" s="9" t="s">
        <v>290</v>
      </c>
      <c r="B97" s="76" t="s">
        <v>1564</v>
      </c>
      <c r="C97" s="9" t="s">
        <v>36</v>
      </c>
      <c r="D97" s="9" t="s">
        <v>1110</v>
      </c>
      <c r="E97" s="9">
        <v>24</v>
      </c>
      <c r="F97" s="10">
        <v>3480</v>
      </c>
      <c r="G97" s="10">
        <f t="shared" si="6"/>
        <v>83520</v>
      </c>
      <c r="H97" s="18">
        <v>6</v>
      </c>
      <c r="I97" s="19">
        <v>3480</v>
      </c>
      <c r="J97" s="19">
        <f t="shared" si="7"/>
        <v>20880</v>
      </c>
      <c r="K97" s="27"/>
      <c r="L97" s="28">
        <v>3480</v>
      </c>
      <c r="M97" s="28">
        <f t="shared" si="8"/>
        <v>0</v>
      </c>
    </row>
    <row r="98" spans="1:13" ht="17" thickBot="1" x14ac:dyDescent="0.25">
      <c r="A98" s="9" t="s">
        <v>287</v>
      </c>
      <c r="B98" s="76" t="s">
        <v>1565</v>
      </c>
      <c r="C98" s="9" t="s">
        <v>36</v>
      </c>
      <c r="D98" s="9" t="s">
        <v>1111</v>
      </c>
      <c r="E98" s="9">
        <v>30</v>
      </c>
      <c r="F98" s="10">
        <v>14262.2</v>
      </c>
      <c r="G98" s="10">
        <f t="shared" si="6"/>
        <v>427866</v>
      </c>
      <c r="H98" s="18">
        <v>3</v>
      </c>
      <c r="I98" s="19">
        <v>14262.2</v>
      </c>
      <c r="J98" s="19">
        <f t="shared" si="7"/>
        <v>42786.600000000006</v>
      </c>
      <c r="K98" s="27"/>
      <c r="L98" s="28">
        <v>14262.2</v>
      </c>
      <c r="M98" s="28">
        <f t="shared" si="8"/>
        <v>0</v>
      </c>
    </row>
    <row r="99" spans="1:13" ht="17" thickBot="1" x14ac:dyDescent="0.25">
      <c r="A99" s="9" t="s">
        <v>45</v>
      </c>
      <c r="B99" s="76" t="s">
        <v>979</v>
      </c>
      <c r="C99" s="9" t="s">
        <v>36</v>
      </c>
      <c r="D99" s="9" t="s">
        <v>992</v>
      </c>
      <c r="E99" s="9">
        <v>25</v>
      </c>
      <c r="F99" s="10">
        <v>5684</v>
      </c>
      <c r="G99" s="10">
        <f t="shared" si="6"/>
        <v>142100</v>
      </c>
      <c r="H99" s="18">
        <v>6</v>
      </c>
      <c r="I99" s="19">
        <v>5684</v>
      </c>
      <c r="J99" s="19">
        <f t="shared" si="7"/>
        <v>34104</v>
      </c>
      <c r="K99" s="27"/>
      <c r="L99" s="28">
        <v>5684</v>
      </c>
      <c r="M99" s="28">
        <f t="shared" si="8"/>
        <v>0</v>
      </c>
    </row>
    <row r="100" spans="1:13" ht="17" thickBot="1" x14ac:dyDescent="0.25">
      <c r="A100" s="9" t="s">
        <v>140</v>
      </c>
      <c r="B100" s="76" t="s">
        <v>980</v>
      </c>
      <c r="C100" s="9" t="s">
        <v>36</v>
      </c>
      <c r="D100" s="9" t="s">
        <v>1112</v>
      </c>
      <c r="E100" s="9">
        <v>24</v>
      </c>
      <c r="F100" s="10">
        <v>7656</v>
      </c>
      <c r="G100" s="10">
        <f t="shared" si="6"/>
        <v>183744</v>
      </c>
      <c r="H100" s="18">
        <v>6</v>
      </c>
      <c r="I100" s="19">
        <v>7656</v>
      </c>
      <c r="J100" s="19">
        <f t="shared" si="7"/>
        <v>45936</v>
      </c>
      <c r="K100" s="27">
        <v>18</v>
      </c>
      <c r="L100" s="28">
        <v>7656</v>
      </c>
      <c r="M100" s="28">
        <f t="shared" si="8"/>
        <v>137808</v>
      </c>
    </row>
    <row r="101" spans="1:13" ht="17" thickBot="1" x14ac:dyDescent="0.25">
      <c r="A101" s="9" t="s">
        <v>140</v>
      </c>
      <c r="B101" s="76" t="s">
        <v>974</v>
      </c>
      <c r="C101" s="9" t="s">
        <v>36</v>
      </c>
      <c r="D101" s="9" t="s">
        <v>668</v>
      </c>
      <c r="E101" s="9">
        <v>24</v>
      </c>
      <c r="F101" s="10">
        <v>6368.4</v>
      </c>
      <c r="G101" s="10">
        <f t="shared" si="6"/>
        <v>152841.59999999998</v>
      </c>
      <c r="H101" s="18">
        <v>6</v>
      </c>
      <c r="I101" s="19">
        <v>6368.4</v>
      </c>
      <c r="J101" s="19">
        <f t="shared" si="7"/>
        <v>38210.399999999994</v>
      </c>
      <c r="K101" s="27"/>
      <c r="L101" s="28">
        <v>6368.4</v>
      </c>
      <c r="M101" s="28">
        <f t="shared" si="8"/>
        <v>0</v>
      </c>
    </row>
    <row r="102" spans="1:13" ht="17" thickBot="1" x14ac:dyDescent="0.25">
      <c r="A102" s="9" t="s">
        <v>283</v>
      </c>
      <c r="B102" s="76" t="s">
        <v>830</v>
      </c>
      <c r="C102" s="9" t="s">
        <v>36</v>
      </c>
      <c r="D102" s="9" t="s">
        <v>78</v>
      </c>
      <c r="E102" s="9">
        <v>24</v>
      </c>
      <c r="F102" s="10">
        <v>12644</v>
      </c>
      <c r="G102" s="10">
        <f t="shared" si="6"/>
        <v>303456</v>
      </c>
      <c r="H102" s="18">
        <v>4</v>
      </c>
      <c r="I102" s="19">
        <v>12644</v>
      </c>
      <c r="J102" s="19">
        <f t="shared" si="7"/>
        <v>50576</v>
      </c>
      <c r="K102" s="27"/>
      <c r="L102" s="28">
        <v>12644</v>
      </c>
      <c r="M102" s="28">
        <f t="shared" si="8"/>
        <v>0</v>
      </c>
    </row>
    <row r="103" spans="1:13" ht="17" thickBot="1" x14ac:dyDescent="0.25">
      <c r="A103" s="9" t="s">
        <v>45</v>
      </c>
      <c r="B103" s="76" t="s">
        <v>880</v>
      </c>
      <c r="C103" s="9" t="s">
        <v>36</v>
      </c>
      <c r="D103" s="9" t="s">
        <v>198</v>
      </c>
      <c r="E103" s="9">
        <v>5</v>
      </c>
      <c r="F103" s="10">
        <v>10266</v>
      </c>
      <c r="G103" s="10">
        <f t="shared" si="6"/>
        <v>51330</v>
      </c>
      <c r="H103" s="18"/>
      <c r="I103" s="19">
        <v>10266</v>
      </c>
      <c r="J103" s="19">
        <f t="shared" si="7"/>
        <v>0</v>
      </c>
      <c r="K103" s="27"/>
      <c r="L103" s="28">
        <v>10266</v>
      </c>
      <c r="M103" s="28">
        <f t="shared" si="8"/>
        <v>0</v>
      </c>
    </row>
    <row r="104" spans="1:13" ht="17" thickBot="1" x14ac:dyDescent="0.25">
      <c r="A104" s="9" t="s">
        <v>242</v>
      </c>
      <c r="B104" s="76" t="s">
        <v>1361</v>
      </c>
      <c r="C104" s="9" t="s">
        <v>36</v>
      </c>
      <c r="D104" s="9" t="s">
        <v>1113</v>
      </c>
      <c r="E104" s="9">
        <v>30</v>
      </c>
      <c r="F104" s="10">
        <v>11600</v>
      </c>
      <c r="G104" s="10">
        <f t="shared" si="6"/>
        <v>348000</v>
      </c>
      <c r="H104" s="18">
        <v>6</v>
      </c>
      <c r="I104" s="19">
        <v>11600</v>
      </c>
      <c r="J104" s="19">
        <f t="shared" si="7"/>
        <v>69600</v>
      </c>
      <c r="K104" s="27"/>
      <c r="L104" s="28">
        <v>11600</v>
      </c>
      <c r="M104" s="28">
        <f t="shared" si="8"/>
        <v>0</v>
      </c>
    </row>
    <row r="105" spans="1:13" ht="17" thickBot="1" x14ac:dyDescent="0.25">
      <c r="A105" s="2"/>
      <c r="B105" s="77"/>
      <c r="C105" s="2"/>
      <c r="D105" s="2"/>
      <c r="E105" s="2"/>
      <c r="F105" s="2"/>
      <c r="G105" s="103">
        <f>SUM(G80:G104)</f>
        <v>3602809.2</v>
      </c>
      <c r="H105" s="2"/>
      <c r="I105" s="2"/>
      <c r="J105" s="114">
        <f>SUM(J80:J104)</f>
        <v>715911.4</v>
      </c>
      <c r="K105" s="2"/>
      <c r="L105" s="2"/>
      <c r="M105" s="150">
        <f>SUM(M80:M104)</f>
        <v>843366.40000000002</v>
      </c>
    </row>
    <row r="106" spans="1:13" ht="17" thickBot="1" x14ac:dyDescent="0.25">
      <c r="A106" s="30" t="s">
        <v>1258</v>
      </c>
      <c r="B106" s="77" t="s">
        <v>937</v>
      </c>
      <c r="C106" s="2" t="s">
        <v>1094</v>
      </c>
      <c r="D106" s="2"/>
      <c r="E106" s="2"/>
      <c r="F106" s="2"/>
      <c r="G106" s="2"/>
      <c r="H106" s="2"/>
      <c r="I106" s="2"/>
      <c r="J106" s="2"/>
    </row>
    <row r="107" spans="1:13" ht="18" thickBot="1" x14ac:dyDescent="0.25">
      <c r="A107" s="9" t="s">
        <v>58</v>
      </c>
      <c r="B107" s="75" t="s">
        <v>879</v>
      </c>
      <c r="C107" s="9" t="s">
        <v>36</v>
      </c>
      <c r="D107" s="9" t="s">
        <v>264</v>
      </c>
      <c r="E107" s="9">
        <v>95</v>
      </c>
      <c r="F107" s="10">
        <v>136764</v>
      </c>
      <c r="G107" s="10">
        <f>F107*E107</f>
        <v>12992580</v>
      </c>
      <c r="H107" s="18">
        <v>24</v>
      </c>
      <c r="I107" s="19">
        <v>136764</v>
      </c>
      <c r="J107" s="19">
        <f>I107*H107</f>
        <v>3282336</v>
      </c>
      <c r="K107" s="27">
        <v>71</v>
      </c>
      <c r="L107" s="28">
        <v>136764</v>
      </c>
      <c r="M107" s="28">
        <f>L107*K107</f>
        <v>9710244</v>
      </c>
    </row>
    <row r="108" spans="1:13" ht="18" thickBot="1" x14ac:dyDescent="0.25">
      <c r="A108" s="9" t="s">
        <v>242</v>
      </c>
      <c r="B108" s="75" t="s">
        <v>882</v>
      </c>
      <c r="C108" s="9" t="s">
        <v>36</v>
      </c>
      <c r="D108" s="9" t="s">
        <v>293</v>
      </c>
      <c r="E108" s="9">
        <v>24</v>
      </c>
      <c r="F108" s="10">
        <v>10092</v>
      </c>
      <c r="G108" s="10">
        <f>F108*E108</f>
        <v>242208</v>
      </c>
      <c r="H108" s="18">
        <v>6</v>
      </c>
      <c r="I108" s="19">
        <v>10092</v>
      </c>
      <c r="J108" s="19">
        <f>I108*H108</f>
        <v>60552</v>
      </c>
      <c r="K108" s="27">
        <v>18</v>
      </c>
      <c r="L108" s="28">
        <v>10092</v>
      </c>
      <c r="M108" s="28">
        <f>L108*K108</f>
        <v>181656</v>
      </c>
    </row>
    <row r="109" spans="1:13" ht="17" thickBot="1" x14ac:dyDescent="0.25">
      <c r="A109" s="2"/>
      <c r="B109" s="79"/>
      <c r="C109" s="2"/>
      <c r="D109" s="2"/>
      <c r="E109" s="2"/>
      <c r="F109" s="2"/>
      <c r="G109" s="103">
        <f>SUM(G107:G108)</f>
        <v>13234788</v>
      </c>
      <c r="H109" s="2"/>
      <c r="I109" s="2"/>
      <c r="J109" s="114">
        <f>SUM(J107:J108)</f>
        <v>3342888</v>
      </c>
      <c r="K109" s="2"/>
      <c r="L109" s="2"/>
      <c r="M109" s="150">
        <f>SUM(M107:M108)</f>
        <v>9891900</v>
      </c>
    </row>
    <row r="110" spans="1:13" ht="19" thickBot="1" x14ac:dyDescent="0.25">
      <c r="A110" s="21" t="s">
        <v>126</v>
      </c>
      <c r="B110" s="86"/>
      <c r="C110" s="2" t="s">
        <v>127</v>
      </c>
      <c r="D110" s="2" t="s">
        <v>128</v>
      </c>
      <c r="E110" s="2"/>
      <c r="F110" s="105"/>
      <c r="G110" s="2"/>
    </row>
    <row r="111" spans="1:13" ht="17" thickBot="1" x14ac:dyDescent="0.25">
      <c r="A111" s="9" t="s">
        <v>130</v>
      </c>
      <c r="B111" s="76" t="s">
        <v>896</v>
      </c>
      <c r="C111" s="9" t="s">
        <v>4</v>
      </c>
      <c r="D111" s="9" t="s">
        <v>129</v>
      </c>
      <c r="E111" s="9">
        <v>36</v>
      </c>
      <c r="F111" s="106">
        <v>6264</v>
      </c>
      <c r="G111" s="14">
        <f>E111*F111</f>
        <v>225504</v>
      </c>
      <c r="H111" s="23"/>
      <c r="I111" s="241">
        <v>6264</v>
      </c>
      <c r="J111" s="25">
        <f>H111*I111</f>
        <v>0</v>
      </c>
    </row>
    <row r="112" spans="1:13" ht="17" thickBot="1" x14ac:dyDescent="0.25">
      <c r="A112" s="9" t="s">
        <v>131</v>
      </c>
      <c r="B112" s="76" t="s">
        <v>927</v>
      </c>
      <c r="C112" s="9" t="s">
        <v>4</v>
      </c>
      <c r="D112" s="9" t="s">
        <v>132</v>
      </c>
      <c r="E112" s="9">
        <v>12</v>
      </c>
      <c r="F112" s="106">
        <v>3712</v>
      </c>
      <c r="G112" s="14">
        <f>E112*F112</f>
        <v>44544</v>
      </c>
      <c r="H112" s="23">
        <v>12</v>
      </c>
      <c r="I112" s="241">
        <v>3712</v>
      </c>
      <c r="J112" s="25">
        <f>H112*I112</f>
        <v>44544</v>
      </c>
    </row>
    <row r="113" spans="1:11" ht="17" thickBot="1" x14ac:dyDescent="0.25">
      <c r="A113" s="2"/>
      <c r="B113" s="77"/>
      <c r="C113" s="2"/>
      <c r="D113" s="2"/>
      <c r="E113" s="2"/>
      <c r="F113" s="105"/>
      <c r="G113" s="15">
        <f>SUM(G111:G112)</f>
        <v>270048</v>
      </c>
      <c r="H113" s="2"/>
      <c r="I113" s="105"/>
      <c r="J113" s="22">
        <f>SUM(J111:J112)</f>
        <v>44544</v>
      </c>
    </row>
    <row r="114" spans="1:11" x14ac:dyDescent="0.2">
      <c r="A114" s="2"/>
      <c r="B114" s="77"/>
      <c r="C114" s="2"/>
      <c r="D114" s="2"/>
      <c r="E114" s="2"/>
      <c r="F114" s="105"/>
      <c r="G114" s="2"/>
      <c r="H114" s="2"/>
      <c r="I114" s="105"/>
      <c r="J114" s="2"/>
    </row>
    <row r="115" spans="1:11" x14ac:dyDescent="0.2">
      <c r="A115" s="2"/>
      <c r="B115" s="77"/>
      <c r="C115" s="2"/>
      <c r="D115" s="2"/>
      <c r="E115" s="2"/>
      <c r="F115" s="105"/>
      <c r="G115" s="2"/>
    </row>
    <row r="116" spans="1:11" ht="19" thickBot="1" x14ac:dyDescent="0.25">
      <c r="A116" s="21" t="s">
        <v>212</v>
      </c>
      <c r="B116" s="86"/>
      <c r="C116" s="2" t="s">
        <v>180</v>
      </c>
      <c r="D116" s="2"/>
      <c r="E116" s="2"/>
      <c r="F116" s="105"/>
      <c r="G116" s="2"/>
    </row>
    <row r="117" spans="1:11" ht="17" thickBot="1" x14ac:dyDescent="0.25">
      <c r="A117" s="9" t="s">
        <v>133</v>
      </c>
      <c r="B117" s="76" t="s">
        <v>945</v>
      </c>
      <c r="C117" s="9" t="s">
        <v>4</v>
      </c>
      <c r="D117" s="9" t="s">
        <v>135</v>
      </c>
      <c r="E117" s="9">
        <v>12</v>
      </c>
      <c r="F117" s="106">
        <v>3712</v>
      </c>
      <c r="G117" s="14">
        <f>E117*F117</f>
        <v>44544</v>
      </c>
      <c r="H117" s="23">
        <v>12</v>
      </c>
      <c r="I117" s="241">
        <v>3712</v>
      </c>
      <c r="J117" s="25">
        <f>H117*I117</f>
        <v>44544</v>
      </c>
    </row>
    <row r="118" spans="1:11" ht="17" thickBot="1" x14ac:dyDescent="0.25">
      <c r="A118" s="9" t="s">
        <v>134</v>
      </c>
      <c r="B118" s="76" t="s">
        <v>880</v>
      </c>
      <c r="C118" s="9" t="s">
        <v>4</v>
      </c>
      <c r="D118" s="9" t="s">
        <v>136</v>
      </c>
      <c r="E118" s="9">
        <v>6</v>
      </c>
      <c r="F118" s="106">
        <v>9048</v>
      </c>
      <c r="G118" s="14">
        <f>E118*F118</f>
        <v>54288</v>
      </c>
      <c r="H118" s="23">
        <v>6</v>
      </c>
      <c r="I118" s="241">
        <v>9048</v>
      </c>
      <c r="J118" s="25">
        <f>H118*I118</f>
        <v>54288</v>
      </c>
    </row>
    <row r="119" spans="1:11" ht="17" thickBot="1" x14ac:dyDescent="0.25">
      <c r="A119" s="9" t="s">
        <v>138</v>
      </c>
      <c r="B119" s="76"/>
      <c r="C119" s="9" t="s">
        <v>4</v>
      </c>
      <c r="D119" s="9" t="s">
        <v>137</v>
      </c>
      <c r="E119" s="9">
        <v>6</v>
      </c>
      <c r="F119" s="106">
        <v>25984</v>
      </c>
      <c r="G119" s="14">
        <f>E119*F119</f>
        <v>155904</v>
      </c>
      <c r="H119" s="23">
        <v>6</v>
      </c>
      <c r="I119" s="241">
        <v>25984</v>
      </c>
      <c r="J119" s="25">
        <f>H119*I119</f>
        <v>155904</v>
      </c>
    </row>
    <row r="120" spans="1:11" ht="17" thickBot="1" x14ac:dyDescent="0.25">
      <c r="A120" s="2"/>
      <c r="B120" s="77"/>
      <c r="C120" s="2"/>
      <c r="D120" s="2"/>
      <c r="E120" s="2"/>
      <c r="F120" s="105"/>
      <c r="G120" s="15">
        <f>SUM(G117:G119)</f>
        <v>254736</v>
      </c>
      <c r="H120" s="2"/>
      <c r="I120" s="105"/>
      <c r="J120" s="22">
        <f>SUM(J117:J119)</f>
        <v>254736</v>
      </c>
    </row>
    <row r="121" spans="1:11" x14ac:dyDescent="0.2">
      <c r="A121" s="2"/>
      <c r="B121" s="77"/>
      <c r="C121" s="2"/>
      <c r="D121" s="2"/>
      <c r="E121" s="2"/>
      <c r="F121" s="105"/>
      <c r="G121" s="2"/>
    </row>
    <row r="122" spans="1:11" x14ac:dyDescent="0.2">
      <c r="A122" s="2"/>
      <c r="B122" s="77"/>
      <c r="C122" s="2"/>
      <c r="D122" s="2"/>
      <c r="E122" s="2"/>
      <c r="F122" s="105"/>
      <c r="G122" s="2"/>
    </row>
    <row r="123" spans="1:11" ht="19" thickBot="1" x14ac:dyDescent="0.25">
      <c r="A123" s="21" t="s">
        <v>211</v>
      </c>
      <c r="B123" s="86"/>
      <c r="C123" s="2" t="s">
        <v>180</v>
      </c>
      <c r="D123" s="2"/>
      <c r="E123" s="2"/>
      <c r="F123" s="105"/>
      <c r="G123" s="2"/>
    </row>
    <row r="124" spans="1:11" ht="17" thickBot="1" x14ac:dyDescent="0.25">
      <c r="A124" s="9" t="s">
        <v>118</v>
      </c>
      <c r="B124" s="76" t="s">
        <v>1564</v>
      </c>
      <c r="C124" s="9" t="s">
        <v>4</v>
      </c>
      <c r="D124" s="9" t="s">
        <v>153</v>
      </c>
      <c r="E124" s="9">
        <v>48</v>
      </c>
      <c r="F124" s="106">
        <v>3712</v>
      </c>
      <c r="G124" s="14">
        <f>E124*F124</f>
        <v>178176</v>
      </c>
      <c r="H124" s="23">
        <v>48</v>
      </c>
      <c r="I124" s="241">
        <v>3712</v>
      </c>
      <c r="J124" s="25">
        <f>H124*I124</f>
        <v>178176</v>
      </c>
    </row>
    <row r="125" spans="1:11" ht="17" thickBot="1" x14ac:dyDescent="0.25">
      <c r="A125" s="9" t="s">
        <v>155</v>
      </c>
      <c r="B125" s="76" t="s">
        <v>946</v>
      </c>
      <c r="C125" s="9" t="s">
        <v>4</v>
      </c>
      <c r="D125" s="9" t="s">
        <v>154</v>
      </c>
      <c r="E125" s="9">
        <v>36</v>
      </c>
      <c r="F125" s="106">
        <v>3712</v>
      </c>
      <c r="G125" s="14">
        <f>E125*F125</f>
        <v>133632</v>
      </c>
      <c r="H125" s="23">
        <v>36</v>
      </c>
      <c r="I125" s="241">
        <v>3712</v>
      </c>
      <c r="J125" s="25">
        <f>H125*I125</f>
        <v>133632</v>
      </c>
    </row>
    <row r="126" spans="1:11" ht="17" thickBot="1" x14ac:dyDescent="0.25">
      <c r="A126" s="2"/>
      <c r="B126" s="77"/>
      <c r="C126" s="2"/>
      <c r="D126" s="2"/>
      <c r="E126" s="2"/>
      <c r="F126" s="105"/>
      <c r="G126" s="15">
        <f>SUM(G124:G125)</f>
        <v>311808</v>
      </c>
      <c r="H126" s="2"/>
      <c r="I126" s="105"/>
      <c r="J126" s="22">
        <f>SUM(J124:J125)</f>
        <v>311808</v>
      </c>
    </row>
    <row r="128" spans="1:11" ht="20" thickBot="1" x14ac:dyDescent="0.25">
      <c r="A128" s="6" t="s">
        <v>279</v>
      </c>
      <c r="B128" s="82"/>
      <c r="C128" s="2" t="s">
        <v>82</v>
      </c>
      <c r="D128" s="2" t="s">
        <v>83</v>
      </c>
      <c r="E128" s="2"/>
      <c r="F128" s="3"/>
      <c r="G128" s="2"/>
      <c r="H128" s="2"/>
      <c r="I128" s="2"/>
      <c r="J128" s="2"/>
      <c r="K128" s="190">
        <v>46167</v>
      </c>
    </row>
    <row r="129" spans="1:19" ht="18" thickBot="1" x14ac:dyDescent="0.25">
      <c r="A129" s="8" t="s">
        <v>84</v>
      </c>
      <c r="B129" s="75" t="s">
        <v>929</v>
      </c>
      <c r="C129" s="9" t="s">
        <v>36</v>
      </c>
      <c r="D129" s="9" t="s">
        <v>85</v>
      </c>
      <c r="E129" s="9">
        <v>53</v>
      </c>
      <c r="F129" s="10">
        <v>20706</v>
      </c>
      <c r="G129" s="14">
        <f>F129*E129</f>
        <v>1097418</v>
      </c>
      <c r="H129" s="23">
        <v>8</v>
      </c>
      <c r="I129" s="24">
        <v>20706</v>
      </c>
      <c r="J129" s="25">
        <f>I129*H129</f>
        <v>165648</v>
      </c>
      <c r="K129" s="92">
        <v>24</v>
      </c>
      <c r="L129" s="93">
        <v>20706</v>
      </c>
      <c r="M129" s="108">
        <f>L129*K129</f>
        <v>496944</v>
      </c>
    </row>
    <row r="130" spans="1:19" x14ac:dyDescent="0.2">
      <c r="A130" s="4"/>
      <c r="B130" s="79"/>
      <c r="C130" s="2"/>
      <c r="D130" s="2"/>
      <c r="E130" s="2"/>
      <c r="F130" s="3"/>
      <c r="G130" s="2"/>
      <c r="H130" s="2"/>
      <c r="I130" s="2"/>
      <c r="J130" s="2"/>
    </row>
    <row r="131" spans="1:19" ht="20" thickBot="1" x14ac:dyDescent="0.25">
      <c r="A131" s="6" t="s">
        <v>184</v>
      </c>
      <c r="B131" s="82"/>
      <c r="C131" s="2"/>
      <c r="D131" s="2"/>
      <c r="E131" s="2"/>
      <c r="F131" s="3"/>
      <c r="G131" s="2"/>
      <c r="H131" s="2"/>
      <c r="I131" s="2"/>
      <c r="J131" s="2"/>
      <c r="N131" s="190">
        <v>46167</v>
      </c>
      <c r="Q131" s="36">
        <v>46191</v>
      </c>
    </row>
    <row r="132" spans="1:19" ht="18" thickBot="1" x14ac:dyDescent="0.25">
      <c r="A132" s="8" t="s">
        <v>60</v>
      </c>
      <c r="B132" s="75" t="s">
        <v>849</v>
      </c>
      <c r="C132" s="9" t="s">
        <v>36</v>
      </c>
      <c r="D132" s="9" t="s">
        <v>122</v>
      </c>
      <c r="E132" s="9">
        <v>160</v>
      </c>
      <c r="F132" s="10">
        <v>5881.2</v>
      </c>
      <c r="G132" s="14">
        <f>E132*F132</f>
        <v>940992</v>
      </c>
      <c r="H132" s="23">
        <v>26</v>
      </c>
      <c r="I132" s="24">
        <v>5881.2</v>
      </c>
      <c r="J132" s="25">
        <f>H132*I132</f>
        <v>152911.19999999998</v>
      </c>
      <c r="K132" s="92"/>
      <c r="L132" s="93">
        <v>5881.2</v>
      </c>
      <c r="M132" s="108">
        <f>K132*L132</f>
        <v>0</v>
      </c>
      <c r="N132" s="23">
        <v>6</v>
      </c>
      <c r="O132" s="24">
        <v>5881.2</v>
      </c>
      <c r="P132" s="25">
        <f>N132*O132</f>
        <v>35287.199999999997</v>
      </c>
      <c r="Q132" s="92"/>
      <c r="R132" s="93">
        <v>5881.2</v>
      </c>
      <c r="S132" s="108">
        <f>Q132*R132</f>
        <v>0</v>
      </c>
    </row>
    <row r="133" spans="1:19" ht="18" thickBot="1" x14ac:dyDescent="0.25">
      <c r="A133" s="8" t="s">
        <v>115</v>
      </c>
      <c r="B133" s="75"/>
      <c r="C133" s="9" t="s">
        <v>36</v>
      </c>
      <c r="D133" s="9" t="s">
        <v>123</v>
      </c>
      <c r="E133" s="9">
        <v>40</v>
      </c>
      <c r="F133" s="10">
        <v>10324</v>
      </c>
      <c r="G133" s="14">
        <f>E133*F133</f>
        <v>412960</v>
      </c>
      <c r="H133" s="23">
        <v>6</v>
      </c>
      <c r="I133" s="24">
        <v>10324</v>
      </c>
      <c r="J133" s="25">
        <f>H133*I133</f>
        <v>61944</v>
      </c>
      <c r="K133" s="92"/>
      <c r="L133" s="93">
        <v>10324</v>
      </c>
      <c r="M133" s="108">
        <f>K133*L133</f>
        <v>0</v>
      </c>
      <c r="N133" s="23">
        <v>20</v>
      </c>
      <c r="O133" s="24">
        <v>10324</v>
      </c>
      <c r="P133" s="25">
        <f>N133*O133</f>
        <v>206480</v>
      </c>
      <c r="Q133" s="92">
        <v>10</v>
      </c>
      <c r="R133" s="93">
        <v>10324</v>
      </c>
      <c r="S133" s="108">
        <f>Q133*R133</f>
        <v>103240</v>
      </c>
    </row>
    <row r="134" spans="1:19" ht="18" thickBot="1" x14ac:dyDescent="0.25">
      <c r="A134" s="8" t="s">
        <v>47</v>
      </c>
      <c r="B134" s="75" t="s">
        <v>896</v>
      </c>
      <c r="C134" s="9" t="s">
        <v>36</v>
      </c>
      <c r="D134" s="9" t="s">
        <v>124</v>
      </c>
      <c r="E134" s="9">
        <v>40</v>
      </c>
      <c r="F134" s="10">
        <v>14210</v>
      </c>
      <c r="G134" s="14">
        <f>E134*F134</f>
        <v>568400</v>
      </c>
      <c r="H134" s="23">
        <v>6</v>
      </c>
      <c r="I134" s="24">
        <v>14210</v>
      </c>
      <c r="J134" s="25">
        <f>H134*I134</f>
        <v>85260</v>
      </c>
      <c r="K134" s="92"/>
      <c r="L134" s="93">
        <v>14210</v>
      </c>
      <c r="M134" s="108">
        <f>K134*L134</f>
        <v>0</v>
      </c>
      <c r="N134" s="23"/>
      <c r="O134" s="24">
        <v>14210</v>
      </c>
      <c r="P134" s="25">
        <f>N134*O134</f>
        <v>0</v>
      </c>
      <c r="Q134" s="92"/>
      <c r="R134" s="93">
        <v>14210</v>
      </c>
      <c r="S134" s="108">
        <f>Q134*R134</f>
        <v>0</v>
      </c>
    </row>
    <row r="135" spans="1:19" ht="18" thickBot="1" x14ac:dyDescent="0.25">
      <c r="A135" s="8" t="s">
        <v>121</v>
      </c>
      <c r="B135" s="75" t="s">
        <v>884</v>
      </c>
      <c r="C135" s="9" t="s">
        <v>36</v>
      </c>
      <c r="D135" s="9" t="s">
        <v>125</v>
      </c>
      <c r="E135" s="9">
        <v>60</v>
      </c>
      <c r="F135" s="10">
        <v>9164</v>
      </c>
      <c r="G135" s="14">
        <f>E135*F135</f>
        <v>549840</v>
      </c>
      <c r="H135" s="23">
        <v>10</v>
      </c>
      <c r="I135" s="24">
        <v>9164</v>
      </c>
      <c r="J135" s="25">
        <f>H135*I135</f>
        <v>91640</v>
      </c>
      <c r="K135" s="92">
        <v>20</v>
      </c>
      <c r="L135" s="93">
        <v>9164</v>
      </c>
      <c r="M135" s="108">
        <f>K135*L135</f>
        <v>183280</v>
      </c>
      <c r="N135" s="23"/>
      <c r="O135" s="24">
        <v>9164</v>
      </c>
      <c r="P135" s="25">
        <f>N135*O135</f>
        <v>0</v>
      </c>
      <c r="Q135" s="92">
        <v>10</v>
      </c>
      <c r="R135" s="93">
        <v>9164</v>
      </c>
      <c r="S135" s="108">
        <f>Q135*R135</f>
        <v>91640</v>
      </c>
    </row>
    <row r="136" spans="1:19" ht="17" thickBot="1" x14ac:dyDescent="0.25">
      <c r="A136" s="4"/>
      <c r="B136" s="79"/>
      <c r="C136" s="2"/>
      <c r="D136" s="2"/>
      <c r="E136" s="2"/>
      <c r="F136" s="3"/>
      <c r="G136" s="15">
        <f>SUM(G132:G135)</f>
        <v>2472192</v>
      </c>
      <c r="H136" s="2"/>
      <c r="I136" s="3"/>
      <c r="J136" s="22">
        <f>SUM(J132:J135)</f>
        <v>391755.19999999995</v>
      </c>
      <c r="K136" s="2"/>
      <c r="L136" s="3"/>
      <c r="M136" s="109">
        <f>SUM(M132:M135)</f>
        <v>183280</v>
      </c>
      <c r="N136" s="2"/>
      <c r="O136" s="3"/>
      <c r="P136" s="22">
        <f>SUM(P132:P135)</f>
        <v>241767.2</v>
      </c>
      <c r="Q136" s="2"/>
      <c r="R136" s="3"/>
      <c r="S136" s="109">
        <f>SUM(S132:S135)</f>
        <v>194880</v>
      </c>
    </row>
    <row r="137" spans="1:19" ht="20" thickBot="1" x14ac:dyDescent="0.25">
      <c r="A137" s="6" t="s">
        <v>183</v>
      </c>
      <c r="B137" s="82"/>
      <c r="C137" s="2"/>
      <c r="D137" s="2"/>
      <c r="E137" s="2"/>
      <c r="F137" s="3"/>
      <c r="G137" s="2"/>
      <c r="H137" s="2"/>
      <c r="I137" s="2"/>
      <c r="J137" s="2"/>
      <c r="N137" s="36">
        <v>46167</v>
      </c>
    </row>
    <row r="138" spans="1:19" ht="18" thickBot="1" x14ac:dyDescent="0.25">
      <c r="A138" s="8" t="s">
        <v>139</v>
      </c>
      <c r="B138" s="75" t="s">
        <v>876</v>
      </c>
      <c r="C138" s="9" t="s">
        <v>36</v>
      </c>
      <c r="D138" s="9" t="s">
        <v>39</v>
      </c>
      <c r="E138" s="9">
        <v>55</v>
      </c>
      <c r="F138" s="10">
        <v>13920</v>
      </c>
      <c r="G138" s="14">
        <f>E138*F138</f>
        <v>765600</v>
      </c>
      <c r="H138" s="23">
        <v>9</v>
      </c>
      <c r="I138" s="24">
        <v>13920</v>
      </c>
      <c r="J138" s="25">
        <f>H138*I138</f>
        <v>125280</v>
      </c>
      <c r="K138" s="92"/>
      <c r="L138" s="93">
        <v>13920</v>
      </c>
      <c r="M138" s="108">
        <f>K138*L138</f>
        <v>0</v>
      </c>
      <c r="N138" s="23"/>
      <c r="O138" s="24">
        <v>13920</v>
      </c>
      <c r="P138" s="25">
        <f>N138*O138</f>
        <v>0</v>
      </c>
    </row>
    <row r="139" spans="1:19" ht="18" thickBot="1" x14ac:dyDescent="0.25">
      <c r="A139" s="8" t="s">
        <v>140</v>
      </c>
      <c r="B139" s="75" t="s">
        <v>2041</v>
      </c>
      <c r="C139" s="9" t="s">
        <v>36</v>
      </c>
      <c r="D139" s="9" t="s">
        <v>141</v>
      </c>
      <c r="E139" s="9">
        <v>100</v>
      </c>
      <c r="F139" s="10">
        <v>11136</v>
      </c>
      <c r="G139" s="14">
        <f>E139*F139</f>
        <v>1113600</v>
      </c>
      <c r="H139" s="23">
        <v>16</v>
      </c>
      <c r="I139" s="24">
        <v>11136</v>
      </c>
      <c r="J139" s="25">
        <f>H139*I139</f>
        <v>178176</v>
      </c>
      <c r="K139" s="92">
        <v>5</v>
      </c>
      <c r="L139" s="93">
        <v>11136</v>
      </c>
      <c r="M139" s="108">
        <f>K139*L139</f>
        <v>55680</v>
      </c>
      <c r="N139" s="23">
        <v>6</v>
      </c>
      <c r="O139" s="24">
        <v>11136</v>
      </c>
      <c r="P139" s="25">
        <f>N139*O139</f>
        <v>66816</v>
      </c>
    </row>
    <row r="140" spans="1:19" ht="18" thickBot="1" x14ac:dyDescent="0.25">
      <c r="A140" s="8" t="s">
        <v>114</v>
      </c>
      <c r="B140" s="75" t="s">
        <v>2042</v>
      </c>
      <c r="C140" s="9" t="s">
        <v>36</v>
      </c>
      <c r="D140" s="9" t="s">
        <v>142</v>
      </c>
      <c r="E140" s="9">
        <v>40</v>
      </c>
      <c r="F140" s="10">
        <v>14616</v>
      </c>
      <c r="G140" s="14">
        <f>E140*F140</f>
        <v>584640</v>
      </c>
      <c r="H140" s="23">
        <v>6</v>
      </c>
      <c r="I140" s="24">
        <v>14616</v>
      </c>
      <c r="J140" s="25">
        <f>H140*I140</f>
        <v>87696</v>
      </c>
      <c r="K140" s="92">
        <v>5</v>
      </c>
      <c r="L140" s="93">
        <v>14616</v>
      </c>
      <c r="M140" s="108">
        <f>K140*L140</f>
        <v>73080</v>
      </c>
      <c r="N140" s="23">
        <v>5</v>
      </c>
      <c r="O140" s="24">
        <v>14616</v>
      </c>
      <c r="P140" s="25">
        <f>N140*O140</f>
        <v>73080</v>
      </c>
    </row>
    <row r="141" spans="1:19" ht="17" thickBot="1" x14ac:dyDescent="0.25">
      <c r="A141" s="4"/>
      <c r="B141" s="79"/>
      <c r="C141" s="2"/>
      <c r="D141" s="2"/>
      <c r="E141" s="2"/>
      <c r="F141" s="3"/>
      <c r="G141" s="15">
        <f>SUM(G138:G140)</f>
        <v>2463840</v>
      </c>
      <c r="H141" s="2"/>
      <c r="I141" s="3"/>
      <c r="J141" s="22">
        <f>SUM(J138:J140)</f>
        <v>391152</v>
      </c>
      <c r="K141" s="2"/>
      <c r="L141" s="3"/>
      <c r="M141" s="109">
        <f>SUM(M138:M140)</f>
        <v>128760</v>
      </c>
      <c r="N141" s="2"/>
      <c r="O141" s="3"/>
      <c r="P141" s="22">
        <f>SUM(P138:P140)</f>
        <v>139896</v>
      </c>
    </row>
    <row r="142" spans="1:19" ht="20" thickBot="1" x14ac:dyDescent="0.25">
      <c r="A142" s="6" t="s">
        <v>199</v>
      </c>
      <c r="B142" s="82"/>
      <c r="C142" s="2" t="s">
        <v>82</v>
      </c>
      <c r="D142" s="2"/>
      <c r="E142" s="2"/>
      <c r="F142" s="3"/>
      <c r="G142" s="17"/>
      <c r="H142" s="2"/>
      <c r="I142" s="2"/>
      <c r="J142" s="2"/>
      <c r="K142" s="190">
        <v>46167</v>
      </c>
    </row>
    <row r="143" spans="1:19" ht="18" thickBot="1" x14ac:dyDescent="0.25">
      <c r="A143" s="8" t="s">
        <v>197</v>
      </c>
      <c r="B143" s="75" t="s">
        <v>880</v>
      </c>
      <c r="C143" s="9" t="s">
        <v>36</v>
      </c>
      <c r="D143" s="9" t="s">
        <v>198</v>
      </c>
      <c r="E143" s="9">
        <v>114</v>
      </c>
      <c r="F143" s="10">
        <v>19952</v>
      </c>
      <c r="G143" s="15">
        <f>F143*E143</f>
        <v>2274528</v>
      </c>
      <c r="H143" s="23">
        <v>18</v>
      </c>
      <c r="I143" s="24">
        <v>19952</v>
      </c>
      <c r="J143" s="22">
        <f>I143*H143</f>
        <v>359136</v>
      </c>
      <c r="K143" s="92">
        <v>14</v>
      </c>
      <c r="L143" s="93">
        <v>19952</v>
      </c>
      <c r="M143" s="109">
        <f>L143*K143</f>
        <v>279328</v>
      </c>
    </row>
    <row r="144" spans="1:19" x14ac:dyDescent="0.2">
      <c r="A144" s="4"/>
      <c r="B144" s="79"/>
      <c r="C144" s="2"/>
      <c r="D144" s="2"/>
      <c r="E144" s="2"/>
      <c r="F144" s="3"/>
      <c r="G144" s="17"/>
      <c r="H144" s="2"/>
      <c r="I144" s="2"/>
      <c r="J144" s="2"/>
    </row>
    <row r="145" spans="1:19" ht="20" thickBot="1" x14ac:dyDescent="0.25">
      <c r="A145" s="6" t="s">
        <v>182</v>
      </c>
      <c r="B145" s="82"/>
      <c r="C145" s="2"/>
      <c r="D145" s="2"/>
      <c r="E145" s="2"/>
      <c r="F145" s="3"/>
      <c r="G145" s="2"/>
      <c r="H145" s="2"/>
      <c r="I145" s="2"/>
      <c r="J145" s="2"/>
      <c r="N145" s="36">
        <v>46167</v>
      </c>
      <c r="Q145" s="36">
        <v>46191</v>
      </c>
    </row>
    <row r="146" spans="1:19" ht="18" thickBot="1" x14ac:dyDescent="0.25">
      <c r="A146" s="8" t="s">
        <v>156</v>
      </c>
      <c r="B146" s="75" t="s">
        <v>854</v>
      </c>
      <c r="C146" s="9" t="s">
        <v>36</v>
      </c>
      <c r="D146" s="9" t="s">
        <v>110</v>
      </c>
      <c r="E146" s="9">
        <v>70</v>
      </c>
      <c r="F146" s="10">
        <v>6554</v>
      </c>
      <c r="G146" s="14">
        <f t="shared" ref="G146:G163" si="9">E146*F146</f>
        <v>458780</v>
      </c>
      <c r="H146" s="23">
        <v>12</v>
      </c>
      <c r="I146" s="24">
        <v>6554</v>
      </c>
      <c r="J146" s="25">
        <f t="shared" ref="J146:J163" si="10">H146*I146</f>
        <v>78648</v>
      </c>
      <c r="K146" s="92"/>
      <c r="L146" s="93">
        <v>6554</v>
      </c>
      <c r="M146" s="108">
        <f t="shared" ref="M146:M163" si="11">K146*L146</f>
        <v>0</v>
      </c>
      <c r="N146" s="23">
        <v>24</v>
      </c>
      <c r="O146" s="24">
        <v>6554</v>
      </c>
      <c r="P146" s="25">
        <f t="shared" ref="P146:P163" si="12">N146*O146</f>
        <v>157296</v>
      </c>
      <c r="Q146" s="92"/>
      <c r="R146" s="93">
        <v>6554</v>
      </c>
      <c r="S146" s="108">
        <f t="shared" ref="S146:S163" si="13">Q146*R146</f>
        <v>0</v>
      </c>
    </row>
    <row r="147" spans="1:19" ht="18" thickBot="1" x14ac:dyDescent="0.25">
      <c r="A147" s="8" t="s">
        <v>59</v>
      </c>
      <c r="B147" s="75" t="s">
        <v>857</v>
      </c>
      <c r="C147" s="9" t="s">
        <v>36</v>
      </c>
      <c r="D147" s="9" t="s">
        <v>163</v>
      </c>
      <c r="E147" s="9">
        <v>100</v>
      </c>
      <c r="F147" s="10">
        <v>5916</v>
      </c>
      <c r="G147" s="14">
        <f t="shared" si="9"/>
        <v>591600</v>
      </c>
      <c r="H147" s="23">
        <v>16</v>
      </c>
      <c r="I147" s="24">
        <v>5916</v>
      </c>
      <c r="J147" s="25">
        <f t="shared" si="10"/>
        <v>94656</v>
      </c>
      <c r="K147" s="92"/>
      <c r="L147" s="93">
        <v>5916</v>
      </c>
      <c r="M147" s="108">
        <f t="shared" si="11"/>
        <v>0</v>
      </c>
      <c r="N147" s="23"/>
      <c r="O147" s="24">
        <v>5916</v>
      </c>
      <c r="P147" s="25">
        <f t="shared" si="12"/>
        <v>0</v>
      </c>
      <c r="Q147" s="92">
        <v>24</v>
      </c>
      <c r="R147" s="93">
        <v>5916</v>
      </c>
      <c r="S147" s="108">
        <f t="shared" si="13"/>
        <v>141984</v>
      </c>
    </row>
    <row r="148" spans="1:19" ht="18" thickBot="1" x14ac:dyDescent="0.25">
      <c r="A148" s="8" t="s">
        <v>157</v>
      </c>
      <c r="B148" s="75" t="s">
        <v>943</v>
      </c>
      <c r="C148" s="9" t="s">
        <v>36</v>
      </c>
      <c r="D148" s="9" t="s">
        <v>164</v>
      </c>
      <c r="E148" s="9">
        <v>40</v>
      </c>
      <c r="F148" s="10">
        <v>13918.84</v>
      </c>
      <c r="G148" s="14">
        <f t="shared" si="9"/>
        <v>556753.6</v>
      </c>
      <c r="H148" s="23">
        <v>6</v>
      </c>
      <c r="I148" s="24">
        <v>13918.84</v>
      </c>
      <c r="J148" s="25">
        <f t="shared" si="10"/>
        <v>83513.040000000008</v>
      </c>
      <c r="K148" s="92"/>
      <c r="L148" s="93">
        <v>13918.84</v>
      </c>
      <c r="M148" s="108">
        <f t="shared" si="11"/>
        <v>0</v>
      </c>
      <c r="N148" s="23"/>
      <c r="O148" s="24">
        <v>13918.84</v>
      </c>
      <c r="P148" s="25">
        <f t="shared" si="12"/>
        <v>0</v>
      </c>
      <c r="Q148" s="92"/>
      <c r="R148" s="93">
        <v>13918.84</v>
      </c>
      <c r="S148" s="108">
        <f t="shared" si="13"/>
        <v>0</v>
      </c>
    </row>
    <row r="149" spans="1:19" ht="18" thickBot="1" x14ac:dyDescent="0.25">
      <c r="A149" s="8" t="s">
        <v>158</v>
      </c>
      <c r="B149" s="75" t="s">
        <v>909</v>
      </c>
      <c r="C149" s="9" t="s">
        <v>36</v>
      </c>
      <c r="D149" s="9" t="s">
        <v>165</v>
      </c>
      <c r="E149" s="9">
        <v>60</v>
      </c>
      <c r="F149" s="10">
        <v>20764</v>
      </c>
      <c r="G149" s="14">
        <f t="shared" si="9"/>
        <v>1245840</v>
      </c>
      <c r="H149" s="23">
        <v>10</v>
      </c>
      <c r="I149" s="24">
        <v>20764</v>
      </c>
      <c r="J149" s="25">
        <f t="shared" si="10"/>
        <v>207640</v>
      </c>
      <c r="K149" s="92"/>
      <c r="L149" s="93">
        <v>20764</v>
      </c>
      <c r="M149" s="108">
        <f t="shared" si="11"/>
        <v>0</v>
      </c>
      <c r="N149" s="23"/>
      <c r="O149" s="24">
        <v>20764</v>
      </c>
      <c r="P149" s="25">
        <f t="shared" si="12"/>
        <v>0</v>
      </c>
      <c r="Q149" s="92">
        <v>36</v>
      </c>
      <c r="R149" s="93">
        <v>20764</v>
      </c>
      <c r="S149" s="108">
        <f t="shared" si="13"/>
        <v>747504</v>
      </c>
    </row>
    <row r="150" spans="1:19" ht="18" thickBot="1" x14ac:dyDescent="0.25">
      <c r="A150" s="8" t="s">
        <v>47</v>
      </c>
      <c r="B150" s="75" t="s">
        <v>909</v>
      </c>
      <c r="C150" s="9" t="s">
        <v>36</v>
      </c>
      <c r="D150" s="9" t="s">
        <v>165</v>
      </c>
      <c r="E150" s="9">
        <v>40</v>
      </c>
      <c r="F150" s="10">
        <v>20764</v>
      </c>
      <c r="G150" s="14">
        <f t="shared" si="9"/>
        <v>830560</v>
      </c>
      <c r="H150" s="23">
        <v>6</v>
      </c>
      <c r="I150" s="24">
        <v>20764</v>
      </c>
      <c r="J150" s="25">
        <f t="shared" si="10"/>
        <v>124584</v>
      </c>
      <c r="K150" s="92"/>
      <c r="L150" s="93">
        <v>20764</v>
      </c>
      <c r="M150" s="108">
        <f t="shared" si="11"/>
        <v>0</v>
      </c>
      <c r="N150" s="23"/>
      <c r="O150" s="24">
        <v>20764</v>
      </c>
      <c r="P150" s="25">
        <f t="shared" si="12"/>
        <v>0</v>
      </c>
      <c r="Q150" s="92"/>
      <c r="R150" s="93">
        <v>20764</v>
      </c>
      <c r="S150" s="108">
        <f t="shared" si="13"/>
        <v>0</v>
      </c>
    </row>
    <row r="151" spans="1:19" ht="18" thickBot="1" x14ac:dyDescent="0.25">
      <c r="A151" s="8" t="s">
        <v>48</v>
      </c>
      <c r="B151" s="75" t="s">
        <v>903</v>
      </c>
      <c r="C151" s="9" t="s">
        <v>36</v>
      </c>
      <c r="D151" s="9" t="s">
        <v>54</v>
      </c>
      <c r="E151" s="9">
        <v>80</v>
      </c>
      <c r="F151" s="10">
        <v>14500</v>
      </c>
      <c r="G151" s="14">
        <f t="shared" si="9"/>
        <v>1160000</v>
      </c>
      <c r="H151" s="23">
        <v>14</v>
      </c>
      <c r="I151" s="24">
        <v>14500</v>
      </c>
      <c r="J151" s="25">
        <f t="shared" si="10"/>
        <v>203000</v>
      </c>
      <c r="K151" s="92"/>
      <c r="L151" s="93">
        <v>14500</v>
      </c>
      <c r="M151" s="108">
        <f t="shared" si="11"/>
        <v>0</v>
      </c>
      <c r="N151" s="23"/>
      <c r="O151" s="24">
        <v>14500</v>
      </c>
      <c r="P151" s="25">
        <f t="shared" si="12"/>
        <v>0</v>
      </c>
      <c r="Q151" s="92"/>
      <c r="R151" s="93">
        <v>14500</v>
      </c>
      <c r="S151" s="108">
        <f t="shared" si="13"/>
        <v>0</v>
      </c>
    </row>
    <row r="152" spans="1:19" ht="18" thickBot="1" x14ac:dyDescent="0.25">
      <c r="A152" s="8" t="s">
        <v>76</v>
      </c>
      <c r="B152" s="75" t="s">
        <v>857</v>
      </c>
      <c r="C152" s="9" t="s">
        <v>36</v>
      </c>
      <c r="D152" s="9" t="s">
        <v>163</v>
      </c>
      <c r="E152" s="9">
        <v>60</v>
      </c>
      <c r="F152" s="10">
        <v>7772</v>
      </c>
      <c r="G152" s="14">
        <f t="shared" si="9"/>
        <v>466320</v>
      </c>
      <c r="H152" s="23">
        <v>10</v>
      </c>
      <c r="I152" s="24">
        <v>7772</v>
      </c>
      <c r="J152" s="25">
        <f t="shared" si="10"/>
        <v>77720</v>
      </c>
      <c r="K152" s="92"/>
      <c r="L152" s="93">
        <v>7772</v>
      </c>
      <c r="M152" s="108">
        <f t="shared" si="11"/>
        <v>0</v>
      </c>
      <c r="N152" s="23"/>
      <c r="O152" s="24">
        <v>7772</v>
      </c>
      <c r="P152" s="25">
        <f t="shared" si="12"/>
        <v>0</v>
      </c>
      <c r="Q152" s="92"/>
      <c r="R152" s="93">
        <v>7772</v>
      </c>
      <c r="S152" s="108">
        <f t="shared" si="13"/>
        <v>0</v>
      </c>
    </row>
    <row r="153" spans="1:19" ht="18" thickBot="1" x14ac:dyDescent="0.25">
      <c r="A153" s="8" t="s">
        <v>159</v>
      </c>
      <c r="B153" s="75" t="s">
        <v>882</v>
      </c>
      <c r="C153" s="9" t="s">
        <v>36</v>
      </c>
      <c r="D153" s="9" t="s">
        <v>166</v>
      </c>
      <c r="E153" s="9">
        <v>50</v>
      </c>
      <c r="F153" s="10">
        <v>17284</v>
      </c>
      <c r="G153" s="14">
        <f t="shared" si="9"/>
        <v>864200</v>
      </c>
      <c r="H153" s="23">
        <v>8</v>
      </c>
      <c r="I153" s="24">
        <v>17284</v>
      </c>
      <c r="J153" s="25">
        <f t="shared" si="10"/>
        <v>138272</v>
      </c>
      <c r="K153" s="92">
        <v>10</v>
      </c>
      <c r="L153" s="93">
        <v>17284</v>
      </c>
      <c r="M153" s="108">
        <f t="shared" si="11"/>
        <v>172840</v>
      </c>
      <c r="N153" s="23"/>
      <c r="O153" s="24">
        <v>17284</v>
      </c>
      <c r="P153" s="25">
        <f t="shared" si="12"/>
        <v>0</v>
      </c>
      <c r="Q153" s="92"/>
      <c r="R153" s="93">
        <v>17284</v>
      </c>
      <c r="S153" s="108">
        <f t="shared" si="13"/>
        <v>0</v>
      </c>
    </row>
    <row r="154" spans="1:19" ht="18" thickBot="1" x14ac:dyDescent="0.25">
      <c r="A154" s="8" t="s">
        <v>160</v>
      </c>
      <c r="B154" s="75" t="s">
        <v>846</v>
      </c>
      <c r="C154" s="9" t="s">
        <v>36</v>
      </c>
      <c r="D154" s="9" t="s">
        <v>41</v>
      </c>
      <c r="E154" s="9">
        <v>60</v>
      </c>
      <c r="F154" s="10">
        <v>21576</v>
      </c>
      <c r="G154" s="14">
        <f t="shared" si="9"/>
        <v>1294560</v>
      </c>
      <c r="H154" s="23">
        <v>10</v>
      </c>
      <c r="I154" s="24">
        <v>21576</v>
      </c>
      <c r="J154" s="25">
        <f t="shared" si="10"/>
        <v>215760</v>
      </c>
      <c r="K154" s="92"/>
      <c r="L154" s="93">
        <v>21576</v>
      </c>
      <c r="M154" s="108">
        <f t="shared" si="11"/>
        <v>0</v>
      </c>
      <c r="N154" s="23"/>
      <c r="O154" s="24">
        <v>21576</v>
      </c>
      <c r="P154" s="25">
        <f t="shared" si="12"/>
        <v>0</v>
      </c>
      <c r="Q154" s="92">
        <v>24</v>
      </c>
      <c r="R154" s="93">
        <v>21576</v>
      </c>
      <c r="S154" s="108">
        <f t="shared" si="13"/>
        <v>517824</v>
      </c>
    </row>
    <row r="155" spans="1:19" ht="18" thickBot="1" x14ac:dyDescent="0.25">
      <c r="A155" s="8" t="s">
        <v>161</v>
      </c>
      <c r="B155" s="75" t="s">
        <v>913</v>
      </c>
      <c r="C155" s="9" t="s">
        <v>36</v>
      </c>
      <c r="D155" s="9" t="s">
        <v>167</v>
      </c>
      <c r="E155" s="9">
        <v>40</v>
      </c>
      <c r="F155" s="10">
        <v>20878.84</v>
      </c>
      <c r="G155" s="14">
        <f t="shared" si="9"/>
        <v>835153.6</v>
      </c>
      <c r="H155" s="23">
        <v>6</v>
      </c>
      <c r="I155" s="24">
        <v>20878.84</v>
      </c>
      <c r="J155" s="25">
        <f t="shared" si="10"/>
        <v>125273.04000000001</v>
      </c>
      <c r="K155" s="92"/>
      <c r="L155" s="93">
        <v>20878.84</v>
      </c>
      <c r="M155" s="108">
        <f t="shared" si="11"/>
        <v>0</v>
      </c>
      <c r="N155" s="23"/>
      <c r="O155" s="24">
        <v>20878.84</v>
      </c>
      <c r="P155" s="25">
        <f t="shared" si="12"/>
        <v>0</v>
      </c>
      <c r="Q155" s="92">
        <v>24</v>
      </c>
      <c r="R155" s="93">
        <v>20878.84</v>
      </c>
      <c r="S155" s="108">
        <f t="shared" si="13"/>
        <v>501092.16000000003</v>
      </c>
    </row>
    <row r="156" spans="1:19" ht="18" thickBot="1" x14ac:dyDescent="0.25">
      <c r="A156" s="8" t="s">
        <v>139</v>
      </c>
      <c r="B156" s="75" t="s">
        <v>944</v>
      </c>
      <c r="C156" s="9" t="s">
        <v>36</v>
      </c>
      <c r="D156" s="9" t="s">
        <v>168</v>
      </c>
      <c r="E156" s="9">
        <v>40</v>
      </c>
      <c r="F156" s="10">
        <v>21576</v>
      </c>
      <c r="G156" s="14">
        <f t="shared" si="9"/>
        <v>863040</v>
      </c>
      <c r="H156" s="23">
        <v>6</v>
      </c>
      <c r="I156" s="24">
        <v>21576</v>
      </c>
      <c r="J156" s="25">
        <f t="shared" si="10"/>
        <v>129456</v>
      </c>
      <c r="K156" s="92"/>
      <c r="L156" s="93">
        <v>21576</v>
      </c>
      <c r="M156" s="108">
        <f t="shared" si="11"/>
        <v>0</v>
      </c>
      <c r="N156" s="23"/>
      <c r="O156" s="24">
        <v>21576</v>
      </c>
      <c r="P156" s="25">
        <f t="shared" si="12"/>
        <v>0</v>
      </c>
      <c r="Q156" s="92"/>
      <c r="R156" s="93">
        <v>21576</v>
      </c>
      <c r="S156" s="108">
        <f t="shared" si="13"/>
        <v>0</v>
      </c>
    </row>
    <row r="157" spans="1:19" ht="18" thickBot="1" x14ac:dyDescent="0.25">
      <c r="A157" s="8" t="s">
        <v>58</v>
      </c>
      <c r="B157" s="75" t="s">
        <v>907</v>
      </c>
      <c r="C157" s="9" t="s">
        <v>36</v>
      </c>
      <c r="D157" s="9" t="s">
        <v>117</v>
      </c>
      <c r="E157" s="9">
        <v>100</v>
      </c>
      <c r="F157" s="10">
        <v>136868.4</v>
      </c>
      <c r="G157" s="14">
        <f t="shared" si="9"/>
        <v>13686840</v>
      </c>
      <c r="H157" s="23">
        <v>30</v>
      </c>
      <c r="I157" s="24">
        <v>136868.4</v>
      </c>
      <c r="J157" s="25">
        <f t="shared" si="10"/>
        <v>4106052</v>
      </c>
      <c r="K157" s="92">
        <v>36</v>
      </c>
      <c r="L157" s="93">
        <v>136868.4</v>
      </c>
      <c r="M157" s="108">
        <f t="shared" si="11"/>
        <v>4927262.3999999994</v>
      </c>
      <c r="N157" s="23"/>
      <c r="O157" s="24">
        <v>136868.4</v>
      </c>
      <c r="P157" s="25">
        <f t="shared" si="12"/>
        <v>0</v>
      </c>
      <c r="Q157" s="92"/>
      <c r="R157" s="93">
        <v>136868.4</v>
      </c>
      <c r="S157" s="108">
        <f t="shared" si="13"/>
        <v>0</v>
      </c>
    </row>
    <row r="158" spans="1:19" ht="18" thickBot="1" x14ac:dyDescent="0.25">
      <c r="A158" s="8" t="s">
        <v>47</v>
      </c>
      <c r="B158" s="75" t="s">
        <v>912</v>
      </c>
      <c r="C158" s="9" t="s">
        <v>36</v>
      </c>
      <c r="D158" s="9" t="s">
        <v>112</v>
      </c>
      <c r="E158" s="9">
        <v>40</v>
      </c>
      <c r="F158" s="10">
        <v>21576</v>
      </c>
      <c r="G158" s="14">
        <f t="shared" si="9"/>
        <v>863040</v>
      </c>
      <c r="H158" s="23">
        <v>6</v>
      </c>
      <c r="I158" s="24">
        <v>21576</v>
      </c>
      <c r="J158" s="25">
        <f t="shared" si="10"/>
        <v>129456</v>
      </c>
      <c r="K158" s="92"/>
      <c r="L158" s="93">
        <v>21576</v>
      </c>
      <c r="M158" s="108">
        <f t="shared" si="11"/>
        <v>0</v>
      </c>
      <c r="N158" s="23"/>
      <c r="O158" s="24">
        <v>21576</v>
      </c>
      <c r="P158" s="25">
        <f t="shared" si="12"/>
        <v>0</v>
      </c>
      <c r="Q158" s="92"/>
      <c r="R158" s="93">
        <v>21576</v>
      </c>
      <c r="S158" s="108">
        <f t="shared" si="13"/>
        <v>0</v>
      </c>
    </row>
    <row r="159" spans="1:19" ht="18" thickBot="1" x14ac:dyDescent="0.25">
      <c r="A159" s="8" t="s">
        <v>61</v>
      </c>
      <c r="B159" s="75" t="s">
        <v>881</v>
      </c>
      <c r="C159" s="9" t="s">
        <v>36</v>
      </c>
      <c r="D159" s="9" t="s">
        <v>169</v>
      </c>
      <c r="E159" s="9">
        <v>40</v>
      </c>
      <c r="F159" s="10">
        <v>14152</v>
      </c>
      <c r="G159" s="14">
        <f t="shared" si="9"/>
        <v>566080</v>
      </c>
      <c r="H159" s="23">
        <v>6</v>
      </c>
      <c r="I159" s="24">
        <v>14152</v>
      </c>
      <c r="J159" s="25">
        <f t="shared" si="10"/>
        <v>84912</v>
      </c>
      <c r="K159" s="92">
        <v>24</v>
      </c>
      <c r="L159" s="93">
        <v>14152</v>
      </c>
      <c r="M159" s="108">
        <f t="shared" si="11"/>
        <v>339648</v>
      </c>
      <c r="N159" s="23"/>
      <c r="O159" s="24">
        <v>14152</v>
      </c>
      <c r="P159" s="25">
        <f t="shared" si="12"/>
        <v>0</v>
      </c>
      <c r="Q159" s="92"/>
      <c r="R159" s="93">
        <v>14152</v>
      </c>
      <c r="S159" s="108">
        <f t="shared" si="13"/>
        <v>0</v>
      </c>
    </row>
    <row r="160" spans="1:19" ht="18" thickBot="1" x14ac:dyDescent="0.25">
      <c r="A160" s="8" t="s">
        <v>161</v>
      </c>
      <c r="B160" s="75" t="s">
        <v>913</v>
      </c>
      <c r="C160" s="9" t="s">
        <v>36</v>
      </c>
      <c r="D160" s="9" t="s">
        <v>170</v>
      </c>
      <c r="E160" s="9">
        <v>40</v>
      </c>
      <c r="F160" s="10">
        <v>20878.84</v>
      </c>
      <c r="G160" s="14">
        <f t="shared" si="9"/>
        <v>835153.6</v>
      </c>
      <c r="H160" s="23">
        <v>6</v>
      </c>
      <c r="I160" s="24">
        <v>20878.84</v>
      </c>
      <c r="J160" s="25">
        <f t="shared" si="10"/>
        <v>125273.04000000001</v>
      </c>
      <c r="K160" s="92"/>
      <c r="L160" s="93">
        <v>20878.84</v>
      </c>
      <c r="M160" s="108">
        <f t="shared" si="11"/>
        <v>0</v>
      </c>
      <c r="N160" s="23"/>
      <c r="O160" s="24">
        <v>20878.84</v>
      </c>
      <c r="P160" s="25">
        <f t="shared" si="12"/>
        <v>0</v>
      </c>
      <c r="Q160" s="92"/>
      <c r="R160" s="93">
        <v>20878.84</v>
      </c>
      <c r="S160" s="108">
        <f t="shared" si="13"/>
        <v>0</v>
      </c>
    </row>
    <row r="161" spans="1:19" ht="18" thickBot="1" x14ac:dyDescent="0.25">
      <c r="A161" s="8" t="s">
        <v>162</v>
      </c>
      <c r="B161" s="75" t="s">
        <v>839</v>
      </c>
      <c r="C161" s="9" t="s">
        <v>36</v>
      </c>
      <c r="D161" s="9" t="s">
        <v>80</v>
      </c>
      <c r="E161" s="9">
        <v>60</v>
      </c>
      <c r="F161" s="10">
        <v>5904.4</v>
      </c>
      <c r="G161" s="14">
        <f t="shared" si="9"/>
        <v>354264</v>
      </c>
      <c r="H161" s="23">
        <v>10</v>
      </c>
      <c r="I161" s="24">
        <v>5904.4</v>
      </c>
      <c r="J161" s="25">
        <f t="shared" si="10"/>
        <v>59044</v>
      </c>
      <c r="K161" s="92"/>
      <c r="L161" s="93">
        <v>5904.4</v>
      </c>
      <c r="M161" s="108">
        <f t="shared" si="11"/>
        <v>0</v>
      </c>
      <c r="N161" s="23"/>
      <c r="O161" s="24">
        <v>5904.4</v>
      </c>
      <c r="P161" s="25">
        <f t="shared" si="12"/>
        <v>0</v>
      </c>
      <c r="Q161" s="92"/>
      <c r="R161" s="93">
        <v>5904.4</v>
      </c>
      <c r="S161" s="108">
        <f t="shared" si="13"/>
        <v>0</v>
      </c>
    </row>
    <row r="162" spans="1:19" ht="18" thickBot="1" x14ac:dyDescent="0.25">
      <c r="A162" s="8" t="s">
        <v>161</v>
      </c>
      <c r="B162" s="75" t="s">
        <v>908</v>
      </c>
      <c r="C162" s="9" t="s">
        <v>36</v>
      </c>
      <c r="D162" s="9" t="s">
        <v>113</v>
      </c>
      <c r="E162" s="9">
        <v>40</v>
      </c>
      <c r="F162" s="10">
        <v>20764</v>
      </c>
      <c r="G162" s="14">
        <f t="shared" si="9"/>
        <v>830560</v>
      </c>
      <c r="H162" s="23">
        <v>6</v>
      </c>
      <c r="I162" s="24">
        <v>20764</v>
      </c>
      <c r="J162" s="25">
        <f t="shared" si="10"/>
        <v>124584</v>
      </c>
      <c r="K162" s="92"/>
      <c r="L162" s="93">
        <v>20764</v>
      </c>
      <c r="M162" s="108">
        <f t="shared" si="11"/>
        <v>0</v>
      </c>
      <c r="N162" s="23"/>
      <c r="O162" s="24">
        <v>20764</v>
      </c>
      <c r="P162" s="25">
        <f t="shared" si="12"/>
        <v>0</v>
      </c>
      <c r="Q162" s="92">
        <v>24</v>
      </c>
      <c r="R162" s="93">
        <v>20764</v>
      </c>
      <c r="S162" s="108">
        <f t="shared" si="13"/>
        <v>498336</v>
      </c>
    </row>
    <row r="163" spans="1:19" ht="18" thickBot="1" x14ac:dyDescent="0.25">
      <c r="A163" s="8" t="s">
        <v>161</v>
      </c>
      <c r="B163" s="75" t="s">
        <v>878</v>
      </c>
      <c r="C163" s="9" t="s">
        <v>36</v>
      </c>
      <c r="D163" s="9" t="s">
        <v>120</v>
      </c>
      <c r="E163" s="9">
        <v>48</v>
      </c>
      <c r="F163" s="10">
        <v>20764</v>
      </c>
      <c r="G163" s="14">
        <f t="shared" si="9"/>
        <v>996672</v>
      </c>
      <c r="H163" s="23">
        <v>8</v>
      </c>
      <c r="I163" s="24">
        <v>20764</v>
      </c>
      <c r="J163" s="25">
        <f t="shared" si="10"/>
        <v>166112</v>
      </c>
      <c r="K163" s="92"/>
      <c r="L163" s="93">
        <v>20764</v>
      </c>
      <c r="M163" s="108">
        <f t="shared" si="11"/>
        <v>0</v>
      </c>
      <c r="N163" s="23"/>
      <c r="O163" s="24">
        <v>20764</v>
      </c>
      <c r="P163" s="25">
        <f t="shared" si="12"/>
        <v>0</v>
      </c>
      <c r="Q163" s="92">
        <v>24</v>
      </c>
      <c r="R163" s="93">
        <v>20764</v>
      </c>
      <c r="S163" s="108">
        <f t="shared" si="13"/>
        <v>498336</v>
      </c>
    </row>
    <row r="164" spans="1:19" ht="17" thickBot="1" x14ac:dyDescent="0.25">
      <c r="A164" s="4"/>
      <c r="B164" s="79"/>
      <c r="C164" s="2"/>
      <c r="D164" s="2"/>
      <c r="E164" s="2"/>
      <c r="F164" s="3"/>
      <c r="G164" s="15">
        <f>SUM(G146:G163)</f>
        <v>27299416.800000001</v>
      </c>
      <c r="H164" s="2"/>
      <c r="I164" s="3"/>
      <c r="J164" s="22">
        <f>SUM(J146:J163)</f>
        <v>6273955.1200000001</v>
      </c>
      <c r="K164" s="2"/>
      <c r="L164" s="3"/>
      <c r="M164" s="109">
        <f>SUM(M146:M163)</f>
        <v>5439750.3999999994</v>
      </c>
      <c r="N164" s="2"/>
      <c r="O164" s="3"/>
      <c r="P164" s="22">
        <f>SUM(P146:P163)</f>
        <v>157296</v>
      </c>
      <c r="Q164" s="2"/>
      <c r="R164" s="3"/>
      <c r="S164" s="109">
        <f>SUM(S146:S163)</f>
        <v>2905076.16</v>
      </c>
    </row>
    <row r="166" spans="1:19" ht="18" thickBot="1" x14ac:dyDescent="0.25">
      <c r="A166" s="267" t="s">
        <v>2264</v>
      </c>
      <c r="B166" s="78" t="s">
        <v>2261</v>
      </c>
      <c r="C166" s="274" t="s">
        <v>2262</v>
      </c>
    </row>
    <row r="167" spans="1:19" ht="35" thickBot="1" x14ac:dyDescent="0.25">
      <c r="A167" s="302" t="s">
        <v>2263</v>
      </c>
      <c r="B167" s="10"/>
      <c r="C167" s="10" t="s">
        <v>332</v>
      </c>
      <c r="D167" s="10"/>
      <c r="E167" s="10">
        <v>20</v>
      </c>
      <c r="F167" s="10">
        <v>21692</v>
      </c>
      <c r="G167" s="12">
        <f>F167*E167</f>
        <v>433840</v>
      </c>
    </row>
    <row r="169" spans="1:19" ht="17" thickBot="1" x14ac:dyDescent="0.25">
      <c r="A169" s="30" t="s">
        <v>2294</v>
      </c>
    </row>
    <row r="170" spans="1:19" ht="17" thickBot="1" x14ac:dyDescent="0.25">
      <c r="A170" s="9" t="s">
        <v>2295</v>
      </c>
      <c r="B170" s="76"/>
      <c r="C170" s="9" t="s">
        <v>4</v>
      </c>
      <c r="D170" s="9"/>
      <c r="E170" s="9">
        <v>10</v>
      </c>
      <c r="F170" s="10">
        <v>10196.4</v>
      </c>
      <c r="G170" s="12">
        <f>F170*E170</f>
        <v>101964</v>
      </c>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AAF7E-889F-1742-886D-DB19BA601D24}">
  <dimension ref="A1:P206"/>
  <sheetViews>
    <sheetView topLeftCell="A53" zoomScale="94" workbookViewId="0">
      <selection activeCell="B61" sqref="B61"/>
    </sheetView>
  </sheetViews>
  <sheetFormatPr baseColWidth="10" defaultRowHeight="16" x14ac:dyDescent="0.2"/>
  <cols>
    <col min="1" max="1" width="79" customWidth="1"/>
    <col min="2" max="2" width="27.33203125" style="78" customWidth="1"/>
    <col min="4" max="4" width="35.1640625" customWidth="1"/>
    <col min="5" max="5" width="11.1640625" bestFit="1" customWidth="1"/>
    <col min="6" max="6" width="13.83203125" bestFit="1" customWidth="1"/>
    <col min="7" max="7" width="16.5" customWidth="1"/>
    <col min="8" max="8" width="14.33203125" customWidth="1"/>
    <col min="9" max="9" width="16.83203125" customWidth="1"/>
    <col min="10" max="10" width="20.33203125" customWidth="1"/>
    <col min="11" max="11" width="17.83203125" customWidth="1"/>
    <col min="12" max="12" width="15.1640625" customWidth="1"/>
    <col min="13" max="13" width="17.1640625" customWidth="1"/>
    <col min="16" max="16" width="15.1640625" bestFit="1" customWidth="1"/>
  </cols>
  <sheetData>
    <row r="1" spans="1:8" ht="17" thickBot="1" x14ac:dyDescent="0.25">
      <c r="A1" s="30" t="s">
        <v>1589</v>
      </c>
      <c r="B1" s="74"/>
      <c r="C1" s="2" t="s">
        <v>1044</v>
      </c>
      <c r="D1" s="2" t="s">
        <v>1045</v>
      </c>
      <c r="E1" s="2"/>
      <c r="F1" s="2"/>
      <c r="G1" s="2"/>
    </row>
    <row r="2" spans="1:8" ht="17" thickBot="1" x14ac:dyDescent="0.25">
      <c r="A2" s="9" t="s">
        <v>1046</v>
      </c>
      <c r="B2" s="76"/>
      <c r="C2" s="9" t="s">
        <v>36</v>
      </c>
      <c r="D2" s="9"/>
      <c r="E2" s="9">
        <v>22</v>
      </c>
      <c r="F2" s="10">
        <v>10092</v>
      </c>
      <c r="G2" s="10">
        <f>F2*E2</f>
        <v>222024</v>
      </c>
    </row>
    <row r="3" spans="1:8" ht="17" thickBot="1" x14ac:dyDescent="0.25">
      <c r="A3" s="9" t="s">
        <v>1047</v>
      </c>
      <c r="B3" s="76"/>
      <c r="C3" s="9" t="s">
        <v>36</v>
      </c>
      <c r="D3" s="9"/>
      <c r="E3" s="9">
        <v>21</v>
      </c>
      <c r="F3" s="10">
        <v>55679.999999999993</v>
      </c>
      <c r="G3" s="10">
        <f t="shared" ref="G3:G28" si="0">F3*E3</f>
        <v>1169279.9999999998</v>
      </c>
      <c r="H3" s="120"/>
    </row>
    <row r="4" spans="1:8" ht="17" thickBot="1" x14ac:dyDescent="0.25">
      <c r="A4" s="9" t="s">
        <v>772</v>
      </c>
      <c r="B4" s="76"/>
      <c r="C4" s="9" t="s">
        <v>36</v>
      </c>
      <c r="D4" s="9"/>
      <c r="E4" s="9">
        <v>16</v>
      </c>
      <c r="F4" s="10">
        <v>14035.999999999998</v>
      </c>
      <c r="G4" s="10">
        <f t="shared" si="0"/>
        <v>224575.99999999997</v>
      </c>
    </row>
    <row r="5" spans="1:8" ht="17" thickBot="1" x14ac:dyDescent="0.25">
      <c r="A5" s="9" t="s">
        <v>1048</v>
      </c>
      <c r="B5" s="76"/>
      <c r="C5" s="9" t="s">
        <v>36</v>
      </c>
      <c r="D5" s="9"/>
      <c r="E5" s="9">
        <v>16</v>
      </c>
      <c r="F5" s="10">
        <v>10092</v>
      </c>
      <c r="G5" s="10">
        <f t="shared" si="0"/>
        <v>161472</v>
      </c>
    </row>
    <row r="6" spans="1:8" ht="17" thickBot="1" x14ac:dyDescent="0.25">
      <c r="A6" s="9" t="s">
        <v>1049</v>
      </c>
      <c r="B6" s="76"/>
      <c r="C6" s="9" t="s">
        <v>36</v>
      </c>
      <c r="D6" s="9"/>
      <c r="E6" s="9">
        <v>24</v>
      </c>
      <c r="F6" s="10">
        <v>6611.9999999999991</v>
      </c>
      <c r="G6" s="10">
        <f t="shared" si="0"/>
        <v>158687.99999999997</v>
      </c>
    </row>
    <row r="7" spans="1:8" ht="17" thickBot="1" x14ac:dyDescent="0.25">
      <c r="A7" s="9" t="s">
        <v>1050</v>
      </c>
      <c r="B7" s="76"/>
      <c r="C7" s="9" t="s">
        <v>36</v>
      </c>
      <c r="D7" s="9"/>
      <c r="E7" s="9">
        <v>24</v>
      </c>
      <c r="F7" s="10">
        <v>3711.9999999999995</v>
      </c>
      <c r="G7" s="10">
        <f t="shared" si="0"/>
        <v>89087.999999999985</v>
      </c>
    </row>
    <row r="8" spans="1:8" ht="17" thickBot="1" x14ac:dyDescent="0.25">
      <c r="A8" s="9" t="s">
        <v>1051</v>
      </c>
      <c r="B8" s="76"/>
      <c r="C8" s="9" t="s">
        <v>36</v>
      </c>
      <c r="D8" s="9"/>
      <c r="E8" s="9">
        <v>45</v>
      </c>
      <c r="F8" s="10">
        <v>78416</v>
      </c>
      <c r="G8" s="10">
        <f t="shared" si="0"/>
        <v>3528720</v>
      </c>
    </row>
    <row r="9" spans="1:8" ht="17" thickBot="1" x14ac:dyDescent="0.25">
      <c r="A9" s="9" t="s">
        <v>1052</v>
      </c>
      <c r="B9" s="76"/>
      <c r="C9" s="9" t="s">
        <v>36</v>
      </c>
      <c r="D9" s="9"/>
      <c r="E9" s="9">
        <v>22</v>
      </c>
      <c r="F9" s="10">
        <v>10196.4</v>
      </c>
      <c r="G9" s="10">
        <f t="shared" si="0"/>
        <v>224320.8</v>
      </c>
    </row>
    <row r="10" spans="1:8" ht="17" thickBot="1" x14ac:dyDescent="0.25">
      <c r="A10" s="9" t="s">
        <v>757</v>
      </c>
      <c r="B10" s="76"/>
      <c r="C10" s="9" t="s">
        <v>36</v>
      </c>
      <c r="D10" s="9"/>
      <c r="E10" s="9">
        <v>28</v>
      </c>
      <c r="F10" s="10">
        <v>9512</v>
      </c>
      <c r="G10" s="10">
        <f t="shared" si="0"/>
        <v>266336</v>
      </c>
    </row>
    <row r="11" spans="1:8" ht="17" thickBot="1" x14ac:dyDescent="0.25">
      <c r="A11" s="9" t="s">
        <v>1053</v>
      </c>
      <c r="B11" s="76"/>
      <c r="C11" s="9" t="s">
        <v>36</v>
      </c>
      <c r="D11" s="9"/>
      <c r="E11" s="9">
        <v>69</v>
      </c>
      <c r="F11" s="10">
        <v>10092</v>
      </c>
      <c r="G11" s="10">
        <f t="shared" si="0"/>
        <v>696348</v>
      </c>
    </row>
    <row r="12" spans="1:8" ht="17" thickBot="1" x14ac:dyDescent="0.25">
      <c r="A12" s="9" t="s">
        <v>1054</v>
      </c>
      <c r="B12" s="76"/>
      <c r="C12" s="9" t="s">
        <v>36</v>
      </c>
      <c r="D12" s="9"/>
      <c r="E12" s="9">
        <v>29</v>
      </c>
      <c r="F12" s="10">
        <v>8816</v>
      </c>
      <c r="G12" s="10">
        <f t="shared" si="0"/>
        <v>255664</v>
      </c>
    </row>
    <row r="13" spans="1:8" ht="17" thickBot="1" x14ac:dyDescent="0.25">
      <c r="A13" s="9" t="s">
        <v>1055</v>
      </c>
      <c r="B13" s="76"/>
      <c r="C13" s="9" t="s">
        <v>36</v>
      </c>
      <c r="D13" s="9"/>
      <c r="E13" s="9">
        <v>46</v>
      </c>
      <c r="F13" s="10">
        <v>3607.6</v>
      </c>
      <c r="G13" s="10">
        <f t="shared" si="0"/>
        <v>165949.6</v>
      </c>
    </row>
    <row r="14" spans="1:8" ht="17" thickBot="1" x14ac:dyDescent="0.25">
      <c r="A14" s="9" t="s">
        <v>758</v>
      </c>
      <c r="B14" s="76"/>
      <c r="C14" s="9" t="s">
        <v>36</v>
      </c>
      <c r="D14" s="9"/>
      <c r="E14" s="9">
        <v>16</v>
      </c>
      <c r="F14" s="10">
        <v>7539.9999999999991</v>
      </c>
      <c r="G14" s="10">
        <f t="shared" si="0"/>
        <v>120639.99999999999</v>
      </c>
    </row>
    <row r="15" spans="1:8" ht="17" thickBot="1" x14ac:dyDescent="0.25">
      <c r="A15" s="9" t="s">
        <v>1056</v>
      </c>
      <c r="B15" s="76"/>
      <c r="C15" s="9" t="s">
        <v>36</v>
      </c>
      <c r="D15" s="9"/>
      <c r="E15" s="9">
        <v>22</v>
      </c>
      <c r="F15" s="10">
        <v>8236</v>
      </c>
      <c r="G15" s="10">
        <f t="shared" si="0"/>
        <v>181192</v>
      </c>
    </row>
    <row r="16" spans="1:8" ht="17" thickBot="1" x14ac:dyDescent="0.25">
      <c r="A16" s="9" t="s">
        <v>1057</v>
      </c>
      <c r="B16" s="76"/>
      <c r="C16" s="9" t="s">
        <v>36</v>
      </c>
      <c r="D16" s="9"/>
      <c r="E16" s="9">
        <v>16</v>
      </c>
      <c r="F16" s="10">
        <v>10324</v>
      </c>
      <c r="G16" s="10">
        <f t="shared" si="0"/>
        <v>165184</v>
      </c>
    </row>
    <row r="17" spans="1:7" ht="17" thickBot="1" x14ac:dyDescent="0.25">
      <c r="A17" s="9" t="s">
        <v>1058</v>
      </c>
      <c r="B17" s="76"/>
      <c r="C17" s="9" t="s">
        <v>36</v>
      </c>
      <c r="D17" s="9"/>
      <c r="E17" s="9">
        <v>34</v>
      </c>
      <c r="F17" s="10">
        <v>9280</v>
      </c>
      <c r="G17" s="10">
        <f t="shared" si="0"/>
        <v>315520</v>
      </c>
    </row>
    <row r="18" spans="1:7" ht="17" thickBot="1" x14ac:dyDescent="0.25">
      <c r="A18" s="9" t="s">
        <v>1059</v>
      </c>
      <c r="B18" s="76"/>
      <c r="C18" s="9" t="s">
        <v>36</v>
      </c>
      <c r="D18" s="9"/>
      <c r="E18" s="9">
        <v>29</v>
      </c>
      <c r="F18" s="10">
        <v>14035.999999999998</v>
      </c>
      <c r="G18" s="10">
        <f t="shared" si="0"/>
        <v>407043.99999999994</v>
      </c>
    </row>
    <row r="19" spans="1:7" ht="17" thickBot="1" x14ac:dyDescent="0.25">
      <c r="A19" s="9" t="s">
        <v>1060</v>
      </c>
      <c r="B19" s="76"/>
      <c r="C19" s="9" t="s">
        <v>36</v>
      </c>
      <c r="D19" s="9"/>
      <c r="E19" s="9">
        <v>32</v>
      </c>
      <c r="F19" s="10">
        <v>1426.8</v>
      </c>
      <c r="G19" s="10">
        <f t="shared" si="0"/>
        <v>45657.599999999999</v>
      </c>
    </row>
    <row r="20" spans="1:7" ht="17" thickBot="1" x14ac:dyDescent="0.25">
      <c r="A20" s="9" t="s">
        <v>1061</v>
      </c>
      <c r="B20" s="76"/>
      <c r="C20" s="9" t="s">
        <v>36</v>
      </c>
      <c r="D20" s="9"/>
      <c r="E20" s="9">
        <v>18</v>
      </c>
      <c r="F20" s="10">
        <v>4292</v>
      </c>
      <c r="G20" s="10">
        <f t="shared" si="0"/>
        <v>77256</v>
      </c>
    </row>
    <row r="21" spans="1:7" ht="17" thickBot="1" x14ac:dyDescent="0.25">
      <c r="A21" s="9" t="s">
        <v>1062</v>
      </c>
      <c r="B21" s="76"/>
      <c r="C21" s="9" t="s">
        <v>36</v>
      </c>
      <c r="D21" s="9"/>
      <c r="E21" s="9">
        <v>18</v>
      </c>
      <c r="F21" s="10">
        <v>12992</v>
      </c>
      <c r="G21" s="10">
        <f t="shared" si="0"/>
        <v>233856</v>
      </c>
    </row>
    <row r="22" spans="1:7" ht="17" thickBot="1" x14ac:dyDescent="0.25">
      <c r="A22" s="9" t="s">
        <v>1063</v>
      </c>
      <c r="B22" s="76"/>
      <c r="C22" s="9" t="s">
        <v>36</v>
      </c>
      <c r="D22" s="9"/>
      <c r="E22" s="9">
        <v>22</v>
      </c>
      <c r="F22" s="10">
        <v>8236</v>
      </c>
      <c r="G22" s="10">
        <f t="shared" si="0"/>
        <v>181192</v>
      </c>
    </row>
    <row r="23" spans="1:7" ht="17" thickBot="1" x14ac:dyDescent="0.25">
      <c r="A23" s="9" t="s">
        <v>1064</v>
      </c>
      <c r="B23" s="76"/>
      <c r="C23" s="9" t="s">
        <v>36</v>
      </c>
      <c r="D23" s="9"/>
      <c r="E23" s="9">
        <v>28</v>
      </c>
      <c r="F23" s="10">
        <v>9048</v>
      </c>
      <c r="G23" s="10">
        <f t="shared" si="0"/>
        <v>253344</v>
      </c>
    </row>
    <row r="24" spans="1:7" ht="17" thickBot="1" x14ac:dyDescent="0.25">
      <c r="A24" s="9" t="s">
        <v>1065</v>
      </c>
      <c r="B24" s="76"/>
      <c r="C24" s="9" t="s">
        <v>36</v>
      </c>
      <c r="D24" s="9"/>
      <c r="E24" s="9">
        <v>16</v>
      </c>
      <c r="F24" s="10">
        <v>12992</v>
      </c>
      <c r="G24" s="10">
        <f t="shared" si="0"/>
        <v>207872</v>
      </c>
    </row>
    <row r="25" spans="1:7" ht="17" thickBot="1" x14ac:dyDescent="0.25">
      <c r="A25" s="9" t="s">
        <v>1066</v>
      </c>
      <c r="B25" s="76"/>
      <c r="C25" s="9" t="s">
        <v>36</v>
      </c>
      <c r="D25" s="9"/>
      <c r="E25" s="9">
        <v>28</v>
      </c>
      <c r="F25" s="10">
        <v>7771.9999999999991</v>
      </c>
      <c r="G25" s="10">
        <f t="shared" si="0"/>
        <v>217615.99999999997</v>
      </c>
    </row>
    <row r="26" spans="1:7" ht="17" thickBot="1" x14ac:dyDescent="0.25">
      <c r="A26" s="9" t="s">
        <v>775</v>
      </c>
      <c r="B26" s="76"/>
      <c r="C26" s="9" t="s">
        <v>36</v>
      </c>
      <c r="D26" s="9"/>
      <c r="E26" s="9">
        <v>24</v>
      </c>
      <c r="F26" s="10">
        <v>1032.3999999999999</v>
      </c>
      <c r="G26" s="10">
        <f t="shared" si="0"/>
        <v>24777.599999999999</v>
      </c>
    </row>
    <row r="27" spans="1:7" ht="17" thickBot="1" x14ac:dyDescent="0.25">
      <c r="A27" s="9" t="s">
        <v>1067</v>
      </c>
      <c r="B27" s="76"/>
      <c r="C27" s="9" t="s">
        <v>36</v>
      </c>
      <c r="D27" s="9"/>
      <c r="E27" s="9">
        <v>22</v>
      </c>
      <c r="F27" s="10">
        <v>5220</v>
      </c>
      <c r="G27" s="10">
        <f t="shared" si="0"/>
        <v>114840</v>
      </c>
    </row>
    <row r="28" spans="1:7" ht="17" thickBot="1" x14ac:dyDescent="0.25">
      <c r="A28" s="9" t="s">
        <v>1068</v>
      </c>
      <c r="B28" s="76"/>
      <c r="C28" s="9" t="s">
        <v>36</v>
      </c>
      <c r="D28" s="9"/>
      <c r="E28" s="9">
        <v>19</v>
      </c>
      <c r="F28" s="10">
        <v>10092</v>
      </c>
      <c r="G28" s="10">
        <f t="shared" si="0"/>
        <v>191748</v>
      </c>
    </row>
    <row r="29" spans="1:7" ht="17" thickBot="1" x14ac:dyDescent="0.25">
      <c r="A29" s="2"/>
      <c r="B29" s="77"/>
      <c r="C29" s="2"/>
      <c r="D29" s="2"/>
      <c r="E29" s="2"/>
      <c r="F29" s="99"/>
      <c r="G29" s="103">
        <f>SUM(G2:G28)</f>
        <v>9900205.5999999996</v>
      </c>
    </row>
    <row r="31" spans="1:7" ht="17" thickBot="1" x14ac:dyDescent="0.25">
      <c r="A31" s="30" t="s">
        <v>1125</v>
      </c>
      <c r="B31" s="74"/>
      <c r="C31" s="2" t="s">
        <v>1041</v>
      </c>
      <c r="D31" s="2" t="s">
        <v>1042</v>
      </c>
      <c r="E31" s="2"/>
      <c r="F31" s="2"/>
      <c r="G31" s="2"/>
    </row>
    <row r="32" spans="1:7" ht="17" thickBot="1" x14ac:dyDescent="0.25">
      <c r="A32" s="9" t="s">
        <v>1124</v>
      </c>
      <c r="B32" s="76"/>
      <c r="C32" s="9" t="s">
        <v>36</v>
      </c>
      <c r="D32" s="9"/>
      <c r="E32" s="9">
        <v>72</v>
      </c>
      <c r="F32" s="10">
        <v>14268</v>
      </c>
      <c r="G32" s="12">
        <f>F32*E32</f>
        <v>1027296</v>
      </c>
    </row>
    <row r="34" spans="1:7" ht="17" thickBot="1" x14ac:dyDescent="0.25">
      <c r="A34" s="30" t="s">
        <v>1134</v>
      </c>
      <c r="B34" s="74"/>
      <c r="C34" s="2" t="s">
        <v>1041</v>
      </c>
      <c r="D34" s="2" t="s">
        <v>1042</v>
      </c>
      <c r="E34" s="2"/>
      <c r="F34" s="2"/>
      <c r="G34" s="2"/>
    </row>
    <row r="35" spans="1:7" ht="17" thickBot="1" x14ac:dyDescent="0.25">
      <c r="A35" s="9" t="s">
        <v>1126</v>
      </c>
      <c r="B35" s="76"/>
      <c r="C35" s="9" t="s">
        <v>36</v>
      </c>
      <c r="D35" s="9"/>
      <c r="E35" s="9">
        <v>60</v>
      </c>
      <c r="F35" s="10">
        <v>9512</v>
      </c>
      <c r="G35" s="10">
        <f>F35*E35</f>
        <v>570720</v>
      </c>
    </row>
    <row r="36" spans="1:7" ht="17" thickBot="1" x14ac:dyDescent="0.25">
      <c r="A36" s="9" t="s">
        <v>1127</v>
      </c>
      <c r="B36" s="76"/>
      <c r="C36" s="9" t="s">
        <v>36</v>
      </c>
      <c r="D36" s="9"/>
      <c r="E36" s="9">
        <v>126</v>
      </c>
      <c r="F36" s="10">
        <v>10324</v>
      </c>
      <c r="G36" s="10">
        <f t="shared" ref="G36:G42" si="1">F36*E36</f>
        <v>1300824</v>
      </c>
    </row>
    <row r="37" spans="1:7" ht="17" thickBot="1" x14ac:dyDescent="0.25">
      <c r="A37" s="9" t="s">
        <v>1128</v>
      </c>
      <c r="B37" s="76"/>
      <c r="C37" s="9" t="s">
        <v>36</v>
      </c>
      <c r="D37" s="9"/>
      <c r="E37" s="9">
        <v>72</v>
      </c>
      <c r="F37" s="10">
        <v>10324</v>
      </c>
      <c r="G37" s="10">
        <f t="shared" si="1"/>
        <v>743328</v>
      </c>
    </row>
    <row r="38" spans="1:7" ht="17" thickBot="1" x14ac:dyDescent="0.25">
      <c r="A38" s="9" t="s">
        <v>1129</v>
      </c>
      <c r="B38" s="76"/>
      <c r="C38" s="9" t="s">
        <v>36</v>
      </c>
      <c r="D38" s="9"/>
      <c r="E38" s="9">
        <v>60</v>
      </c>
      <c r="F38" s="10">
        <v>6368.4</v>
      </c>
      <c r="G38" s="10">
        <f t="shared" si="1"/>
        <v>382104</v>
      </c>
    </row>
    <row r="39" spans="1:7" ht="17" thickBot="1" x14ac:dyDescent="0.25">
      <c r="A39" s="9" t="s">
        <v>1130</v>
      </c>
      <c r="B39" s="76"/>
      <c r="C39" s="9" t="s">
        <v>36</v>
      </c>
      <c r="D39" s="9"/>
      <c r="E39" s="9">
        <v>48</v>
      </c>
      <c r="F39" s="10">
        <v>14268</v>
      </c>
      <c r="G39" s="10">
        <f t="shared" si="1"/>
        <v>684864</v>
      </c>
    </row>
    <row r="40" spans="1:7" ht="17" thickBot="1" x14ac:dyDescent="0.25">
      <c r="A40" s="9" t="s">
        <v>1131</v>
      </c>
      <c r="B40" s="76"/>
      <c r="C40" s="9" t="s">
        <v>36</v>
      </c>
      <c r="D40" s="9"/>
      <c r="E40" s="9">
        <v>120</v>
      </c>
      <c r="F40" s="10">
        <v>7772</v>
      </c>
      <c r="G40" s="10">
        <f t="shared" si="1"/>
        <v>932640</v>
      </c>
    </row>
    <row r="41" spans="1:7" ht="17" thickBot="1" x14ac:dyDescent="0.25">
      <c r="A41" s="9" t="s">
        <v>1132</v>
      </c>
      <c r="B41" s="76"/>
      <c r="C41" s="9" t="s">
        <v>36</v>
      </c>
      <c r="D41" s="9"/>
      <c r="E41" s="9">
        <v>120</v>
      </c>
      <c r="F41" s="10">
        <v>6328.96</v>
      </c>
      <c r="G41" s="10">
        <f t="shared" si="1"/>
        <v>759475.19999999995</v>
      </c>
    </row>
    <row r="42" spans="1:7" ht="17" thickBot="1" x14ac:dyDescent="0.25">
      <c r="A42" s="9" t="s">
        <v>1133</v>
      </c>
      <c r="B42" s="76"/>
      <c r="C42" s="9" t="s">
        <v>36</v>
      </c>
      <c r="D42" s="9"/>
      <c r="E42" s="9">
        <v>240</v>
      </c>
      <c r="F42" s="10">
        <v>9048</v>
      </c>
      <c r="G42" s="10">
        <f t="shared" si="1"/>
        <v>2171520</v>
      </c>
    </row>
    <row r="43" spans="1:7" ht="17" thickBot="1" x14ac:dyDescent="0.25">
      <c r="A43" s="2"/>
      <c r="B43" s="77"/>
      <c r="C43" s="2"/>
      <c r="D43" s="2"/>
      <c r="E43" s="2"/>
      <c r="F43" s="2"/>
      <c r="G43" s="103">
        <f>SUM(G35:G42)</f>
        <v>7545475.2000000002</v>
      </c>
    </row>
    <row r="44" spans="1:7" ht="17" thickBot="1" x14ac:dyDescent="0.25">
      <c r="A44" s="30" t="s">
        <v>2078</v>
      </c>
      <c r="B44" s="77"/>
      <c r="C44" s="2"/>
      <c r="D44" s="2"/>
      <c r="E44" s="2"/>
      <c r="F44" s="2"/>
      <c r="G44" s="107"/>
    </row>
    <row r="45" spans="1:7" ht="17" thickBot="1" x14ac:dyDescent="0.25">
      <c r="A45" s="9" t="s">
        <v>131</v>
      </c>
      <c r="B45" s="76"/>
      <c r="C45" s="9" t="s">
        <v>36</v>
      </c>
      <c r="D45" s="9" t="s">
        <v>2079</v>
      </c>
      <c r="E45" s="9">
        <v>60</v>
      </c>
      <c r="F45" s="9">
        <v>5800</v>
      </c>
      <c r="G45" s="243">
        <f>F45*E45</f>
        <v>348000</v>
      </c>
    </row>
    <row r="46" spans="1:7" ht="17" thickBot="1" x14ac:dyDescent="0.25">
      <c r="A46" s="9" t="s">
        <v>242</v>
      </c>
      <c r="B46" s="76"/>
      <c r="C46" s="9"/>
      <c r="D46" s="9" t="s">
        <v>2080</v>
      </c>
      <c r="E46" s="9">
        <v>120</v>
      </c>
      <c r="F46" s="9">
        <v>13920</v>
      </c>
      <c r="G46" s="243">
        <f>F46*E46</f>
        <v>1670400</v>
      </c>
    </row>
    <row r="47" spans="1:7" ht="17" thickBot="1" x14ac:dyDescent="0.25">
      <c r="A47" s="9" t="s">
        <v>131</v>
      </c>
      <c r="B47" s="76"/>
      <c r="C47" s="9"/>
      <c r="D47" s="9" t="s">
        <v>2081</v>
      </c>
      <c r="E47" s="9">
        <v>24</v>
      </c>
      <c r="F47" s="9">
        <v>25636</v>
      </c>
      <c r="G47" s="243">
        <f>F47*E47</f>
        <v>615264</v>
      </c>
    </row>
    <row r="48" spans="1:7" ht="17" thickBot="1" x14ac:dyDescent="0.25">
      <c r="A48" s="2"/>
      <c r="B48" s="77"/>
      <c r="C48" s="2"/>
      <c r="D48" s="2"/>
      <c r="E48" s="2"/>
      <c r="F48" s="2"/>
      <c r="G48" s="103">
        <f>SUM(G45:G47)</f>
        <v>2633664</v>
      </c>
    </row>
    <row r="50" spans="1:13" s="2" customFormat="1" ht="18" thickBot="1" x14ac:dyDescent="0.25">
      <c r="A50" s="7" t="s">
        <v>637</v>
      </c>
      <c r="B50" s="80"/>
      <c r="C50" s="80"/>
      <c r="D50" s="2" t="s">
        <v>635</v>
      </c>
      <c r="E50" s="2" t="s">
        <v>636</v>
      </c>
      <c r="G50" s="3"/>
    </row>
    <row r="51" spans="1:13" s="2" customFormat="1" ht="18" thickBot="1" x14ac:dyDescent="0.25">
      <c r="A51" s="8" t="s">
        <v>58</v>
      </c>
      <c r="B51" s="75"/>
      <c r="C51" s="9" t="s">
        <v>28</v>
      </c>
      <c r="D51" s="9" t="s">
        <v>264</v>
      </c>
      <c r="E51" s="9">
        <v>81</v>
      </c>
      <c r="F51" s="10">
        <v>136764</v>
      </c>
      <c r="G51" s="15">
        <f>F51*E51</f>
        <v>11077884</v>
      </c>
      <c r="H51" s="18">
        <v>81</v>
      </c>
      <c r="I51" s="19">
        <v>136764</v>
      </c>
      <c r="J51" s="52">
        <f>I51*H51</f>
        <v>11077884</v>
      </c>
    </row>
    <row r="54" spans="1:13" ht="17" thickBot="1" x14ac:dyDescent="0.25">
      <c r="A54" s="30" t="s">
        <v>1163</v>
      </c>
      <c r="B54" s="74"/>
      <c r="C54" s="2" t="s">
        <v>1162</v>
      </c>
      <c r="D54" s="2" t="s">
        <v>1161</v>
      </c>
      <c r="E54" s="2"/>
      <c r="F54" s="2"/>
      <c r="G54" s="2"/>
    </row>
    <row r="55" spans="1:13" ht="17" thickBot="1" x14ac:dyDescent="0.25">
      <c r="A55" s="9" t="s">
        <v>140</v>
      </c>
      <c r="B55" s="76"/>
      <c r="C55" s="9" t="s">
        <v>36</v>
      </c>
      <c r="D55" s="9" t="s">
        <v>1160</v>
      </c>
      <c r="E55" s="9">
        <v>10</v>
      </c>
      <c r="F55" s="10">
        <v>11716</v>
      </c>
      <c r="G55" s="10">
        <f>F55*E55</f>
        <v>117160</v>
      </c>
    </row>
    <row r="56" spans="1:13" ht="17" thickBot="1" x14ac:dyDescent="0.25">
      <c r="A56" s="9" t="s">
        <v>140</v>
      </c>
      <c r="B56" s="76"/>
      <c r="C56" s="9" t="s">
        <v>36</v>
      </c>
      <c r="D56" s="9" t="s">
        <v>1159</v>
      </c>
      <c r="E56" s="9">
        <v>10</v>
      </c>
      <c r="F56" s="10">
        <v>13572</v>
      </c>
      <c r="G56" s="10">
        <f>F56*E56</f>
        <v>135720</v>
      </c>
    </row>
    <row r="57" spans="1:13" ht="17" thickBot="1" x14ac:dyDescent="0.25">
      <c r="A57" s="9" t="s">
        <v>240</v>
      </c>
      <c r="B57" s="76"/>
      <c r="C57" s="9" t="s">
        <v>36</v>
      </c>
      <c r="D57" s="9" t="s">
        <v>305</v>
      </c>
      <c r="E57" s="9">
        <v>15</v>
      </c>
      <c r="F57" s="10">
        <v>14384</v>
      </c>
      <c r="G57" s="10">
        <f>F57*E57</f>
        <v>215760</v>
      </c>
    </row>
    <row r="58" spans="1:13" ht="17" thickBot="1" x14ac:dyDescent="0.25">
      <c r="A58" s="2"/>
      <c r="B58" s="77"/>
      <c r="C58" s="2"/>
      <c r="D58" s="2"/>
      <c r="E58" s="2"/>
      <c r="F58" s="2"/>
      <c r="G58" s="103">
        <f>SUM(G55:G57)</f>
        <v>468640</v>
      </c>
    </row>
    <row r="59" spans="1:13" x14ac:dyDescent="0.2">
      <c r="A59" s="2"/>
      <c r="B59" s="77"/>
      <c r="C59" s="2"/>
      <c r="D59" s="2"/>
      <c r="E59" s="2"/>
      <c r="F59" s="2"/>
      <c r="G59" s="2"/>
    </row>
    <row r="61" spans="1:13" ht="17" thickBot="1" x14ac:dyDescent="0.25">
      <c r="A61" s="30" t="s">
        <v>1224</v>
      </c>
      <c r="B61" s="74"/>
      <c r="C61" s="2" t="s">
        <v>1206</v>
      </c>
      <c r="D61" s="2" t="s">
        <v>1207</v>
      </c>
      <c r="E61" s="2"/>
      <c r="F61" s="2"/>
      <c r="G61" s="2"/>
    </row>
    <row r="62" spans="1:13" ht="17" thickBot="1" x14ac:dyDescent="0.25">
      <c r="A62" s="9" t="s">
        <v>200</v>
      </c>
      <c r="B62" s="76" t="s">
        <v>920</v>
      </c>
      <c r="C62" s="9" t="s">
        <v>36</v>
      </c>
      <c r="D62" s="9" t="s">
        <v>204</v>
      </c>
      <c r="E62" s="9">
        <v>120</v>
      </c>
      <c r="F62" s="10">
        <v>12644</v>
      </c>
      <c r="G62" s="10">
        <f>F62*E62</f>
        <v>1517280</v>
      </c>
      <c r="H62" s="18"/>
      <c r="I62" s="180">
        <v>12644</v>
      </c>
      <c r="J62" s="19">
        <f>I62*H62</f>
        <v>0</v>
      </c>
      <c r="K62" s="92">
        <v>40</v>
      </c>
      <c r="L62" s="93">
        <v>12644</v>
      </c>
      <c r="M62" s="93">
        <f>L62*K62</f>
        <v>505760</v>
      </c>
    </row>
    <row r="63" spans="1:13" ht="17" thickBot="1" x14ac:dyDescent="0.25">
      <c r="A63" s="9" t="s">
        <v>220</v>
      </c>
      <c r="B63" s="76" t="s">
        <v>911</v>
      </c>
      <c r="C63" s="9" t="s">
        <v>36</v>
      </c>
      <c r="D63" s="9" t="s">
        <v>306</v>
      </c>
      <c r="E63" s="9">
        <v>72</v>
      </c>
      <c r="F63" s="10">
        <v>136764</v>
      </c>
      <c r="G63" s="10">
        <f t="shared" ref="G63:G105" si="2">F63*E63</f>
        <v>9847008</v>
      </c>
      <c r="H63" s="18">
        <v>18</v>
      </c>
      <c r="I63" s="180">
        <v>136764</v>
      </c>
      <c r="J63" s="19">
        <f t="shared" ref="J63:J105" si="3">I63*H63</f>
        <v>2461752</v>
      </c>
      <c r="K63" s="92">
        <v>54</v>
      </c>
      <c r="L63" s="93">
        <v>136764</v>
      </c>
      <c r="M63" s="93">
        <f t="shared" ref="M63:M105" si="4">L63*K63</f>
        <v>7385256</v>
      </c>
    </row>
    <row r="64" spans="1:13" ht="17" thickBot="1" x14ac:dyDescent="0.25">
      <c r="A64" s="9" t="s">
        <v>239</v>
      </c>
      <c r="B64" s="76" t="s">
        <v>1346</v>
      </c>
      <c r="C64" s="9" t="s">
        <v>36</v>
      </c>
      <c r="D64" s="9" t="s">
        <v>80</v>
      </c>
      <c r="E64" s="9">
        <v>60</v>
      </c>
      <c r="F64" s="10">
        <v>5452</v>
      </c>
      <c r="G64" s="10">
        <f t="shared" si="2"/>
        <v>327120</v>
      </c>
      <c r="H64" s="18">
        <v>20</v>
      </c>
      <c r="I64" s="180">
        <v>5452</v>
      </c>
      <c r="J64" s="19">
        <f t="shared" si="3"/>
        <v>109040</v>
      </c>
      <c r="K64" s="92"/>
      <c r="L64" s="93">
        <v>5452</v>
      </c>
      <c r="M64" s="93">
        <f t="shared" si="4"/>
        <v>0</v>
      </c>
    </row>
    <row r="65" spans="1:13" ht="17" thickBot="1" x14ac:dyDescent="0.25">
      <c r="A65" s="9" t="s">
        <v>46</v>
      </c>
      <c r="B65" s="76" t="s">
        <v>956</v>
      </c>
      <c r="C65" s="9" t="s">
        <v>36</v>
      </c>
      <c r="D65" s="9" t="s">
        <v>991</v>
      </c>
      <c r="E65" s="9">
        <v>120</v>
      </c>
      <c r="F65" s="10">
        <v>5220</v>
      </c>
      <c r="G65" s="10">
        <f t="shared" si="2"/>
        <v>626400</v>
      </c>
      <c r="H65" s="18"/>
      <c r="I65" s="180">
        <v>5220</v>
      </c>
      <c r="J65" s="19">
        <f t="shared" si="3"/>
        <v>0</v>
      </c>
      <c r="K65" s="92"/>
      <c r="L65" s="93">
        <v>5220</v>
      </c>
      <c r="M65" s="93">
        <f t="shared" si="4"/>
        <v>0</v>
      </c>
    </row>
    <row r="66" spans="1:13" ht="17" thickBot="1" x14ac:dyDescent="0.25">
      <c r="A66" s="9" t="s">
        <v>140</v>
      </c>
      <c r="B66" s="76" t="s">
        <v>1344</v>
      </c>
      <c r="C66" s="9" t="s">
        <v>36</v>
      </c>
      <c r="D66" s="9" t="s">
        <v>779</v>
      </c>
      <c r="E66" s="9">
        <v>100</v>
      </c>
      <c r="F66" s="10">
        <v>8700</v>
      </c>
      <c r="G66" s="10">
        <f t="shared" si="2"/>
        <v>870000</v>
      </c>
      <c r="H66" s="18"/>
      <c r="I66" s="180">
        <v>8700</v>
      </c>
      <c r="J66" s="19">
        <f t="shared" si="3"/>
        <v>0</v>
      </c>
      <c r="K66" s="92">
        <v>33</v>
      </c>
      <c r="L66" s="93">
        <v>8700</v>
      </c>
      <c r="M66" s="93">
        <f t="shared" si="4"/>
        <v>287100</v>
      </c>
    </row>
    <row r="67" spans="1:13" ht="17" thickBot="1" x14ac:dyDescent="0.25">
      <c r="A67" s="9" t="s">
        <v>140</v>
      </c>
      <c r="B67" s="76" t="s">
        <v>2033</v>
      </c>
      <c r="C67" s="9" t="s">
        <v>36</v>
      </c>
      <c r="D67" s="9" t="s">
        <v>1208</v>
      </c>
      <c r="E67" s="9">
        <v>60</v>
      </c>
      <c r="F67" s="10">
        <v>13108</v>
      </c>
      <c r="G67" s="10">
        <f t="shared" si="2"/>
        <v>786480</v>
      </c>
      <c r="H67" s="18">
        <v>20</v>
      </c>
      <c r="I67" s="180">
        <v>13108</v>
      </c>
      <c r="J67" s="19">
        <f t="shared" si="3"/>
        <v>262160</v>
      </c>
      <c r="K67" s="92"/>
      <c r="L67" s="93">
        <v>13108</v>
      </c>
      <c r="M67" s="93">
        <f t="shared" si="4"/>
        <v>0</v>
      </c>
    </row>
    <row r="68" spans="1:13" ht="17" thickBot="1" x14ac:dyDescent="0.25">
      <c r="A68" s="9" t="s">
        <v>140</v>
      </c>
      <c r="B68" s="76" t="s">
        <v>862</v>
      </c>
      <c r="C68" s="9" t="s">
        <v>36</v>
      </c>
      <c r="D68" s="9" t="s">
        <v>1209</v>
      </c>
      <c r="E68" s="9">
        <v>72</v>
      </c>
      <c r="F68" s="10">
        <v>8038.8</v>
      </c>
      <c r="G68" s="10">
        <f t="shared" si="2"/>
        <v>578793.6</v>
      </c>
      <c r="H68" s="18">
        <v>24</v>
      </c>
      <c r="I68" s="180">
        <v>8038.8</v>
      </c>
      <c r="J68" s="19">
        <f t="shared" si="3"/>
        <v>192931.20000000001</v>
      </c>
      <c r="K68" s="92"/>
      <c r="L68" s="93">
        <v>8038.8</v>
      </c>
      <c r="M68" s="93">
        <f t="shared" si="4"/>
        <v>0</v>
      </c>
    </row>
    <row r="69" spans="1:13" ht="17" thickBot="1" x14ac:dyDescent="0.25">
      <c r="A69" s="9" t="s">
        <v>1176</v>
      </c>
      <c r="B69" s="76" t="s">
        <v>2034</v>
      </c>
      <c r="C69" s="9" t="s">
        <v>36</v>
      </c>
      <c r="D69" s="9" t="s">
        <v>1210</v>
      </c>
      <c r="E69" s="9">
        <v>36</v>
      </c>
      <c r="F69" s="10">
        <v>9280</v>
      </c>
      <c r="G69" s="10">
        <f t="shared" si="2"/>
        <v>334080</v>
      </c>
      <c r="H69" s="18"/>
      <c r="I69" s="180">
        <v>9280</v>
      </c>
      <c r="J69" s="19">
        <f t="shared" si="3"/>
        <v>0</v>
      </c>
      <c r="K69" s="92">
        <v>12</v>
      </c>
      <c r="L69" s="93">
        <v>9280</v>
      </c>
      <c r="M69" s="93">
        <f t="shared" si="4"/>
        <v>111360</v>
      </c>
    </row>
    <row r="70" spans="1:13" ht="17" thickBot="1" x14ac:dyDescent="0.25">
      <c r="A70" s="9" t="s">
        <v>140</v>
      </c>
      <c r="B70" s="76" t="s">
        <v>2035</v>
      </c>
      <c r="C70" s="9" t="s">
        <v>36</v>
      </c>
      <c r="D70" s="9" t="s">
        <v>1211</v>
      </c>
      <c r="E70" s="9">
        <v>48</v>
      </c>
      <c r="F70" s="10">
        <v>7540</v>
      </c>
      <c r="G70" s="10">
        <f t="shared" si="2"/>
        <v>361920</v>
      </c>
      <c r="H70" s="18"/>
      <c r="I70" s="180">
        <v>7540</v>
      </c>
      <c r="J70" s="19">
        <f t="shared" si="3"/>
        <v>0</v>
      </c>
      <c r="K70" s="92">
        <v>16</v>
      </c>
      <c r="L70" s="93">
        <v>7540</v>
      </c>
      <c r="M70" s="93">
        <f t="shared" si="4"/>
        <v>120640</v>
      </c>
    </row>
    <row r="71" spans="1:13" ht="17" thickBot="1" x14ac:dyDescent="0.25">
      <c r="A71" s="9" t="s">
        <v>290</v>
      </c>
      <c r="B71" s="76" t="s">
        <v>1332</v>
      </c>
      <c r="C71" s="9" t="s">
        <v>36</v>
      </c>
      <c r="D71" s="9" t="s">
        <v>1212</v>
      </c>
      <c r="E71" s="9">
        <v>432</v>
      </c>
      <c r="F71" s="10">
        <v>3306</v>
      </c>
      <c r="G71" s="10">
        <f t="shared" si="2"/>
        <v>1428192</v>
      </c>
      <c r="H71" s="18">
        <v>20</v>
      </c>
      <c r="I71" s="180">
        <v>3306</v>
      </c>
      <c r="J71" s="19">
        <f t="shared" si="3"/>
        <v>66120</v>
      </c>
      <c r="K71" s="92">
        <v>124</v>
      </c>
      <c r="L71" s="93">
        <v>3306</v>
      </c>
      <c r="M71" s="93">
        <f t="shared" si="4"/>
        <v>409944</v>
      </c>
    </row>
    <row r="72" spans="1:13" ht="17" thickBot="1" x14ac:dyDescent="0.25">
      <c r="A72" s="9" t="s">
        <v>285</v>
      </c>
      <c r="B72" s="76" t="s">
        <v>1960</v>
      </c>
      <c r="C72" s="9" t="s">
        <v>36</v>
      </c>
      <c r="D72" s="9" t="s">
        <v>1213</v>
      </c>
      <c r="E72" s="9">
        <v>48</v>
      </c>
      <c r="F72" s="10">
        <v>2668</v>
      </c>
      <c r="G72" s="10">
        <f t="shared" si="2"/>
        <v>128064</v>
      </c>
      <c r="H72" s="18">
        <v>16</v>
      </c>
      <c r="I72" s="180">
        <v>2668</v>
      </c>
      <c r="J72" s="19">
        <f t="shared" si="3"/>
        <v>42688</v>
      </c>
      <c r="K72" s="92"/>
      <c r="L72" s="93">
        <v>2668</v>
      </c>
      <c r="M72" s="93">
        <f t="shared" si="4"/>
        <v>0</v>
      </c>
    </row>
    <row r="73" spans="1:13" ht="17" thickBot="1" x14ac:dyDescent="0.25">
      <c r="A73" s="9" t="s">
        <v>602</v>
      </c>
      <c r="B73" s="76" t="s">
        <v>2036</v>
      </c>
      <c r="C73" s="9" t="s">
        <v>36</v>
      </c>
      <c r="D73" s="9" t="s">
        <v>1214</v>
      </c>
      <c r="E73" s="9">
        <v>12</v>
      </c>
      <c r="F73" s="10">
        <v>6564.44</v>
      </c>
      <c r="G73" s="10">
        <f t="shared" si="2"/>
        <v>78773.279999999999</v>
      </c>
      <c r="H73" s="18">
        <v>4</v>
      </c>
      <c r="I73" s="180">
        <v>6564.44</v>
      </c>
      <c r="J73" s="19">
        <f t="shared" si="3"/>
        <v>26257.759999999998</v>
      </c>
      <c r="K73" s="92"/>
      <c r="L73" s="93">
        <v>6564.44</v>
      </c>
      <c r="M73" s="93">
        <f t="shared" si="4"/>
        <v>0</v>
      </c>
    </row>
    <row r="74" spans="1:13" ht="17" thickBot="1" x14ac:dyDescent="0.25">
      <c r="A74" s="9" t="s">
        <v>240</v>
      </c>
      <c r="B74" s="76" t="s">
        <v>906</v>
      </c>
      <c r="C74" s="9" t="s">
        <v>36</v>
      </c>
      <c r="D74" s="9" t="s">
        <v>791</v>
      </c>
      <c r="E74" s="9">
        <v>60</v>
      </c>
      <c r="F74" s="10">
        <v>15776</v>
      </c>
      <c r="G74" s="10">
        <f t="shared" si="2"/>
        <v>946560</v>
      </c>
      <c r="H74" s="18"/>
      <c r="I74" s="180">
        <v>15776</v>
      </c>
      <c r="J74" s="19">
        <f t="shared" si="3"/>
        <v>0</v>
      </c>
      <c r="K74" s="92"/>
      <c r="L74" s="93">
        <v>15776</v>
      </c>
      <c r="M74" s="93">
        <f t="shared" si="4"/>
        <v>0</v>
      </c>
    </row>
    <row r="75" spans="1:13" ht="17" thickBot="1" x14ac:dyDescent="0.25">
      <c r="A75" s="9" t="s">
        <v>45</v>
      </c>
      <c r="B75" s="76" t="s">
        <v>905</v>
      </c>
      <c r="C75" s="9" t="s">
        <v>36</v>
      </c>
      <c r="D75" s="9" t="s">
        <v>52</v>
      </c>
      <c r="E75" s="9">
        <v>60</v>
      </c>
      <c r="F75" s="10">
        <v>11252</v>
      </c>
      <c r="G75" s="10">
        <f t="shared" si="2"/>
        <v>675120</v>
      </c>
      <c r="H75" s="18">
        <v>8</v>
      </c>
      <c r="I75" s="180">
        <v>11252</v>
      </c>
      <c r="J75" s="19">
        <f t="shared" si="3"/>
        <v>90016</v>
      </c>
      <c r="K75" s="92">
        <v>4</v>
      </c>
      <c r="L75" s="93">
        <v>11252</v>
      </c>
      <c r="M75" s="93">
        <f t="shared" si="4"/>
        <v>45008</v>
      </c>
    </row>
    <row r="76" spans="1:13" ht="17" thickBot="1" x14ac:dyDescent="0.25">
      <c r="A76" s="9" t="s">
        <v>45</v>
      </c>
      <c r="B76" s="76" t="s">
        <v>861</v>
      </c>
      <c r="C76" s="9" t="s">
        <v>36</v>
      </c>
      <c r="D76" s="9" t="s">
        <v>659</v>
      </c>
      <c r="E76" s="9">
        <v>60</v>
      </c>
      <c r="F76" s="10">
        <v>788.8</v>
      </c>
      <c r="G76" s="10">
        <f t="shared" si="2"/>
        <v>47328</v>
      </c>
      <c r="H76" s="18"/>
      <c r="I76" s="180">
        <v>788.8</v>
      </c>
      <c r="J76" s="19">
        <f t="shared" si="3"/>
        <v>0</v>
      </c>
      <c r="K76" s="92">
        <v>20</v>
      </c>
      <c r="L76" s="93">
        <v>788.8</v>
      </c>
      <c r="M76" s="93">
        <f t="shared" si="4"/>
        <v>15776</v>
      </c>
    </row>
    <row r="77" spans="1:13" ht="17" thickBot="1" x14ac:dyDescent="0.25">
      <c r="A77" s="9" t="s">
        <v>46</v>
      </c>
      <c r="B77" s="76" t="s">
        <v>2037</v>
      </c>
      <c r="C77" s="9" t="s">
        <v>36</v>
      </c>
      <c r="D77" s="9" t="s">
        <v>1215</v>
      </c>
      <c r="E77" s="9">
        <v>120</v>
      </c>
      <c r="F77" s="10">
        <v>5800</v>
      </c>
      <c r="G77" s="10">
        <f t="shared" si="2"/>
        <v>696000</v>
      </c>
      <c r="H77" s="18"/>
      <c r="I77" s="180">
        <v>5800</v>
      </c>
      <c r="J77" s="19">
        <f t="shared" si="3"/>
        <v>0</v>
      </c>
      <c r="K77" s="92"/>
      <c r="L77" s="93">
        <v>5800</v>
      </c>
      <c r="M77" s="93">
        <f t="shared" si="4"/>
        <v>0</v>
      </c>
    </row>
    <row r="78" spans="1:13" ht="17" thickBot="1" x14ac:dyDescent="0.25">
      <c r="A78" s="9" t="s">
        <v>239</v>
      </c>
      <c r="B78" s="76" t="s">
        <v>1563</v>
      </c>
      <c r="C78" s="9" t="s">
        <v>36</v>
      </c>
      <c r="D78" s="9" t="s">
        <v>732</v>
      </c>
      <c r="E78" s="9">
        <v>60</v>
      </c>
      <c r="F78" s="10">
        <v>6264</v>
      </c>
      <c r="G78" s="10">
        <f t="shared" si="2"/>
        <v>375840</v>
      </c>
      <c r="H78" s="18">
        <v>20</v>
      </c>
      <c r="I78" s="180">
        <v>6264</v>
      </c>
      <c r="J78" s="19">
        <f t="shared" si="3"/>
        <v>125280</v>
      </c>
      <c r="K78" s="92"/>
      <c r="L78" s="93">
        <v>6264</v>
      </c>
      <c r="M78" s="93">
        <f t="shared" si="4"/>
        <v>0</v>
      </c>
    </row>
    <row r="79" spans="1:13" ht="17" thickBot="1" x14ac:dyDescent="0.25">
      <c r="A79" s="9" t="s">
        <v>45</v>
      </c>
      <c r="B79" s="76" t="s">
        <v>1277</v>
      </c>
      <c r="C79" s="9" t="s">
        <v>36</v>
      </c>
      <c r="D79" s="9" t="s">
        <v>1216</v>
      </c>
      <c r="E79" s="9">
        <v>12</v>
      </c>
      <c r="F79" s="10">
        <v>6728</v>
      </c>
      <c r="G79" s="10">
        <f t="shared" si="2"/>
        <v>80736</v>
      </c>
      <c r="H79" s="18"/>
      <c r="I79" s="180">
        <v>6728</v>
      </c>
      <c r="J79" s="19">
        <f t="shared" si="3"/>
        <v>0</v>
      </c>
      <c r="K79" s="92"/>
      <c r="L79" s="93">
        <v>6728</v>
      </c>
      <c r="M79" s="93">
        <f t="shared" si="4"/>
        <v>0</v>
      </c>
    </row>
    <row r="80" spans="1:13" ht="17" thickBot="1" x14ac:dyDescent="0.25">
      <c r="A80" s="9" t="s">
        <v>140</v>
      </c>
      <c r="B80" s="76" t="s">
        <v>919</v>
      </c>
      <c r="C80" s="9" t="s">
        <v>36</v>
      </c>
      <c r="D80" s="9" t="s">
        <v>1217</v>
      </c>
      <c r="E80" s="9">
        <v>12</v>
      </c>
      <c r="F80" s="10">
        <v>8108.4</v>
      </c>
      <c r="G80" s="10">
        <f t="shared" si="2"/>
        <v>97300.799999999988</v>
      </c>
      <c r="H80" s="18">
        <v>4</v>
      </c>
      <c r="I80" s="180">
        <v>8108.4</v>
      </c>
      <c r="J80" s="19">
        <f t="shared" si="3"/>
        <v>32433.599999999999</v>
      </c>
      <c r="K80" s="92"/>
      <c r="L80" s="93">
        <v>8108.4</v>
      </c>
      <c r="M80" s="93">
        <f t="shared" si="4"/>
        <v>0</v>
      </c>
    </row>
    <row r="81" spans="1:13" ht="17" thickBot="1" x14ac:dyDescent="0.25">
      <c r="A81" s="9" t="s">
        <v>240</v>
      </c>
      <c r="B81" s="76" t="s">
        <v>881</v>
      </c>
      <c r="C81" s="9" t="s">
        <v>36</v>
      </c>
      <c r="D81" s="9" t="s">
        <v>1218</v>
      </c>
      <c r="E81" s="9">
        <v>276</v>
      </c>
      <c r="F81" s="10">
        <v>5333.68</v>
      </c>
      <c r="G81" s="10">
        <f t="shared" si="2"/>
        <v>1472095.6800000002</v>
      </c>
      <c r="H81" s="18"/>
      <c r="I81" s="180">
        <v>5333.68</v>
      </c>
      <c r="J81" s="19">
        <f t="shared" si="3"/>
        <v>0</v>
      </c>
      <c r="K81" s="92">
        <v>92</v>
      </c>
      <c r="L81" s="93">
        <v>5333.68</v>
      </c>
      <c r="M81" s="93">
        <f t="shared" si="4"/>
        <v>490698.56000000006</v>
      </c>
    </row>
    <row r="82" spans="1:13" ht="17" thickBot="1" x14ac:dyDescent="0.25">
      <c r="A82" s="9" t="s">
        <v>58</v>
      </c>
      <c r="B82" s="76" t="s">
        <v>893</v>
      </c>
      <c r="C82" s="9" t="s">
        <v>36</v>
      </c>
      <c r="D82" s="9" t="s">
        <v>333</v>
      </c>
      <c r="E82" s="9">
        <v>130</v>
      </c>
      <c r="F82" s="10">
        <v>136764</v>
      </c>
      <c r="G82" s="10">
        <f t="shared" si="2"/>
        <v>17779320</v>
      </c>
      <c r="H82" s="18">
        <v>17</v>
      </c>
      <c r="I82" s="180">
        <v>136764</v>
      </c>
      <c r="J82" s="19">
        <f t="shared" si="3"/>
        <v>2324988</v>
      </c>
      <c r="K82" s="92"/>
      <c r="L82" s="93">
        <v>136764</v>
      </c>
      <c r="M82" s="93">
        <f t="shared" si="4"/>
        <v>0</v>
      </c>
    </row>
    <row r="83" spans="1:13" ht="17" thickBot="1" x14ac:dyDescent="0.25">
      <c r="A83" s="9" t="s">
        <v>45</v>
      </c>
      <c r="B83" s="76" t="s">
        <v>832</v>
      </c>
      <c r="C83" s="9" t="s">
        <v>36</v>
      </c>
      <c r="D83" s="9" t="s">
        <v>1219</v>
      </c>
      <c r="E83" s="9">
        <v>60</v>
      </c>
      <c r="F83" s="10">
        <v>754</v>
      </c>
      <c r="G83" s="10">
        <f t="shared" si="2"/>
        <v>45240</v>
      </c>
      <c r="H83" s="18"/>
      <c r="I83" s="180">
        <v>754</v>
      </c>
      <c r="J83" s="19">
        <f t="shared" si="3"/>
        <v>0</v>
      </c>
      <c r="K83" s="92"/>
      <c r="L83" s="93">
        <v>754</v>
      </c>
      <c r="M83" s="93">
        <f t="shared" si="4"/>
        <v>0</v>
      </c>
    </row>
    <row r="84" spans="1:13" ht="17" thickBot="1" x14ac:dyDescent="0.25">
      <c r="A84" s="9" t="s">
        <v>45</v>
      </c>
      <c r="B84" s="76" t="s">
        <v>876</v>
      </c>
      <c r="C84" s="9" t="s">
        <v>36</v>
      </c>
      <c r="D84" s="9" t="s">
        <v>39</v>
      </c>
      <c r="E84" s="9">
        <v>60</v>
      </c>
      <c r="F84" s="10">
        <v>7308</v>
      </c>
      <c r="G84" s="10">
        <f t="shared" si="2"/>
        <v>438480</v>
      </c>
      <c r="H84" s="18"/>
      <c r="I84" s="180">
        <v>7308</v>
      </c>
      <c r="J84" s="19">
        <f t="shared" si="3"/>
        <v>0</v>
      </c>
      <c r="K84" s="92"/>
      <c r="L84" s="93">
        <v>7308</v>
      </c>
      <c r="M84" s="93">
        <f t="shared" si="4"/>
        <v>0</v>
      </c>
    </row>
    <row r="85" spans="1:13" ht="17" thickBot="1" x14ac:dyDescent="0.25">
      <c r="A85" s="9" t="s">
        <v>1220</v>
      </c>
      <c r="B85" s="76" t="s">
        <v>848</v>
      </c>
      <c r="C85" s="9" t="s">
        <v>36</v>
      </c>
      <c r="D85" s="9" t="s">
        <v>79</v>
      </c>
      <c r="E85" s="9">
        <v>60</v>
      </c>
      <c r="F85" s="10">
        <v>10092</v>
      </c>
      <c r="G85" s="10">
        <f t="shared" si="2"/>
        <v>605520</v>
      </c>
      <c r="H85" s="18"/>
      <c r="I85" s="180">
        <v>10092</v>
      </c>
      <c r="J85" s="19">
        <f t="shared" si="3"/>
        <v>0</v>
      </c>
      <c r="K85" s="92"/>
      <c r="L85" s="93">
        <v>10092</v>
      </c>
      <c r="M85" s="93">
        <f t="shared" si="4"/>
        <v>0</v>
      </c>
    </row>
    <row r="86" spans="1:13" ht="17" thickBot="1" x14ac:dyDescent="0.25">
      <c r="A86" s="9" t="s">
        <v>240</v>
      </c>
      <c r="B86" s="76" t="s">
        <v>881</v>
      </c>
      <c r="C86" s="9" t="s">
        <v>36</v>
      </c>
      <c r="D86" s="9" t="s">
        <v>1218</v>
      </c>
      <c r="E86" s="9">
        <v>120</v>
      </c>
      <c r="F86" s="10">
        <v>3248</v>
      </c>
      <c r="G86" s="10">
        <f t="shared" si="2"/>
        <v>389760</v>
      </c>
      <c r="H86" s="18"/>
      <c r="I86" s="180">
        <v>3248</v>
      </c>
      <c r="J86" s="19">
        <f t="shared" si="3"/>
        <v>0</v>
      </c>
      <c r="K86" s="92"/>
      <c r="L86" s="93">
        <v>3248</v>
      </c>
      <c r="M86" s="93">
        <f t="shared" si="4"/>
        <v>0</v>
      </c>
    </row>
    <row r="87" spans="1:13" ht="17" thickBot="1" x14ac:dyDescent="0.25">
      <c r="A87" s="9" t="s">
        <v>45</v>
      </c>
      <c r="B87" s="76" t="s">
        <v>914</v>
      </c>
      <c r="C87" s="9" t="s">
        <v>36</v>
      </c>
      <c r="D87" s="9" t="s">
        <v>780</v>
      </c>
      <c r="E87" s="9">
        <v>48</v>
      </c>
      <c r="F87" s="10">
        <v>10208</v>
      </c>
      <c r="G87" s="10">
        <f t="shared" si="2"/>
        <v>489984</v>
      </c>
      <c r="H87" s="18"/>
      <c r="I87" s="180">
        <v>10208</v>
      </c>
      <c r="J87" s="19">
        <f t="shared" si="3"/>
        <v>0</v>
      </c>
      <c r="K87" s="92">
        <v>16</v>
      </c>
      <c r="L87" s="93">
        <v>10208</v>
      </c>
      <c r="M87" s="93">
        <f t="shared" si="4"/>
        <v>163328</v>
      </c>
    </row>
    <row r="88" spans="1:13" ht="17" thickBot="1" x14ac:dyDescent="0.25">
      <c r="A88" s="9" t="s">
        <v>238</v>
      </c>
      <c r="B88" s="76" t="s">
        <v>1565</v>
      </c>
      <c r="C88" s="9" t="s">
        <v>36</v>
      </c>
      <c r="D88" s="9" t="s">
        <v>1111</v>
      </c>
      <c r="E88" s="9">
        <v>24</v>
      </c>
      <c r="F88" s="10">
        <v>14262.2</v>
      </c>
      <c r="G88" s="10">
        <f t="shared" si="2"/>
        <v>342292.80000000005</v>
      </c>
      <c r="H88" s="18"/>
      <c r="I88" s="180">
        <v>14262.2</v>
      </c>
      <c r="J88" s="19">
        <f t="shared" si="3"/>
        <v>0</v>
      </c>
      <c r="K88" s="92">
        <v>8</v>
      </c>
      <c r="L88" s="93">
        <v>14262.2</v>
      </c>
      <c r="M88" s="93">
        <f t="shared" si="4"/>
        <v>114097.60000000001</v>
      </c>
    </row>
    <row r="89" spans="1:13" ht="17" thickBot="1" x14ac:dyDescent="0.25">
      <c r="A89" s="9" t="s">
        <v>285</v>
      </c>
      <c r="B89" s="76" t="s">
        <v>2038</v>
      </c>
      <c r="C89" s="9" t="s">
        <v>36</v>
      </c>
      <c r="D89" s="9" t="s">
        <v>53</v>
      </c>
      <c r="E89" s="9">
        <v>60</v>
      </c>
      <c r="F89" s="10">
        <v>10904</v>
      </c>
      <c r="G89" s="10">
        <f t="shared" si="2"/>
        <v>654240</v>
      </c>
      <c r="H89" s="18">
        <v>20</v>
      </c>
      <c r="I89" s="180">
        <v>10904</v>
      </c>
      <c r="J89" s="19">
        <f t="shared" si="3"/>
        <v>218080</v>
      </c>
      <c r="K89" s="92"/>
      <c r="L89" s="93">
        <v>10904</v>
      </c>
      <c r="M89" s="93">
        <f t="shared" si="4"/>
        <v>0</v>
      </c>
    </row>
    <row r="90" spans="1:13" ht="17" thickBot="1" x14ac:dyDescent="0.25">
      <c r="A90" s="9" t="s">
        <v>46</v>
      </c>
      <c r="B90" s="76" t="s">
        <v>2037</v>
      </c>
      <c r="C90" s="9" t="s">
        <v>36</v>
      </c>
      <c r="D90" s="9" t="s">
        <v>54</v>
      </c>
      <c r="E90" s="9">
        <v>120</v>
      </c>
      <c r="F90" s="10">
        <v>9048</v>
      </c>
      <c r="G90" s="10">
        <f t="shared" si="2"/>
        <v>1085760</v>
      </c>
      <c r="H90" s="18">
        <v>40</v>
      </c>
      <c r="I90" s="180">
        <v>9048</v>
      </c>
      <c r="J90" s="19">
        <f t="shared" si="3"/>
        <v>361920</v>
      </c>
      <c r="K90" s="92"/>
      <c r="L90" s="93">
        <v>9048</v>
      </c>
      <c r="M90" s="93">
        <f t="shared" si="4"/>
        <v>0</v>
      </c>
    </row>
    <row r="91" spans="1:13" ht="17" thickBot="1" x14ac:dyDescent="0.25">
      <c r="A91" s="9" t="s">
        <v>45</v>
      </c>
      <c r="B91" s="76" t="s">
        <v>832</v>
      </c>
      <c r="C91" s="9" t="s">
        <v>36</v>
      </c>
      <c r="D91" s="9" t="s">
        <v>40</v>
      </c>
      <c r="E91" s="9">
        <v>30</v>
      </c>
      <c r="F91" s="10">
        <v>928</v>
      </c>
      <c r="G91" s="10">
        <f t="shared" si="2"/>
        <v>27840</v>
      </c>
      <c r="H91" s="18"/>
      <c r="I91" s="180">
        <v>928</v>
      </c>
      <c r="J91" s="19">
        <f t="shared" si="3"/>
        <v>0</v>
      </c>
      <c r="K91" s="92"/>
      <c r="L91" s="93">
        <v>928</v>
      </c>
      <c r="M91" s="93">
        <f t="shared" si="4"/>
        <v>0</v>
      </c>
    </row>
    <row r="92" spans="1:13" ht="17" thickBot="1" x14ac:dyDescent="0.25">
      <c r="A92" s="9" t="s">
        <v>283</v>
      </c>
      <c r="B92" s="76" t="s">
        <v>842</v>
      </c>
      <c r="C92" s="9" t="s">
        <v>36</v>
      </c>
      <c r="D92" s="9" t="s">
        <v>311</v>
      </c>
      <c r="E92" s="9">
        <v>240</v>
      </c>
      <c r="F92" s="10">
        <v>5220</v>
      </c>
      <c r="G92" s="10">
        <f t="shared" si="2"/>
        <v>1252800</v>
      </c>
      <c r="H92" s="18"/>
      <c r="I92" s="180">
        <v>5220</v>
      </c>
      <c r="J92" s="19">
        <f t="shared" si="3"/>
        <v>0</v>
      </c>
      <c r="K92" s="92"/>
      <c r="L92" s="93">
        <v>5220</v>
      </c>
      <c r="M92" s="93">
        <f t="shared" si="4"/>
        <v>0</v>
      </c>
    </row>
    <row r="93" spans="1:13" ht="17" thickBot="1" x14ac:dyDescent="0.25">
      <c r="A93" s="9" t="s">
        <v>140</v>
      </c>
      <c r="B93" s="76" t="s">
        <v>1335</v>
      </c>
      <c r="C93" s="9" t="s">
        <v>36</v>
      </c>
      <c r="D93" s="9" t="s">
        <v>1221</v>
      </c>
      <c r="E93" s="9">
        <v>48</v>
      </c>
      <c r="F93" s="10">
        <v>12180</v>
      </c>
      <c r="G93" s="10">
        <f t="shared" si="2"/>
        <v>584640</v>
      </c>
      <c r="H93" s="18"/>
      <c r="I93" s="180">
        <v>12180</v>
      </c>
      <c r="J93" s="19">
        <f t="shared" si="3"/>
        <v>0</v>
      </c>
      <c r="K93" s="92">
        <v>16</v>
      </c>
      <c r="L93" s="93">
        <v>12180</v>
      </c>
      <c r="M93" s="93">
        <f t="shared" si="4"/>
        <v>194880</v>
      </c>
    </row>
    <row r="94" spans="1:13" ht="17" thickBot="1" x14ac:dyDescent="0.25">
      <c r="A94" s="9" t="s">
        <v>283</v>
      </c>
      <c r="B94" s="76" t="s">
        <v>835</v>
      </c>
      <c r="C94" s="9" t="s">
        <v>36</v>
      </c>
      <c r="D94" s="9" t="s">
        <v>297</v>
      </c>
      <c r="E94" s="9">
        <v>24</v>
      </c>
      <c r="F94" s="10">
        <v>2900</v>
      </c>
      <c r="G94" s="10">
        <f t="shared" si="2"/>
        <v>69600</v>
      </c>
      <c r="H94" s="18"/>
      <c r="I94" s="180">
        <v>2900</v>
      </c>
      <c r="J94" s="19">
        <f t="shared" si="3"/>
        <v>0</v>
      </c>
      <c r="K94" s="92">
        <v>8</v>
      </c>
      <c r="L94" s="93">
        <v>2900</v>
      </c>
      <c r="M94" s="93">
        <f t="shared" si="4"/>
        <v>23200</v>
      </c>
    </row>
    <row r="95" spans="1:13" ht="17" thickBot="1" x14ac:dyDescent="0.25">
      <c r="A95" s="9" t="s">
        <v>285</v>
      </c>
      <c r="B95" s="76" t="s">
        <v>1336</v>
      </c>
      <c r="C95" s="9" t="s">
        <v>36</v>
      </c>
      <c r="D95" s="9" t="s">
        <v>1222</v>
      </c>
      <c r="E95" s="9">
        <v>6</v>
      </c>
      <c r="F95" s="10">
        <v>9396</v>
      </c>
      <c r="G95" s="10">
        <f t="shared" si="2"/>
        <v>56376</v>
      </c>
      <c r="H95" s="18">
        <v>2</v>
      </c>
      <c r="I95" s="180">
        <v>9396</v>
      </c>
      <c r="J95" s="19">
        <f t="shared" si="3"/>
        <v>18792</v>
      </c>
      <c r="K95" s="92"/>
      <c r="L95" s="93">
        <v>9396</v>
      </c>
      <c r="M95" s="93">
        <f t="shared" si="4"/>
        <v>0</v>
      </c>
    </row>
    <row r="96" spans="1:13" ht="17" thickBot="1" x14ac:dyDescent="0.25">
      <c r="A96" s="9" t="s">
        <v>45</v>
      </c>
      <c r="B96" s="76" t="s">
        <v>900</v>
      </c>
      <c r="C96" s="9" t="s">
        <v>36</v>
      </c>
      <c r="D96" s="9" t="s">
        <v>345</v>
      </c>
      <c r="E96" s="9">
        <v>60</v>
      </c>
      <c r="F96" s="10">
        <v>1740</v>
      </c>
      <c r="G96" s="10">
        <f t="shared" si="2"/>
        <v>104400</v>
      </c>
      <c r="H96" s="18"/>
      <c r="I96" s="180">
        <v>1740</v>
      </c>
      <c r="J96" s="19">
        <f t="shared" si="3"/>
        <v>0</v>
      </c>
      <c r="K96" s="92"/>
      <c r="L96" s="93">
        <v>1740</v>
      </c>
      <c r="M96" s="93">
        <f t="shared" si="4"/>
        <v>0</v>
      </c>
    </row>
    <row r="97" spans="1:16" ht="17" thickBot="1" x14ac:dyDescent="0.25">
      <c r="A97" s="9" t="s">
        <v>45</v>
      </c>
      <c r="B97" s="76" t="s">
        <v>900</v>
      </c>
      <c r="C97" s="9" t="s">
        <v>36</v>
      </c>
      <c r="D97" s="9" t="s">
        <v>345</v>
      </c>
      <c r="E97" s="9">
        <v>60</v>
      </c>
      <c r="F97" s="10">
        <v>1740</v>
      </c>
      <c r="G97" s="10">
        <f t="shared" si="2"/>
        <v>104400</v>
      </c>
      <c r="H97" s="18"/>
      <c r="I97" s="180">
        <v>1740</v>
      </c>
      <c r="J97" s="19">
        <f t="shared" si="3"/>
        <v>0</v>
      </c>
      <c r="K97" s="92"/>
      <c r="L97" s="93">
        <v>1740</v>
      </c>
      <c r="M97" s="93">
        <f t="shared" si="4"/>
        <v>0</v>
      </c>
    </row>
    <row r="98" spans="1:16" ht="17" thickBot="1" x14ac:dyDescent="0.25">
      <c r="A98" s="9" t="s">
        <v>239</v>
      </c>
      <c r="B98" s="76" t="s">
        <v>1563</v>
      </c>
      <c r="C98" s="9" t="s">
        <v>36</v>
      </c>
      <c r="D98" s="9" t="s">
        <v>64</v>
      </c>
      <c r="E98" s="9">
        <v>30</v>
      </c>
      <c r="F98" s="10">
        <v>6960</v>
      </c>
      <c r="G98" s="10">
        <f t="shared" si="2"/>
        <v>208800</v>
      </c>
      <c r="H98" s="18"/>
      <c r="I98" s="180">
        <v>6960</v>
      </c>
      <c r="J98" s="19">
        <f t="shared" si="3"/>
        <v>0</v>
      </c>
      <c r="K98" s="92"/>
      <c r="L98" s="93">
        <v>6960</v>
      </c>
      <c r="M98" s="93">
        <f t="shared" si="4"/>
        <v>0</v>
      </c>
    </row>
    <row r="99" spans="1:16" ht="17" thickBot="1" x14ac:dyDescent="0.25">
      <c r="A99" s="9" t="s">
        <v>45</v>
      </c>
      <c r="B99" s="76" t="s">
        <v>905</v>
      </c>
      <c r="C99" s="9" t="s">
        <v>36</v>
      </c>
      <c r="D99" s="9" t="s">
        <v>111</v>
      </c>
      <c r="E99" s="9">
        <v>60</v>
      </c>
      <c r="F99" s="10">
        <v>7540</v>
      </c>
      <c r="G99" s="10">
        <f t="shared" si="2"/>
        <v>452400</v>
      </c>
      <c r="H99" s="18">
        <v>20</v>
      </c>
      <c r="I99" s="180">
        <v>7540</v>
      </c>
      <c r="J99" s="19">
        <f t="shared" si="3"/>
        <v>150800</v>
      </c>
      <c r="K99" s="92"/>
      <c r="L99" s="93">
        <v>7540</v>
      </c>
      <c r="M99" s="93">
        <f t="shared" si="4"/>
        <v>0</v>
      </c>
    </row>
    <row r="100" spans="1:16" ht="17" thickBot="1" x14ac:dyDescent="0.25">
      <c r="A100" s="9" t="s">
        <v>283</v>
      </c>
      <c r="B100" s="76" t="s">
        <v>830</v>
      </c>
      <c r="C100" s="9" t="s">
        <v>36</v>
      </c>
      <c r="D100" s="95" t="s">
        <v>996</v>
      </c>
      <c r="E100" s="9">
        <v>30</v>
      </c>
      <c r="F100" s="10">
        <v>11600</v>
      </c>
      <c r="G100" s="10">
        <f t="shared" si="2"/>
        <v>348000</v>
      </c>
      <c r="H100" s="18"/>
      <c r="I100" s="180">
        <v>11600</v>
      </c>
      <c r="J100" s="19">
        <f t="shared" si="3"/>
        <v>0</v>
      </c>
      <c r="K100" s="92"/>
      <c r="L100" s="93">
        <v>11600</v>
      </c>
      <c r="M100" s="93">
        <f t="shared" si="4"/>
        <v>0</v>
      </c>
    </row>
    <row r="101" spans="1:16" ht="17" thickBot="1" x14ac:dyDescent="0.25">
      <c r="A101" s="9" t="s">
        <v>140</v>
      </c>
      <c r="B101" s="76" t="s">
        <v>2035</v>
      </c>
      <c r="C101" s="9" t="s">
        <v>36</v>
      </c>
      <c r="D101" s="95" t="s">
        <v>989</v>
      </c>
      <c r="E101" s="9">
        <v>96</v>
      </c>
      <c r="F101" s="10">
        <v>6762.8</v>
      </c>
      <c r="G101" s="10">
        <f t="shared" si="2"/>
        <v>649228.80000000005</v>
      </c>
      <c r="H101" s="18"/>
      <c r="I101" s="180">
        <v>6762.8</v>
      </c>
      <c r="J101" s="19">
        <f t="shared" si="3"/>
        <v>0</v>
      </c>
      <c r="K101" s="92">
        <v>32</v>
      </c>
      <c r="L101" s="93">
        <v>6762.8</v>
      </c>
      <c r="M101" s="93">
        <f t="shared" si="4"/>
        <v>216409.60000000001</v>
      </c>
    </row>
    <row r="102" spans="1:16" ht="17" thickBot="1" x14ac:dyDescent="0.25">
      <c r="A102" s="9" t="s">
        <v>240</v>
      </c>
      <c r="B102" s="76" t="s">
        <v>889</v>
      </c>
      <c r="C102" s="9" t="s">
        <v>36</v>
      </c>
      <c r="D102" s="9" t="s">
        <v>1223</v>
      </c>
      <c r="E102" s="9">
        <v>96</v>
      </c>
      <c r="F102" s="10">
        <v>4756</v>
      </c>
      <c r="G102" s="10">
        <f t="shared" si="2"/>
        <v>456576</v>
      </c>
      <c r="H102" s="18">
        <v>12</v>
      </c>
      <c r="I102" s="180">
        <v>4756</v>
      </c>
      <c r="J102" s="19">
        <f t="shared" si="3"/>
        <v>57072</v>
      </c>
      <c r="K102" s="92">
        <v>20</v>
      </c>
      <c r="L102" s="93">
        <v>4756</v>
      </c>
      <c r="M102" s="93">
        <f t="shared" si="4"/>
        <v>95120</v>
      </c>
    </row>
    <row r="103" spans="1:16" ht="17" thickBot="1" x14ac:dyDescent="0.25">
      <c r="A103" s="9" t="s">
        <v>283</v>
      </c>
      <c r="B103" s="76" t="s">
        <v>1764</v>
      </c>
      <c r="C103" s="9" t="s">
        <v>36</v>
      </c>
      <c r="D103" s="9" t="s">
        <v>799</v>
      </c>
      <c r="E103" s="9">
        <v>48</v>
      </c>
      <c r="F103" s="10">
        <v>6264</v>
      </c>
      <c r="G103" s="10">
        <f t="shared" si="2"/>
        <v>300672</v>
      </c>
      <c r="H103" s="18">
        <v>16</v>
      </c>
      <c r="I103" s="180">
        <v>6264</v>
      </c>
      <c r="J103" s="19">
        <f t="shared" si="3"/>
        <v>100224</v>
      </c>
      <c r="K103" s="92"/>
      <c r="L103" s="93">
        <v>6264</v>
      </c>
      <c r="M103" s="93">
        <f t="shared" si="4"/>
        <v>0</v>
      </c>
    </row>
    <row r="104" spans="1:16" ht="17" thickBot="1" x14ac:dyDescent="0.25">
      <c r="A104" s="9" t="s">
        <v>285</v>
      </c>
      <c r="B104" s="76" t="s">
        <v>2039</v>
      </c>
      <c r="C104" s="9" t="s">
        <v>36</v>
      </c>
      <c r="D104" s="9" t="s">
        <v>309</v>
      </c>
      <c r="E104" s="9">
        <v>96</v>
      </c>
      <c r="F104" s="10">
        <v>2069.44</v>
      </c>
      <c r="G104" s="10">
        <f t="shared" si="2"/>
        <v>198666.23999999999</v>
      </c>
      <c r="H104" s="18"/>
      <c r="I104" s="180">
        <v>2069.44</v>
      </c>
      <c r="J104" s="19">
        <f t="shared" si="3"/>
        <v>0</v>
      </c>
      <c r="K104" s="92"/>
      <c r="L104" s="93">
        <v>2069.44</v>
      </c>
      <c r="M104" s="93">
        <f t="shared" si="4"/>
        <v>0</v>
      </c>
    </row>
    <row r="105" spans="1:16" ht="17" thickBot="1" x14ac:dyDescent="0.25">
      <c r="A105" s="9" t="s">
        <v>140</v>
      </c>
      <c r="B105" s="76" t="s">
        <v>1335</v>
      </c>
      <c r="C105" s="9" t="s">
        <v>36</v>
      </c>
      <c r="D105" s="9" t="s">
        <v>408</v>
      </c>
      <c r="E105" s="9">
        <v>48</v>
      </c>
      <c r="F105" s="10">
        <v>9396</v>
      </c>
      <c r="G105" s="10">
        <f t="shared" si="2"/>
        <v>451008</v>
      </c>
      <c r="H105" s="18">
        <v>14</v>
      </c>
      <c r="I105" s="180">
        <v>9396</v>
      </c>
      <c r="J105" s="19">
        <f t="shared" si="3"/>
        <v>131544</v>
      </c>
      <c r="K105" s="92">
        <v>2</v>
      </c>
      <c r="L105" s="93">
        <v>9396</v>
      </c>
      <c r="M105" s="93">
        <f t="shared" si="4"/>
        <v>18792</v>
      </c>
    </row>
    <row r="106" spans="1:16" ht="17" thickBot="1" x14ac:dyDescent="0.25">
      <c r="A106" s="2"/>
      <c r="B106" s="77"/>
      <c r="C106" s="2"/>
      <c r="D106" s="2"/>
      <c r="E106" s="2"/>
      <c r="F106" s="2"/>
      <c r="G106" s="103">
        <f>SUM(G62:G105)</f>
        <v>48371095.199999996</v>
      </c>
      <c r="H106" s="2"/>
      <c r="I106" s="2"/>
      <c r="J106" s="114">
        <f>SUM(J62:J105)</f>
        <v>6772098.5600000005</v>
      </c>
      <c r="K106" s="2"/>
      <c r="L106" s="2"/>
      <c r="M106" s="170">
        <f>SUM(M62:M105)</f>
        <v>10197369.76</v>
      </c>
    </row>
    <row r="107" spans="1:16" ht="17" thickBot="1" x14ac:dyDescent="0.25">
      <c r="A107" s="30" t="s">
        <v>1390</v>
      </c>
      <c r="B107" s="121" t="s">
        <v>1206</v>
      </c>
      <c r="C107" s="2" t="s">
        <v>1207</v>
      </c>
      <c r="E107" s="1"/>
      <c r="F107" s="1"/>
      <c r="G107" s="107"/>
      <c r="P107" s="62">
        <f>M106+J106</f>
        <v>16969468.32</v>
      </c>
    </row>
    <row r="108" spans="1:16" ht="17" thickBot="1" x14ac:dyDescent="0.25">
      <c r="A108" s="9" t="s">
        <v>1176</v>
      </c>
      <c r="B108" s="122"/>
      <c r="C108" s="122" t="s">
        <v>36</v>
      </c>
      <c r="D108" s="9" t="s">
        <v>1553</v>
      </c>
      <c r="E108" s="9">
        <v>120</v>
      </c>
      <c r="F108" s="10">
        <v>28628.799999999999</v>
      </c>
      <c r="G108" s="12">
        <v>3435456</v>
      </c>
    </row>
    <row r="109" spans="1:16" x14ac:dyDescent="0.2">
      <c r="B109" s="126"/>
      <c r="C109" s="126"/>
      <c r="F109" s="1"/>
      <c r="G109" s="1"/>
    </row>
    <row r="110" spans="1:16" x14ac:dyDescent="0.2">
      <c r="A110" s="4"/>
      <c r="B110" s="2"/>
      <c r="C110" s="2"/>
      <c r="D110" s="2"/>
      <c r="E110" s="2"/>
      <c r="F110" s="3"/>
      <c r="G110" s="2"/>
    </row>
    <row r="111" spans="1:16" ht="17" thickBot="1" x14ac:dyDescent="0.25">
      <c r="A111" s="30" t="s">
        <v>1391</v>
      </c>
      <c r="B111" s="121" t="s">
        <v>1206</v>
      </c>
      <c r="C111" s="121" t="s">
        <v>1206</v>
      </c>
      <c r="D111" t="s">
        <v>1207</v>
      </c>
    </row>
    <row r="112" spans="1:16" ht="17" thickBot="1" x14ac:dyDescent="0.25">
      <c r="A112" s="9" t="s">
        <v>1392</v>
      </c>
      <c r="B112" s="122"/>
      <c r="C112" s="122" t="s">
        <v>36</v>
      </c>
      <c r="D112" s="9"/>
      <c r="E112" s="9">
        <v>48</v>
      </c>
      <c r="F112" s="10">
        <v>12992</v>
      </c>
      <c r="G112" s="10">
        <f>F112*E112</f>
        <v>623616</v>
      </c>
    </row>
    <row r="113" spans="1:7" ht="17" thickBot="1" x14ac:dyDescent="0.25">
      <c r="A113" s="9" t="s">
        <v>1393</v>
      </c>
      <c r="B113" s="122"/>
      <c r="C113" s="122" t="s">
        <v>36</v>
      </c>
      <c r="D113" s="9"/>
      <c r="E113" s="9">
        <v>84</v>
      </c>
      <c r="F113" s="10">
        <v>3596</v>
      </c>
      <c r="G113" s="10">
        <f>F113*E113</f>
        <v>302064</v>
      </c>
    </row>
    <row r="114" spans="1:7" ht="17" thickBot="1" x14ac:dyDescent="0.25">
      <c r="B114"/>
      <c r="F114" s="1"/>
      <c r="G114" s="12">
        <f>SUM(G112:G113)</f>
        <v>925680</v>
      </c>
    </row>
    <row r="115" spans="1:7" ht="17" thickBot="1" x14ac:dyDescent="0.25">
      <c r="A115" s="30" t="s">
        <v>2083</v>
      </c>
      <c r="B115" s="2" t="s">
        <v>1206</v>
      </c>
      <c r="C115" s="2" t="s">
        <v>1207</v>
      </c>
      <c r="G115" s="33"/>
    </row>
    <row r="116" spans="1:7" ht="17" thickBot="1" x14ac:dyDescent="0.25">
      <c r="A116" s="9" t="s">
        <v>1912</v>
      </c>
      <c r="B116" s="76"/>
      <c r="C116" s="155" t="s">
        <v>9</v>
      </c>
      <c r="D116" s="9"/>
      <c r="E116" s="9">
        <v>30</v>
      </c>
      <c r="F116" s="10">
        <v>5916</v>
      </c>
      <c r="G116" s="10">
        <f>F116*E116</f>
        <v>177480</v>
      </c>
    </row>
    <row r="117" spans="1:7" ht="17" thickBot="1" x14ac:dyDescent="0.25">
      <c r="A117" s="9" t="s">
        <v>2082</v>
      </c>
      <c r="B117" s="76"/>
      <c r="C117" s="155" t="s">
        <v>9</v>
      </c>
      <c r="D117" s="9"/>
      <c r="E117" s="9">
        <v>96</v>
      </c>
      <c r="F117" s="10">
        <v>1438.4</v>
      </c>
      <c r="G117" s="10">
        <f>F117*E117</f>
        <v>138086.40000000002</v>
      </c>
    </row>
    <row r="118" spans="1:7" ht="17" thickBot="1" x14ac:dyDescent="0.25">
      <c r="F118" s="1"/>
      <c r="G118" s="12">
        <f>SUM(G116:G117)</f>
        <v>315566.40000000002</v>
      </c>
    </row>
    <row r="119" spans="1:7" ht="17" thickBot="1" x14ac:dyDescent="0.25">
      <c r="A119" s="30"/>
      <c r="B119" s="2"/>
      <c r="C119" s="2"/>
      <c r="G119" s="33"/>
    </row>
    <row r="120" spans="1:7" ht="17" thickBot="1" x14ac:dyDescent="0.25">
      <c r="A120" s="9"/>
      <c r="B120" s="76"/>
      <c r="C120" s="155"/>
      <c r="D120" s="9"/>
      <c r="E120" s="9"/>
      <c r="F120" s="106"/>
      <c r="G120" s="194"/>
    </row>
    <row r="121" spans="1:7" ht="17" thickBot="1" x14ac:dyDescent="0.25">
      <c r="A121" s="9"/>
      <c r="B121" s="76"/>
      <c r="C121" s="155"/>
      <c r="D121" s="9"/>
      <c r="E121" s="9"/>
      <c r="F121" s="106"/>
      <c r="G121" s="194"/>
    </row>
    <row r="122" spans="1:7" ht="17" thickBot="1" x14ac:dyDescent="0.25">
      <c r="A122" s="9"/>
      <c r="B122" s="76"/>
      <c r="C122" s="155"/>
      <c r="D122" s="9"/>
      <c r="E122" s="9"/>
      <c r="F122" s="106"/>
      <c r="G122" s="194"/>
    </row>
    <row r="123" spans="1:7" ht="17" thickBot="1" x14ac:dyDescent="0.25">
      <c r="A123" s="9"/>
      <c r="B123" s="76"/>
      <c r="C123" s="9"/>
      <c r="D123" s="9"/>
      <c r="E123" s="9"/>
      <c r="F123" s="106"/>
      <c r="G123" s="194"/>
    </row>
    <row r="124" spans="1:7" ht="17" thickBot="1" x14ac:dyDescent="0.25">
      <c r="G124" s="166"/>
    </row>
    <row r="125" spans="1:7" x14ac:dyDescent="0.2">
      <c r="G125" s="258"/>
    </row>
    <row r="126" spans="1:7" x14ac:dyDescent="0.2">
      <c r="G126" s="258"/>
    </row>
    <row r="127" spans="1:7" x14ac:dyDescent="0.2">
      <c r="G127" s="258"/>
    </row>
    <row r="128" spans="1:7" ht="17" thickBot="1" x14ac:dyDescent="0.25">
      <c r="A128" s="30" t="s">
        <v>2077</v>
      </c>
      <c r="B128"/>
      <c r="F128" s="1"/>
      <c r="G128" s="33"/>
    </row>
    <row r="129" spans="1:10" ht="17" thickBot="1" x14ac:dyDescent="0.25">
      <c r="A129" s="9" t="s">
        <v>58</v>
      </c>
      <c r="B129" s="9"/>
      <c r="C129" s="9"/>
      <c r="D129" s="9"/>
      <c r="E129" s="9">
        <v>48</v>
      </c>
      <c r="F129" s="10">
        <v>4848.8</v>
      </c>
      <c r="G129" s="10">
        <f>F129*E129</f>
        <v>232742.40000000002</v>
      </c>
    </row>
    <row r="130" spans="1:10" ht="17" thickBot="1" x14ac:dyDescent="0.25">
      <c r="A130" s="9" t="s">
        <v>282</v>
      </c>
      <c r="B130" s="9"/>
      <c r="C130" s="9"/>
      <c r="D130" s="9"/>
      <c r="E130" s="9">
        <v>60</v>
      </c>
      <c r="F130" s="10">
        <v>7424</v>
      </c>
      <c r="G130" s="10">
        <f>F130*E130</f>
        <v>445440</v>
      </c>
    </row>
    <row r="131" spans="1:10" ht="17" thickBot="1" x14ac:dyDescent="0.25">
      <c r="A131" s="9" t="s">
        <v>685</v>
      </c>
      <c r="B131" s="9"/>
      <c r="C131" s="9"/>
      <c r="D131" s="9"/>
      <c r="E131" s="9">
        <v>24</v>
      </c>
      <c r="F131" s="10">
        <v>10904</v>
      </c>
      <c r="G131" s="10">
        <f>F131*E131</f>
        <v>261696</v>
      </c>
    </row>
    <row r="132" spans="1:10" ht="17" thickBot="1" x14ac:dyDescent="0.25">
      <c r="A132" s="9" t="s">
        <v>35</v>
      </c>
      <c r="B132" s="9"/>
      <c r="C132" s="9"/>
      <c r="D132" s="9"/>
      <c r="E132" s="9">
        <v>264</v>
      </c>
      <c r="F132" s="10">
        <v>962.8</v>
      </c>
      <c r="G132" s="10">
        <f>F132*E132</f>
        <v>254179.19999999998</v>
      </c>
    </row>
    <row r="133" spans="1:10" ht="17" thickBot="1" x14ac:dyDescent="0.25">
      <c r="B133"/>
      <c r="F133" s="1"/>
      <c r="G133" s="12">
        <f>SUM(G129:G132)</f>
        <v>1194057.6000000001</v>
      </c>
    </row>
    <row r="134" spans="1:10" x14ac:dyDescent="0.2">
      <c r="B134"/>
      <c r="F134" s="1"/>
      <c r="G134" s="33"/>
    </row>
    <row r="135" spans="1:10" ht="17" thickBot="1" x14ac:dyDescent="0.25">
      <c r="A135" s="30" t="s">
        <v>1231</v>
      </c>
      <c r="B135" s="74"/>
      <c r="C135" s="2" t="s">
        <v>1230</v>
      </c>
      <c r="D135" s="2" t="s">
        <v>1229</v>
      </c>
      <c r="E135" s="2"/>
      <c r="F135" s="2"/>
      <c r="G135" s="2"/>
    </row>
    <row r="136" spans="1:10" ht="17" thickBot="1" x14ac:dyDescent="0.25">
      <c r="A136" s="9" t="s">
        <v>45</v>
      </c>
      <c r="B136" s="167" t="s">
        <v>832</v>
      </c>
      <c r="C136" s="9" t="s">
        <v>36</v>
      </c>
      <c r="D136" s="9" t="s">
        <v>40</v>
      </c>
      <c r="E136" s="9">
        <v>360</v>
      </c>
      <c r="F136" s="10">
        <v>626.4</v>
      </c>
      <c r="G136" s="10">
        <f>F136*E136</f>
        <v>225504</v>
      </c>
      <c r="H136" s="23">
        <v>29</v>
      </c>
      <c r="I136" s="24">
        <v>626.4</v>
      </c>
      <c r="J136" s="24">
        <f t="shared" ref="J136:J147" si="5">I136*H136</f>
        <v>18165.599999999999</v>
      </c>
    </row>
    <row r="137" spans="1:10" ht="17" thickBot="1" x14ac:dyDescent="0.25">
      <c r="A137" s="9" t="s">
        <v>58</v>
      </c>
      <c r="B137" s="76" t="s">
        <v>849</v>
      </c>
      <c r="C137" s="9" t="s">
        <v>36</v>
      </c>
      <c r="D137" s="9" t="s">
        <v>122</v>
      </c>
      <c r="E137" s="9">
        <v>30</v>
      </c>
      <c r="F137" s="10">
        <v>4988</v>
      </c>
      <c r="G137" s="10">
        <f t="shared" ref="G137:G147" si="6">F137*E137</f>
        <v>149640</v>
      </c>
      <c r="H137" s="23">
        <v>15</v>
      </c>
      <c r="I137" s="24">
        <v>4988</v>
      </c>
      <c r="J137" s="24">
        <f t="shared" si="5"/>
        <v>74820</v>
      </c>
    </row>
    <row r="138" spans="1:10" ht="17" thickBot="1" x14ac:dyDescent="0.25">
      <c r="A138" s="9" t="s">
        <v>240</v>
      </c>
      <c r="B138" s="76" t="s">
        <v>906</v>
      </c>
      <c r="C138" s="9" t="s">
        <v>36</v>
      </c>
      <c r="D138" s="9" t="s">
        <v>299</v>
      </c>
      <c r="E138" s="9">
        <v>15</v>
      </c>
      <c r="F138" s="10">
        <v>7308</v>
      </c>
      <c r="G138" s="10">
        <f t="shared" si="6"/>
        <v>109620</v>
      </c>
      <c r="H138" s="23">
        <v>7</v>
      </c>
      <c r="I138" s="24">
        <v>7308</v>
      </c>
      <c r="J138" s="24">
        <f t="shared" si="5"/>
        <v>51156</v>
      </c>
    </row>
    <row r="139" spans="1:10" ht="17" thickBot="1" x14ac:dyDescent="0.25">
      <c r="A139" s="9" t="s">
        <v>285</v>
      </c>
      <c r="B139" s="76" t="s">
        <v>885</v>
      </c>
      <c r="C139" s="9" t="s">
        <v>36</v>
      </c>
      <c r="D139" s="9" t="s">
        <v>53</v>
      </c>
      <c r="E139" s="9">
        <v>20</v>
      </c>
      <c r="F139" s="10">
        <v>10718.4</v>
      </c>
      <c r="G139" s="10">
        <f t="shared" si="6"/>
        <v>214368</v>
      </c>
      <c r="H139" s="23"/>
      <c r="I139" s="24">
        <v>10718.4</v>
      </c>
      <c r="J139" s="24">
        <f t="shared" si="5"/>
        <v>0</v>
      </c>
    </row>
    <row r="140" spans="1:10" ht="17" thickBot="1" x14ac:dyDescent="0.25">
      <c r="A140" s="9" t="s">
        <v>45</v>
      </c>
      <c r="B140" s="76" t="s">
        <v>914</v>
      </c>
      <c r="C140" s="9" t="s">
        <v>36</v>
      </c>
      <c r="D140" s="9" t="s">
        <v>780</v>
      </c>
      <c r="E140" s="9">
        <v>16</v>
      </c>
      <c r="F140" s="10">
        <v>11948</v>
      </c>
      <c r="G140" s="10">
        <f t="shared" si="6"/>
        <v>191168</v>
      </c>
      <c r="H140" s="23"/>
      <c r="I140" s="24">
        <v>11948</v>
      </c>
      <c r="J140" s="24">
        <f t="shared" si="5"/>
        <v>0</v>
      </c>
    </row>
    <row r="141" spans="1:10" ht="17" thickBot="1" x14ac:dyDescent="0.25">
      <c r="A141" s="9" t="s">
        <v>45</v>
      </c>
      <c r="B141" s="167" t="s">
        <v>832</v>
      </c>
      <c r="C141" s="9" t="s">
        <v>36</v>
      </c>
      <c r="D141" s="9" t="s">
        <v>1228</v>
      </c>
      <c r="E141" s="9">
        <v>240</v>
      </c>
      <c r="F141" s="10">
        <v>626.4</v>
      </c>
      <c r="G141" s="10">
        <f t="shared" si="6"/>
        <v>150336</v>
      </c>
      <c r="H141" s="23">
        <v>120</v>
      </c>
      <c r="I141" s="24">
        <v>626.4</v>
      </c>
      <c r="J141" s="24">
        <f t="shared" si="5"/>
        <v>75168</v>
      </c>
    </row>
    <row r="142" spans="1:10" ht="17" thickBot="1" x14ac:dyDescent="0.25">
      <c r="A142" s="9" t="s">
        <v>46</v>
      </c>
      <c r="B142" s="76" t="s">
        <v>903</v>
      </c>
      <c r="C142" s="9" t="s">
        <v>36</v>
      </c>
      <c r="D142" s="9" t="s">
        <v>54</v>
      </c>
      <c r="E142" s="9">
        <v>40</v>
      </c>
      <c r="F142" s="10">
        <v>10788</v>
      </c>
      <c r="G142" s="10">
        <f t="shared" si="6"/>
        <v>431520</v>
      </c>
      <c r="H142" s="23">
        <v>20</v>
      </c>
      <c r="I142" s="24">
        <v>10788</v>
      </c>
      <c r="J142" s="24">
        <f t="shared" si="5"/>
        <v>215760</v>
      </c>
    </row>
    <row r="143" spans="1:10" ht="17" thickBot="1" x14ac:dyDescent="0.25">
      <c r="A143" s="9" t="s">
        <v>240</v>
      </c>
      <c r="B143" s="167" t="s">
        <v>881</v>
      </c>
      <c r="C143" s="9" t="s">
        <v>36</v>
      </c>
      <c r="D143" s="9" t="s">
        <v>1227</v>
      </c>
      <c r="E143" s="9">
        <v>40</v>
      </c>
      <c r="F143" s="10">
        <v>7505.2</v>
      </c>
      <c r="G143" s="10">
        <f t="shared" si="6"/>
        <v>300208</v>
      </c>
      <c r="H143" s="23"/>
      <c r="I143" s="24">
        <v>7505.2</v>
      </c>
      <c r="J143" s="24">
        <f t="shared" si="5"/>
        <v>0</v>
      </c>
    </row>
    <row r="144" spans="1:10" ht="17" thickBot="1" x14ac:dyDescent="0.25">
      <c r="A144" s="9" t="s">
        <v>140</v>
      </c>
      <c r="B144" s="167" t="s">
        <v>1345</v>
      </c>
      <c r="C144" s="9" t="s">
        <v>36</v>
      </c>
      <c r="D144" s="9" t="s">
        <v>1226</v>
      </c>
      <c r="E144" s="9">
        <v>50</v>
      </c>
      <c r="F144" s="10">
        <v>9819.4</v>
      </c>
      <c r="G144" s="10">
        <f t="shared" si="6"/>
        <v>490970</v>
      </c>
      <c r="H144" s="23"/>
      <c r="I144" s="24">
        <v>9819.4</v>
      </c>
      <c r="J144" s="24">
        <f t="shared" si="5"/>
        <v>0</v>
      </c>
    </row>
    <row r="145" spans="1:10" ht="17" thickBot="1" x14ac:dyDescent="0.25">
      <c r="A145" s="9" t="s">
        <v>45</v>
      </c>
      <c r="B145" s="76" t="s">
        <v>844</v>
      </c>
      <c r="C145" s="9" t="s">
        <v>36</v>
      </c>
      <c r="D145" s="9" t="s">
        <v>1225</v>
      </c>
      <c r="E145" s="9">
        <v>240</v>
      </c>
      <c r="F145" s="10">
        <v>1624</v>
      </c>
      <c r="G145" s="10">
        <f t="shared" si="6"/>
        <v>389760</v>
      </c>
      <c r="H145" s="23">
        <v>120</v>
      </c>
      <c r="I145" s="24">
        <v>1624</v>
      </c>
      <c r="J145" s="24">
        <f t="shared" si="5"/>
        <v>194880</v>
      </c>
    </row>
    <row r="146" spans="1:10" ht="17" thickBot="1" x14ac:dyDescent="0.25">
      <c r="A146" s="9" t="s">
        <v>140</v>
      </c>
      <c r="B146" s="76" t="s">
        <v>862</v>
      </c>
      <c r="C146" s="9" t="s">
        <v>36</v>
      </c>
      <c r="D146" s="9" t="s">
        <v>408</v>
      </c>
      <c r="E146" s="9">
        <v>200</v>
      </c>
      <c r="F146" s="10">
        <v>9396</v>
      </c>
      <c r="G146" s="10">
        <f t="shared" si="6"/>
        <v>1879200</v>
      </c>
      <c r="H146" s="23">
        <v>50</v>
      </c>
      <c r="I146" s="24">
        <v>9396</v>
      </c>
      <c r="J146" s="24">
        <f t="shared" si="5"/>
        <v>469800</v>
      </c>
    </row>
    <row r="147" spans="1:10" ht="17" thickBot="1" x14ac:dyDescent="0.25">
      <c r="A147" s="9" t="s">
        <v>291</v>
      </c>
      <c r="B147" s="76" t="s">
        <v>848</v>
      </c>
      <c r="C147" s="9" t="s">
        <v>36</v>
      </c>
      <c r="D147" s="9" t="s">
        <v>79</v>
      </c>
      <c r="E147" s="9">
        <v>30</v>
      </c>
      <c r="F147" s="10">
        <v>6960</v>
      </c>
      <c r="G147" s="10">
        <f t="shared" si="6"/>
        <v>208800</v>
      </c>
      <c r="H147" s="23">
        <v>15</v>
      </c>
      <c r="I147" s="24">
        <v>6960</v>
      </c>
      <c r="J147" s="24">
        <f t="shared" si="5"/>
        <v>104400</v>
      </c>
    </row>
    <row r="148" spans="1:10" ht="17" thickBot="1" x14ac:dyDescent="0.25">
      <c r="A148" s="2"/>
      <c r="B148" s="77"/>
      <c r="C148" s="2"/>
      <c r="D148" s="2"/>
      <c r="E148" s="2"/>
      <c r="F148" s="2"/>
      <c r="G148" s="103">
        <f>SUM(G136:G147)</f>
        <v>4741094</v>
      </c>
      <c r="H148" s="2"/>
      <c r="I148" s="2"/>
      <c r="J148" s="244">
        <f>SUM(J136:J147)</f>
        <v>1204149.6000000001</v>
      </c>
    </row>
    <row r="149" spans="1:10" ht="17" thickBot="1" x14ac:dyDescent="0.25">
      <c r="A149" s="30" t="s">
        <v>1654</v>
      </c>
      <c r="B149" s="2" t="s">
        <v>1230</v>
      </c>
      <c r="C149" s="2" t="s">
        <v>1229</v>
      </c>
      <c r="D149" s="2"/>
      <c r="E149" s="2"/>
      <c r="F149" s="2"/>
    </row>
    <row r="150" spans="1:10" ht="17" thickBot="1" x14ac:dyDescent="0.25">
      <c r="A150" s="9" t="s">
        <v>240</v>
      </c>
      <c r="B150" s="167" t="s">
        <v>889</v>
      </c>
      <c r="C150" s="155" t="s">
        <v>36</v>
      </c>
      <c r="D150" s="9" t="s">
        <v>303</v>
      </c>
      <c r="E150" s="9">
        <v>120</v>
      </c>
      <c r="F150" s="10">
        <v>6948.4</v>
      </c>
      <c r="G150" s="10">
        <f t="shared" ref="G150:G163" si="7">F150*E150</f>
        <v>833808</v>
      </c>
      <c r="H150" s="23">
        <v>60</v>
      </c>
      <c r="I150" s="24">
        <v>6948.4</v>
      </c>
      <c r="J150" s="24">
        <f t="shared" ref="J150:J163" si="8">I150*H150</f>
        <v>416904</v>
      </c>
    </row>
    <row r="151" spans="1:10" ht="17" thickBot="1" x14ac:dyDescent="0.25">
      <c r="A151" s="9" t="s">
        <v>290</v>
      </c>
      <c r="B151" s="167" t="s">
        <v>831</v>
      </c>
      <c r="C151" s="155" t="s">
        <v>36</v>
      </c>
      <c r="D151" s="9" t="s">
        <v>1593</v>
      </c>
      <c r="E151" s="9">
        <v>160</v>
      </c>
      <c r="F151" s="10">
        <v>4872</v>
      </c>
      <c r="G151" s="10">
        <f t="shared" si="7"/>
        <v>779520</v>
      </c>
      <c r="H151" s="23"/>
      <c r="I151" s="24">
        <v>4872</v>
      </c>
      <c r="J151" s="24">
        <f t="shared" si="8"/>
        <v>0</v>
      </c>
    </row>
    <row r="152" spans="1:10" ht="17" thickBot="1" x14ac:dyDescent="0.25">
      <c r="A152" s="9" t="s">
        <v>239</v>
      </c>
      <c r="B152" s="167" t="s">
        <v>894</v>
      </c>
      <c r="C152" s="155" t="s">
        <v>36</v>
      </c>
      <c r="D152" s="9" t="s">
        <v>56</v>
      </c>
      <c r="E152" s="9">
        <v>120</v>
      </c>
      <c r="F152" s="10">
        <v>7308</v>
      </c>
      <c r="G152" s="10">
        <f t="shared" si="7"/>
        <v>876960</v>
      </c>
      <c r="H152" s="23">
        <v>30</v>
      </c>
      <c r="I152" s="24">
        <v>7308</v>
      </c>
      <c r="J152" s="24">
        <f t="shared" si="8"/>
        <v>219240</v>
      </c>
    </row>
    <row r="153" spans="1:10" ht="17" thickBot="1" x14ac:dyDescent="0.25">
      <c r="A153" s="9" t="s">
        <v>45</v>
      </c>
      <c r="B153" s="167" t="s">
        <v>832</v>
      </c>
      <c r="C153" s="155" t="s">
        <v>36</v>
      </c>
      <c r="D153" s="9" t="s">
        <v>327</v>
      </c>
      <c r="E153" s="9">
        <v>300</v>
      </c>
      <c r="F153" s="10">
        <v>638</v>
      </c>
      <c r="G153" s="10">
        <f t="shared" si="7"/>
        <v>191400</v>
      </c>
      <c r="H153" s="23">
        <v>65</v>
      </c>
      <c r="I153" s="24">
        <v>638</v>
      </c>
      <c r="J153" s="24">
        <f t="shared" si="8"/>
        <v>41470</v>
      </c>
    </row>
    <row r="154" spans="1:10" ht="17" thickBot="1" x14ac:dyDescent="0.25">
      <c r="A154" s="9" t="s">
        <v>797</v>
      </c>
      <c r="B154" s="167" t="s">
        <v>881</v>
      </c>
      <c r="C154" s="155" t="s">
        <v>36</v>
      </c>
      <c r="D154" s="9" t="s">
        <v>169</v>
      </c>
      <c r="E154" s="9">
        <v>80</v>
      </c>
      <c r="F154" s="10">
        <v>11948</v>
      </c>
      <c r="G154" s="10">
        <f t="shared" si="7"/>
        <v>955840</v>
      </c>
      <c r="H154" s="23">
        <v>40</v>
      </c>
      <c r="I154" s="24">
        <v>11948</v>
      </c>
      <c r="J154" s="24">
        <f t="shared" si="8"/>
        <v>477920</v>
      </c>
    </row>
    <row r="155" spans="1:10" ht="17" thickBot="1" x14ac:dyDescent="0.25">
      <c r="A155" s="9" t="s">
        <v>45</v>
      </c>
      <c r="B155" s="167" t="s">
        <v>891</v>
      </c>
      <c r="C155" s="155" t="s">
        <v>36</v>
      </c>
      <c r="D155" s="9" t="s">
        <v>330</v>
      </c>
      <c r="E155" s="9">
        <v>40</v>
      </c>
      <c r="F155" s="10">
        <v>1624</v>
      </c>
      <c r="G155" s="10">
        <f t="shared" si="7"/>
        <v>64960</v>
      </c>
      <c r="H155" s="23"/>
      <c r="I155" s="24">
        <v>1624</v>
      </c>
      <c r="J155" s="24">
        <f t="shared" si="8"/>
        <v>0</v>
      </c>
    </row>
    <row r="156" spans="1:10" ht="17" thickBot="1" x14ac:dyDescent="0.25">
      <c r="A156" s="9" t="s">
        <v>239</v>
      </c>
      <c r="B156" s="167" t="s">
        <v>854</v>
      </c>
      <c r="C156" s="155" t="s">
        <v>36</v>
      </c>
      <c r="D156" s="9" t="s">
        <v>163</v>
      </c>
      <c r="E156" s="9">
        <v>120</v>
      </c>
      <c r="F156" s="10">
        <v>7540</v>
      </c>
      <c r="G156" s="10">
        <f t="shared" si="7"/>
        <v>904800</v>
      </c>
      <c r="H156" s="23"/>
      <c r="I156" s="24">
        <v>7540</v>
      </c>
      <c r="J156" s="24">
        <f t="shared" si="8"/>
        <v>0</v>
      </c>
    </row>
    <row r="157" spans="1:10" ht="17" thickBot="1" x14ac:dyDescent="0.25">
      <c r="A157" s="9" t="s">
        <v>290</v>
      </c>
      <c r="B157" s="167" t="s">
        <v>831</v>
      </c>
      <c r="C157" s="155" t="s">
        <v>36</v>
      </c>
      <c r="D157" s="9" t="s">
        <v>1147</v>
      </c>
      <c r="E157" s="9">
        <v>160</v>
      </c>
      <c r="F157" s="10">
        <v>4930</v>
      </c>
      <c r="G157" s="10">
        <f t="shared" si="7"/>
        <v>788800</v>
      </c>
      <c r="H157" s="23"/>
      <c r="I157" s="24">
        <v>4930</v>
      </c>
      <c r="J157" s="24">
        <f t="shared" si="8"/>
        <v>0</v>
      </c>
    </row>
    <row r="158" spans="1:10" ht="17" thickBot="1" x14ac:dyDescent="0.25">
      <c r="A158" s="9" t="s">
        <v>45</v>
      </c>
      <c r="B158" s="167" t="s">
        <v>891</v>
      </c>
      <c r="C158" s="155" t="s">
        <v>36</v>
      </c>
      <c r="D158" s="9" t="s">
        <v>1652</v>
      </c>
      <c r="E158" s="9">
        <v>240</v>
      </c>
      <c r="F158" s="10">
        <v>1624</v>
      </c>
      <c r="G158" s="10">
        <f t="shared" si="7"/>
        <v>389760</v>
      </c>
      <c r="H158" s="23"/>
      <c r="I158" s="24">
        <v>1624</v>
      </c>
      <c r="J158" s="24">
        <f t="shared" si="8"/>
        <v>0</v>
      </c>
    </row>
    <row r="159" spans="1:10" ht="17" thickBot="1" x14ac:dyDescent="0.25">
      <c r="A159" s="9" t="s">
        <v>243</v>
      </c>
      <c r="B159" s="167" t="s">
        <v>2040</v>
      </c>
      <c r="C159" s="155" t="s">
        <v>36</v>
      </c>
      <c r="D159" s="9" t="s">
        <v>671</v>
      </c>
      <c r="E159" s="9">
        <v>30</v>
      </c>
      <c r="F159" s="10">
        <v>4524</v>
      </c>
      <c r="G159" s="10">
        <f t="shared" si="7"/>
        <v>135720</v>
      </c>
      <c r="H159" s="23"/>
      <c r="I159" s="24">
        <v>4524</v>
      </c>
      <c r="J159" s="24">
        <f t="shared" si="8"/>
        <v>0</v>
      </c>
    </row>
    <row r="160" spans="1:10" ht="17" thickBot="1" x14ac:dyDescent="0.25">
      <c r="A160" s="9" t="s">
        <v>140</v>
      </c>
      <c r="B160" s="167" t="s">
        <v>1345</v>
      </c>
      <c r="C160" s="155" t="s">
        <v>36</v>
      </c>
      <c r="D160" s="9" t="s">
        <v>335</v>
      </c>
      <c r="E160" s="9">
        <v>48</v>
      </c>
      <c r="F160" s="10">
        <v>9744</v>
      </c>
      <c r="G160" s="10">
        <f t="shared" si="7"/>
        <v>467712</v>
      </c>
      <c r="H160" s="23">
        <v>24</v>
      </c>
      <c r="I160" s="24">
        <v>9744</v>
      </c>
      <c r="J160" s="24">
        <f t="shared" si="8"/>
        <v>233856</v>
      </c>
    </row>
    <row r="161" spans="1:13" ht="17" thickBot="1" x14ac:dyDescent="0.25">
      <c r="A161" s="9" t="s">
        <v>938</v>
      </c>
      <c r="B161" s="167" t="s">
        <v>835</v>
      </c>
      <c r="C161" s="155" t="s">
        <v>36</v>
      </c>
      <c r="D161" s="9" t="s">
        <v>297</v>
      </c>
      <c r="E161" s="9">
        <v>120</v>
      </c>
      <c r="F161" s="10">
        <v>2833.88</v>
      </c>
      <c r="G161" s="10">
        <f t="shared" si="7"/>
        <v>340065.60000000003</v>
      </c>
      <c r="H161" s="23"/>
      <c r="I161" s="24">
        <v>2833.88</v>
      </c>
      <c r="J161" s="24">
        <f t="shared" si="8"/>
        <v>0</v>
      </c>
    </row>
    <row r="162" spans="1:13" ht="17" thickBot="1" x14ac:dyDescent="0.25">
      <c r="A162" s="9" t="s">
        <v>45</v>
      </c>
      <c r="B162" s="167" t="s">
        <v>900</v>
      </c>
      <c r="C162" s="155" t="s">
        <v>36</v>
      </c>
      <c r="D162" s="9" t="s">
        <v>345</v>
      </c>
      <c r="E162" s="9">
        <v>240</v>
      </c>
      <c r="F162" s="10">
        <v>1624</v>
      </c>
      <c r="G162" s="10">
        <f t="shared" si="7"/>
        <v>389760</v>
      </c>
      <c r="H162" s="23"/>
      <c r="I162" s="24">
        <v>1624</v>
      </c>
      <c r="J162" s="24">
        <f t="shared" si="8"/>
        <v>0</v>
      </c>
    </row>
    <row r="163" spans="1:13" ht="17" thickBot="1" x14ac:dyDescent="0.25">
      <c r="A163" s="9" t="s">
        <v>1651</v>
      </c>
      <c r="B163" s="167" t="s">
        <v>920</v>
      </c>
      <c r="C163" s="155" t="s">
        <v>36</v>
      </c>
      <c r="D163" s="9" t="s">
        <v>800</v>
      </c>
      <c r="E163" s="9">
        <v>60</v>
      </c>
      <c r="F163" s="10">
        <v>13920</v>
      </c>
      <c r="G163" s="10">
        <f t="shared" si="7"/>
        <v>835200</v>
      </c>
      <c r="H163" s="23">
        <v>5</v>
      </c>
      <c r="I163" s="24">
        <v>13920</v>
      </c>
      <c r="J163" s="24">
        <f t="shared" si="8"/>
        <v>69600</v>
      </c>
    </row>
    <row r="164" spans="1:13" ht="17" thickBot="1" x14ac:dyDescent="0.25">
      <c r="A164" s="2"/>
      <c r="C164" s="2"/>
      <c r="D164" s="2"/>
      <c r="E164" s="2"/>
      <c r="F164" s="3"/>
      <c r="G164" s="12">
        <f>SUM(G150:G163)</f>
        <v>7954305.5999999996</v>
      </c>
      <c r="H164" s="2"/>
      <c r="I164" s="3"/>
      <c r="J164" s="26">
        <f>SUM(J150:J163)</f>
        <v>1458990</v>
      </c>
    </row>
    <row r="165" spans="1:13" x14ac:dyDescent="0.2">
      <c r="A165" s="2"/>
      <c r="B165" s="2"/>
      <c r="C165" s="2"/>
      <c r="D165" s="2"/>
      <c r="E165" s="3"/>
      <c r="F165" s="3"/>
    </row>
    <row r="166" spans="1:13" x14ac:dyDescent="0.2">
      <c r="A166" s="2"/>
      <c r="B166" s="2"/>
      <c r="C166" s="2"/>
      <c r="D166" s="2"/>
      <c r="E166" s="2"/>
      <c r="F166" s="2"/>
    </row>
    <row r="167" spans="1:13" x14ac:dyDescent="0.2">
      <c r="A167" s="2"/>
      <c r="B167" s="2"/>
      <c r="C167" s="2"/>
      <c r="D167" s="2"/>
      <c r="E167" s="2"/>
      <c r="F167" s="2"/>
    </row>
    <row r="168" spans="1:13" ht="17" thickBot="1" x14ac:dyDescent="0.25">
      <c r="A168" s="30" t="s">
        <v>1653</v>
      </c>
      <c r="B168" s="2" t="s">
        <v>1230</v>
      </c>
      <c r="C168" s="2" t="s">
        <v>1229</v>
      </c>
      <c r="D168" s="2"/>
      <c r="E168" s="2"/>
      <c r="F168" s="2"/>
    </row>
    <row r="169" spans="1:13" ht="17" thickBot="1" x14ac:dyDescent="0.25">
      <c r="A169" s="9" t="s">
        <v>117</v>
      </c>
      <c r="B169" s="167"/>
      <c r="C169" s="155" t="s">
        <v>36</v>
      </c>
      <c r="D169" s="9"/>
      <c r="E169" s="9">
        <v>55</v>
      </c>
      <c r="F169" s="10">
        <v>81780</v>
      </c>
      <c r="G169" s="10">
        <f>F169*E169</f>
        <v>4497900</v>
      </c>
    </row>
    <row r="170" spans="1:13" ht="17" thickBot="1" x14ac:dyDescent="0.25">
      <c r="A170" s="9" t="s">
        <v>362</v>
      </c>
      <c r="B170" s="167"/>
      <c r="C170" s="155" t="s">
        <v>36</v>
      </c>
      <c r="D170" s="9"/>
      <c r="E170" s="9">
        <v>80</v>
      </c>
      <c r="F170" s="10">
        <v>53128</v>
      </c>
      <c r="G170" s="10">
        <f>F170*E170</f>
        <v>4250240</v>
      </c>
    </row>
    <row r="171" spans="1:13" ht="17" thickBot="1" x14ac:dyDescent="0.25">
      <c r="A171" s="2"/>
      <c r="C171" s="2"/>
      <c r="D171" s="2"/>
      <c r="E171" s="2"/>
      <c r="F171" s="3"/>
      <c r="G171" s="12">
        <f>SUM(G169:G170)</f>
        <v>8748140</v>
      </c>
    </row>
    <row r="172" spans="1:13" ht="19" thickBot="1" x14ac:dyDescent="0.25">
      <c r="A172" s="21" t="s">
        <v>1359</v>
      </c>
      <c r="B172" s="86"/>
      <c r="C172" s="2" t="s">
        <v>1162</v>
      </c>
      <c r="D172" s="2" t="s">
        <v>1161</v>
      </c>
      <c r="E172" s="2"/>
      <c r="F172" s="2"/>
      <c r="G172" s="2"/>
      <c r="H172" s="2"/>
      <c r="I172" s="2"/>
      <c r="J172" s="2"/>
    </row>
    <row r="173" spans="1:13" ht="17" thickBot="1" x14ac:dyDescent="0.25">
      <c r="A173" s="9" t="s">
        <v>140</v>
      </c>
      <c r="B173" s="76" t="s">
        <v>1345</v>
      </c>
      <c r="C173" s="9" t="s">
        <v>36</v>
      </c>
      <c r="D173" s="9" t="s">
        <v>1160</v>
      </c>
      <c r="E173" s="9">
        <v>10</v>
      </c>
      <c r="F173" s="20">
        <v>11716</v>
      </c>
      <c r="G173" s="20">
        <f>F173*E173</f>
        <v>117160</v>
      </c>
      <c r="H173" s="18">
        <v>5</v>
      </c>
      <c r="I173" s="19">
        <v>11716</v>
      </c>
      <c r="J173" s="19">
        <f>H173*I173</f>
        <v>58580</v>
      </c>
      <c r="K173" s="92">
        <v>5</v>
      </c>
      <c r="L173" s="93">
        <v>11716</v>
      </c>
      <c r="M173" s="93">
        <f>L173*K173</f>
        <v>58580</v>
      </c>
    </row>
    <row r="174" spans="1:13" ht="17" thickBot="1" x14ac:dyDescent="0.25">
      <c r="A174" s="9" t="s">
        <v>140</v>
      </c>
      <c r="B174" s="76" t="s">
        <v>1344</v>
      </c>
      <c r="C174" s="9" t="s">
        <v>36</v>
      </c>
      <c r="D174" s="9" t="s">
        <v>1159</v>
      </c>
      <c r="E174" s="9">
        <v>10</v>
      </c>
      <c r="F174" s="20">
        <v>13572</v>
      </c>
      <c r="G174" s="20">
        <f>F174*E174</f>
        <v>135720</v>
      </c>
      <c r="H174" s="18">
        <v>5</v>
      </c>
      <c r="I174" s="19">
        <v>13572</v>
      </c>
      <c r="J174" s="19">
        <f t="shared" ref="J174:J185" si="9">H174*I174</f>
        <v>67860</v>
      </c>
      <c r="K174" s="92"/>
      <c r="L174" s="93">
        <v>13572</v>
      </c>
      <c r="M174" s="93">
        <f>L174*K174</f>
        <v>0</v>
      </c>
    </row>
    <row r="175" spans="1:13" ht="17" thickBot="1" x14ac:dyDescent="0.25">
      <c r="A175" s="9" t="s">
        <v>240</v>
      </c>
      <c r="B175" s="76" t="s">
        <v>840</v>
      </c>
      <c r="C175" s="9" t="s">
        <v>36</v>
      </c>
      <c r="D175" s="9" t="s">
        <v>305</v>
      </c>
      <c r="E175" s="9">
        <v>15</v>
      </c>
      <c r="F175" s="20">
        <v>14384</v>
      </c>
      <c r="G175" s="20">
        <f>F175*E175</f>
        <v>215760</v>
      </c>
      <c r="H175" s="18">
        <v>6</v>
      </c>
      <c r="I175" s="19">
        <v>14384</v>
      </c>
      <c r="J175" s="19">
        <f t="shared" si="9"/>
        <v>86304</v>
      </c>
      <c r="K175" s="92">
        <v>6</v>
      </c>
      <c r="L175" s="93">
        <v>14384</v>
      </c>
      <c r="M175" s="93">
        <f>L175*K175</f>
        <v>86304</v>
      </c>
    </row>
    <row r="176" spans="1:13" ht="17" thickBot="1" x14ac:dyDescent="0.25">
      <c r="A176" s="2"/>
      <c r="B176" s="77"/>
      <c r="C176" s="2"/>
      <c r="D176" s="2"/>
      <c r="E176" s="2"/>
      <c r="F176" s="96"/>
      <c r="G176" s="58">
        <f>SUM(G173:G175)</f>
        <v>468640</v>
      </c>
      <c r="H176" s="2"/>
      <c r="I176" s="96"/>
      <c r="J176" s="34">
        <f>SUM(J173:J175)</f>
        <v>212744</v>
      </c>
      <c r="K176" s="2"/>
      <c r="L176" s="96"/>
      <c r="M176" s="94">
        <f>SUM(M173:M175)</f>
        <v>144884</v>
      </c>
    </row>
    <row r="177" spans="1:13" ht="20" thickBot="1" x14ac:dyDescent="0.25">
      <c r="A177" s="6" t="s">
        <v>1360</v>
      </c>
      <c r="B177" s="82"/>
      <c r="C177" s="2" t="s">
        <v>1162</v>
      </c>
      <c r="D177" s="2" t="s">
        <v>1161</v>
      </c>
      <c r="E177" s="2"/>
      <c r="F177" s="96"/>
      <c r="G177" s="96"/>
      <c r="H177" s="2"/>
      <c r="I177" s="96"/>
      <c r="J177" s="96"/>
    </row>
    <row r="178" spans="1:13" ht="18" thickBot="1" x14ac:dyDescent="0.25">
      <c r="A178" s="8" t="s">
        <v>159</v>
      </c>
      <c r="B178" s="75" t="s">
        <v>1361</v>
      </c>
      <c r="C178" s="9" t="s">
        <v>4</v>
      </c>
      <c r="D178" s="9" t="s">
        <v>312</v>
      </c>
      <c r="E178" s="9">
        <v>20</v>
      </c>
      <c r="F178" s="20">
        <v>8816</v>
      </c>
      <c r="G178" s="20">
        <f>E178*F178</f>
        <v>176320</v>
      </c>
      <c r="H178" s="18">
        <v>10</v>
      </c>
      <c r="I178" s="19">
        <v>8816</v>
      </c>
      <c r="J178" s="19">
        <f t="shared" si="9"/>
        <v>88160</v>
      </c>
      <c r="K178" s="92">
        <v>10</v>
      </c>
      <c r="L178" s="93">
        <v>8816</v>
      </c>
      <c r="M178" s="93">
        <f>K178*L178</f>
        <v>88160</v>
      </c>
    </row>
    <row r="179" spans="1:13" ht="18" thickBot="1" x14ac:dyDescent="0.25">
      <c r="A179" s="8" t="s">
        <v>47</v>
      </c>
      <c r="B179" s="75" t="s">
        <v>876</v>
      </c>
      <c r="C179" s="9" t="s">
        <v>36</v>
      </c>
      <c r="D179" s="9" t="s">
        <v>39</v>
      </c>
      <c r="E179" s="9">
        <v>10</v>
      </c>
      <c r="F179" s="20">
        <v>15080</v>
      </c>
      <c r="G179" s="20">
        <f t="shared" ref="G179:G185" si="10">E179*F179</f>
        <v>150800</v>
      </c>
      <c r="H179" s="18">
        <v>5</v>
      </c>
      <c r="I179" s="19">
        <v>15080</v>
      </c>
      <c r="J179" s="19">
        <f t="shared" si="9"/>
        <v>75400</v>
      </c>
      <c r="K179" s="92">
        <v>5</v>
      </c>
      <c r="L179" s="93">
        <v>15080</v>
      </c>
      <c r="M179" s="93">
        <f t="shared" ref="M179:M185" si="11">K179*L179</f>
        <v>75400</v>
      </c>
    </row>
    <row r="180" spans="1:13" ht="18" thickBot="1" x14ac:dyDescent="0.25">
      <c r="A180" s="8" t="s">
        <v>159</v>
      </c>
      <c r="B180" s="75" t="s">
        <v>1361</v>
      </c>
      <c r="C180" s="9" t="s">
        <v>4</v>
      </c>
      <c r="D180" s="9" t="s">
        <v>1358</v>
      </c>
      <c r="E180" s="9">
        <v>20</v>
      </c>
      <c r="F180" s="20">
        <v>8816</v>
      </c>
      <c r="G180" s="20">
        <f t="shared" si="10"/>
        <v>176320</v>
      </c>
      <c r="H180" s="18">
        <v>10</v>
      </c>
      <c r="I180" s="19">
        <v>8816</v>
      </c>
      <c r="J180" s="19">
        <f t="shared" si="9"/>
        <v>88160</v>
      </c>
      <c r="K180" s="92">
        <v>10</v>
      </c>
      <c r="L180" s="93">
        <v>8816</v>
      </c>
      <c r="M180" s="93">
        <f t="shared" si="11"/>
        <v>88160</v>
      </c>
    </row>
    <row r="181" spans="1:13" ht="18" thickBot="1" x14ac:dyDescent="0.25">
      <c r="A181" s="8" t="s">
        <v>140</v>
      </c>
      <c r="B181" s="75" t="s">
        <v>1345</v>
      </c>
      <c r="C181" s="9" t="s">
        <v>36</v>
      </c>
      <c r="D181" s="9" t="s">
        <v>335</v>
      </c>
      <c r="E181" s="9">
        <v>10</v>
      </c>
      <c r="F181" s="20">
        <v>11716</v>
      </c>
      <c r="G181" s="20">
        <f t="shared" si="10"/>
        <v>117160</v>
      </c>
      <c r="H181" s="18">
        <v>5</v>
      </c>
      <c r="I181" s="19">
        <v>11716</v>
      </c>
      <c r="J181" s="19">
        <f t="shared" si="9"/>
        <v>58580</v>
      </c>
      <c r="K181" s="92">
        <v>5</v>
      </c>
      <c r="L181" s="93">
        <v>11716</v>
      </c>
      <c r="M181" s="93">
        <f t="shared" si="11"/>
        <v>58580</v>
      </c>
    </row>
    <row r="182" spans="1:13" ht="18" thickBot="1" x14ac:dyDescent="0.25">
      <c r="A182" s="8" t="s">
        <v>115</v>
      </c>
      <c r="B182" s="75" t="s">
        <v>1362</v>
      </c>
      <c r="C182" s="9" t="s">
        <v>36</v>
      </c>
      <c r="D182" s="9" t="s">
        <v>298</v>
      </c>
      <c r="E182" s="9">
        <v>20</v>
      </c>
      <c r="F182" s="20">
        <v>12261.2</v>
      </c>
      <c r="G182" s="20">
        <f t="shared" si="10"/>
        <v>245224</v>
      </c>
      <c r="H182" s="18">
        <v>10</v>
      </c>
      <c r="I182" s="19">
        <v>12261.2</v>
      </c>
      <c r="J182" s="19">
        <f t="shared" si="9"/>
        <v>122612</v>
      </c>
      <c r="K182" s="92">
        <v>10</v>
      </c>
      <c r="L182" s="93">
        <v>12261.2</v>
      </c>
      <c r="M182" s="93">
        <f t="shared" si="11"/>
        <v>122612</v>
      </c>
    </row>
    <row r="183" spans="1:13" ht="18" thickBot="1" x14ac:dyDescent="0.25">
      <c r="A183" s="8" t="s">
        <v>89</v>
      </c>
      <c r="B183" s="75" t="s">
        <v>879</v>
      </c>
      <c r="C183" s="9" t="s">
        <v>36</v>
      </c>
      <c r="D183" s="9" t="s">
        <v>264</v>
      </c>
      <c r="E183" s="9">
        <v>73</v>
      </c>
      <c r="F183" s="20">
        <v>136764</v>
      </c>
      <c r="G183" s="20">
        <f t="shared" si="10"/>
        <v>9983772</v>
      </c>
      <c r="H183" s="18">
        <v>24</v>
      </c>
      <c r="I183" s="19">
        <v>136764</v>
      </c>
      <c r="J183" s="19">
        <f t="shared" si="9"/>
        <v>3282336</v>
      </c>
      <c r="K183" s="92">
        <v>36</v>
      </c>
      <c r="L183" s="93">
        <v>136764</v>
      </c>
      <c r="M183" s="93">
        <f t="shared" si="11"/>
        <v>4923504</v>
      </c>
    </row>
    <row r="184" spans="1:13" ht="18" thickBot="1" x14ac:dyDescent="0.25">
      <c r="A184" s="8" t="s">
        <v>159</v>
      </c>
      <c r="B184" s="75" t="s">
        <v>882</v>
      </c>
      <c r="C184" s="9" t="s">
        <v>4</v>
      </c>
      <c r="D184" s="9" t="s">
        <v>166</v>
      </c>
      <c r="E184" s="9">
        <v>10</v>
      </c>
      <c r="F184" s="20">
        <v>10208</v>
      </c>
      <c r="G184" s="20">
        <f t="shared" si="10"/>
        <v>102080</v>
      </c>
      <c r="H184" s="18">
        <v>4</v>
      </c>
      <c r="I184" s="19">
        <v>10208</v>
      </c>
      <c r="J184" s="19">
        <f t="shared" si="9"/>
        <v>40832</v>
      </c>
      <c r="K184" s="92">
        <v>6</v>
      </c>
      <c r="L184" s="93">
        <v>10208</v>
      </c>
      <c r="M184" s="93">
        <f t="shared" si="11"/>
        <v>61248</v>
      </c>
    </row>
    <row r="185" spans="1:13" ht="18" thickBot="1" x14ac:dyDescent="0.25">
      <c r="A185" s="8" t="s">
        <v>140</v>
      </c>
      <c r="B185" s="75" t="s">
        <v>970</v>
      </c>
      <c r="C185" s="9" t="s">
        <v>36</v>
      </c>
      <c r="D185" s="9" t="s">
        <v>398</v>
      </c>
      <c r="E185" s="9">
        <v>10</v>
      </c>
      <c r="F185" s="20">
        <v>13572</v>
      </c>
      <c r="G185" s="20">
        <f t="shared" si="10"/>
        <v>135720</v>
      </c>
      <c r="H185" s="18">
        <v>5</v>
      </c>
      <c r="I185" s="19">
        <v>13572</v>
      </c>
      <c r="J185" s="19">
        <f t="shared" si="9"/>
        <v>67860</v>
      </c>
      <c r="K185" s="92"/>
      <c r="L185" s="93">
        <v>13572</v>
      </c>
      <c r="M185" s="93">
        <f t="shared" si="11"/>
        <v>0</v>
      </c>
    </row>
    <row r="186" spans="1:13" ht="17" thickBot="1" x14ac:dyDescent="0.25">
      <c r="A186" s="4"/>
      <c r="B186" s="79"/>
      <c r="C186" s="2"/>
      <c r="D186" s="2"/>
      <c r="E186" s="2"/>
      <c r="F186" s="96"/>
      <c r="G186" s="58">
        <f>SUM(G178:G185)</f>
        <v>11087396</v>
      </c>
      <c r="H186" s="2"/>
      <c r="I186" s="96"/>
      <c r="J186" s="34">
        <f>SUM(J178:J185)</f>
        <v>3823940</v>
      </c>
      <c r="K186" s="2"/>
      <c r="L186" s="96"/>
      <c r="M186" s="94">
        <f>SUM(M178:M185)</f>
        <v>5417664</v>
      </c>
    </row>
    <row r="187" spans="1:13" ht="20" thickBot="1" x14ac:dyDescent="0.25">
      <c r="A187" s="268" t="s">
        <v>2140</v>
      </c>
      <c r="F187" s="1"/>
      <c r="G187" s="1"/>
    </row>
    <row r="188" spans="1:13" ht="18" thickBot="1" x14ac:dyDescent="0.25">
      <c r="A188" s="9" t="s">
        <v>334</v>
      </c>
      <c r="B188" s="75" t="s">
        <v>1345</v>
      </c>
      <c r="C188" s="9" t="s">
        <v>36</v>
      </c>
      <c r="D188" s="9" t="s">
        <v>2120</v>
      </c>
      <c r="E188" s="9">
        <v>10</v>
      </c>
      <c r="F188" s="101">
        <v>11408.6</v>
      </c>
      <c r="G188" s="101">
        <f>F188*E188</f>
        <v>114086</v>
      </c>
      <c r="H188" s="23">
        <v>10</v>
      </c>
      <c r="I188" s="270">
        <v>11408.6</v>
      </c>
      <c r="J188" s="270">
        <f>I188*H188</f>
        <v>114086</v>
      </c>
    </row>
    <row r="189" spans="1:13" ht="17" thickBot="1" x14ac:dyDescent="0.25">
      <c r="A189" s="9" t="s">
        <v>2121</v>
      </c>
      <c r="B189" s="76" t="s">
        <v>878</v>
      </c>
      <c r="C189" s="9" t="s">
        <v>9</v>
      </c>
      <c r="D189" s="9" t="s">
        <v>244</v>
      </c>
      <c r="E189" s="9">
        <v>15</v>
      </c>
      <c r="F189" s="101">
        <v>17400</v>
      </c>
      <c r="G189" s="101">
        <f t="shared" ref="G189:G201" si="12">F189*E189</f>
        <v>261000</v>
      </c>
      <c r="H189" s="23">
        <v>12</v>
      </c>
      <c r="I189" s="270">
        <v>17400</v>
      </c>
      <c r="J189" s="270">
        <f t="shared" ref="J189:J201" si="13">I189*H189</f>
        <v>208800</v>
      </c>
    </row>
    <row r="190" spans="1:13" ht="17" thickBot="1" x14ac:dyDescent="0.25">
      <c r="A190" s="9" t="s">
        <v>2122</v>
      </c>
      <c r="B190" s="76" t="s">
        <v>846</v>
      </c>
      <c r="C190" s="9" t="s">
        <v>9</v>
      </c>
      <c r="D190" s="9" t="s">
        <v>41</v>
      </c>
      <c r="E190" s="9">
        <v>15</v>
      </c>
      <c r="F190" s="101">
        <v>20566.8</v>
      </c>
      <c r="G190" s="101">
        <f t="shared" si="12"/>
        <v>308502</v>
      </c>
      <c r="H190" s="23">
        <v>12</v>
      </c>
      <c r="I190" s="270">
        <v>20566.8</v>
      </c>
      <c r="J190" s="270">
        <f t="shared" si="13"/>
        <v>246801.59999999998</v>
      </c>
    </row>
    <row r="191" spans="1:13" ht="17" thickBot="1" x14ac:dyDescent="0.25">
      <c r="A191" s="9" t="s">
        <v>2123</v>
      </c>
      <c r="B191" s="76" t="s">
        <v>2033</v>
      </c>
      <c r="C191" s="9" t="s">
        <v>36</v>
      </c>
      <c r="D191" s="9" t="s">
        <v>2124</v>
      </c>
      <c r="E191" s="9">
        <v>10</v>
      </c>
      <c r="F191" s="101">
        <v>13688</v>
      </c>
      <c r="G191" s="101">
        <f t="shared" si="12"/>
        <v>136880</v>
      </c>
      <c r="H191" s="23">
        <v>10</v>
      </c>
      <c r="I191" s="270">
        <v>13688</v>
      </c>
      <c r="J191" s="270">
        <f t="shared" si="13"/>
        <v>136880</v>
      </c>
    </row>
    <row r="192" spans="1:13" ht="17" thickBot="1" x14ac:dyDescent="0.25">
      <c r="A192" s="9" t="s">
        <v>48</v>
      </c>
      <c r="B192" s="76" t="s">
        <v>1338</v>
      </c>
      <c r="C192" s="9" t="s">
        <v>36</v>
      </c>
      <c r="D192" s="9" t="s">
        <v>2125</v>
      </c>
      <c r="E192" s="9">
        <v>10</v>
      </c>
      <c r="F192" s="101">
        <v>11948</v>
      </c>
      <c r="G192" s="101">
        <f t="shared" si="12"/>
        <v>119480</v>
      </c>
      <c r="H192" s="23">
        <v>10</v>
      </c>
      <c r="I192" s="270">
        <v>11948</v>
      </c>
      <c r="J192" s="270">
        <f t="shared" si="13"/>
        <v>119480</v>
      </c>
    </row>
    <row r="193" spans="1:10" ht="17" thickBot="1" x14ac:dyDescent="0.25">
      <c r="A193" s="9" t="s">
        <v>50</v>
      </c>
      <c r="B193" s="76" t="s">
        <v>888</v>
      </c>
      <c r="C193" s="9" t="s">
        <v>36</v>
      </c>
      <c r="D193" s="9" t="s">
        <v>326</v>
      </c>
      <c r="E193" s="9">
        <v>10</v>
      </c>
      <c r="F193" s="101">
        <v>14094</v>
      </c>
      <c r="G193" s="101">
        <f t="shared" si="12"/>
        <v>140940</v>
      </c>
      <c r="H193" s="23">
        <v>10</v>
      </c>
      <c r="I193" s="270">
        <v>14094</v>
      </c>
      <c r="J193" s="270">
        <f t="shared" si="13"/>
        <v>140940</v>
      </c>
    </row>
    <row r="194" spans="1:10" ht="17" thickBot="1" x14ac:dyDescent="0.25">
      <c r="A194" s="9" t="s">
        <v>115</v>
      </c>
      <c r="B194" s="76" t="s">
        <v>888</v>
      </c>
      <c r="C194" s="9" t="s">
        <v>36</v>
      </c>
      <c r="D194" s="9" t="s">
        <v>2126</v>
      </c>
      <c r="E194" s="9">
        <v>10</v>
      </c>
      <c r="F194" s="101">
        <v>12064</v>
      </c>
      <c r="G194" s="101">
        <f t="shared" si="12"/>
        <v>120640</v>
      </c>
      <c r="H194" s="23">
        <v>10</v>
      </c>
      <c r="I194" s="270">
        <v>12064</v>
      </c>
      <c r="J194" s="270">
        <f t="shared" si="13"/>
        <v>120640</v>
      </c>
    </row>
    <row r="195" spans="1:10" ht="17" thickBot="1" x14ac:dyDescent="0.25">
      <c r="A195" s="9" t="s">
        <v>155</v>
      </c>
      <c r="B195" s="76" t="s">
        <v>1573</v>
      </c>
      <c r="C195" s="9" t="s">
        <v>36</v>
      </c>
      <c r="D195" s="9" t="s">
        <v>1729</v>
      </c>
      <c r="E195" s="9">
        <v>20</v>
      </c>
      <c r="F195" s="101">
        <v>16147.2</v>
      </c>
      <c r="G195" s="101">
        <f t="shared" si="12"/>
        <v>322944</v>
      </c>
      <c r="H195" s="23">
        <v>20</v>
      </c>
      <c r="I195" s="270">
        <v>16147.2</v>
      </c>
      <c r="J195" s="270">
        <f t="shared" si="13"/>
        <v>322944</v>
      </c>
    </row>
    <row r="196" spans="1:10" ht="17" thickBot="1" x14ac:dyDescent="0.25">
      <c r="A196" s="9" t="s">
        <v>60</v>
      </c>
      <c r="B196" s="76" t="s">
        <v>850</v>
      </c>
      <c r="C196" s="9" t="s">
        <v>36</v>
      </c>
      <c r="D196" s="9" t="s">
        <v>2127</v>
      </c>
      <c r="E196" s="9">
        <v>30</v>
      </c>
      <c r="F196" s="101">
        <v>16240</v>
      </c>
      <c r="G196" s="101">
        <f t="shared" si="12"/>
        <v>487200</v>
      </c>
      <c r="H196" s="23">
        <v>16</v>
      </c>
      <c r="I196" s="270">
        <v>16240</v>
      </c>
      <c r="J196" s="270">
        <f t="shared" si="13"/>
        <v>259840</v>
      </c>
    </row>
    <row r="197" spans="1:10" ht="17" thickBot="1" x14ac:dyDescent="0.25">
      <c r="A197" s="9" t="s">
        <v>61</v>
      </c>
      <c r="B197" s="76" t="s">
        <v>845</v>
      </c>
      <c r="C197" s="9" t="s">
        <v>36</v>
      </c>
      <c r="D197" s="9" t="s">
        <v>2128</v>
      </c>
      <c r="E197" s="9">
        <v>10</v>
      </c>
      <c r="F197" s="101">
        <v>11716</v>
      </c>
      <c r="G197" s="101">
        <f t="shared" si="12"/>
        <v>117160</v>
      </c>
      <c r="H197" s="23">
        <v>6</v>
      </c>
      <c r="I197" s="270">
        <v>11716</v>
      </c>
      <c r="J197" s="270">
        <f t="shared" si="13"/>
        <v>70296</v>
      </c>
    </row>
    <row r="198" spans="1:10" ht="17" thickBot="1" x14ac:dyDescent="0.25">
      <c r="A198" s="9" t="s">
        <v>76</v>
      </c>
      <c r="B198" s="76" t="s">
        <v>894</v>
      </c>
      <c r="C198" s="9" t="s">
        <v>4</v>
      </c>
      <c r="D198" s="9" t="s">
        <v>2129</v>
      </c>
      <c r="E198" s="9">
        <v>20</v>
      </c>
      <c r="F198" s="101">
        <v>14500</v>
      </c>
      <c r="G198" s="101">
        <f t="shared" si="12"/>
        <v>290000</v>
      </c>
      <c r="H198" s="23">
        <v>12</v>
      </c>
      <c r="I198" s="270">
        <v>14500</v>
      </c>
      <c r="J198" s="270">
        <f t="shared" si="13"/>
        <v>174000</v>
      </c>
    </row>
    <row r="199" spans="1:10" ht="17" thickBot="1" x14ac:dyDescent="0.25">
      <c r="A199" s="9" t="s">
        <v>47</v>
      </c>
      <c r="B199" s="76" t="s">
        <v>910</v>
      </c>
      <c r="C199" s="9" t="s">
        <v>36</v>
      </c>
      <c r="D199" s="9" t="s">
        <v>2130</v>
      </c>
      <c r="E199" s="9">
        <v>15</v>
      </c>
      <c r="F199" s="101">
        <v>13920</v>
      </c>
      <c r="G199" s="101">
        <f t="shared" si="12"/>
        <v>208800</v>
      </c>
      <c r="H199" s="271"/>
      <c r="I199" s="270">
        <v>13920</v>
      </c>
      <c r="J199" s="270">
        <f t="shared" si="13"/>
        <v>0</v>
      </c>
    </row>
    <row r="200" spans="1:10" ht="17" thickBot="1" x14ac:dyDescent="0.25">
      <c r="A200" s="9" t="s">
        <v>740</v>
      </c>
      <c r="B200" s="76" t="s">
        <v>920</v>
      </c>
      <c r="C200" s="9" t="s">
        <v>332</v>
      </c>
      <c r="D200" s="9" t="s">
        <v>2131</v>
      </c>
      <c r="E200" s="9">
        <v>50</v>
      </c>
      <c r="F200" s="101">
        <v>11565.2</v>
      </c>
      <c r="G200" s="101">
        <f t="shared" si="12"/>
        <v>578260</v>
      </c>
      <c r="H200" s="271"/>
      <c r="I200" s="270">
        <v>11565.2</v>
      </c>
      <c r="J200" s="270">
        <f t="shared" si="13"/>
        <v>0</v>
      </c>
    </row>
    <row r="201" spans="1:10" ht="17" thickBot="1" x14ac:dyDescent="0.25">
      <c r="A201" s="9" t="s">
        <v>63</v>
      </c>
      <c r="B201" s="76" t="s">
        <v>877</v>
      </c>
      <c r="C201" s="9" t="s">
        <v>36</v>
      </c>
      <c r="D201" s="9" t="s">
        <v>2132</v>
      </c>
      <c r="E201" s="9">
        <v>20</v>
      </c>
      <c r="F201" s="101">
        <v>1102</v>
      </c>
      <c r="G201" s="101">
        <f t="shared" si="12"/>
        <v>22040</v>
      </c>
      <c r="H201" s="23">
        <v>20</v>
      </c>
      <c r="I201" s="270">
        <v>1102</v>
      </c>
      <c r="J201" s="270">
        <f t="shared" si="13"/>
        <v>22040</v>
      </c>
    </row>
    <row r="202" spans="1:10" ht="17" thickBot="1" x14ac:dyDescent="0.25">
      <c r="G202" s="265">
        <f>SUM(G188:G201)</f>
        <v>3227932</v>
      </c>
      <c r="J202" s="269">
        <f>SUM(J188:J201)</f>
        <v>1936747.6</v>
      </c>
    </row>
    <row r="203" spans="1:10" ht="19" thickBot="1" x14ac:dyDescent="0.25">
      <c r="A203" s="276" t="s">
        <v>2296</v>
      </c>
      <c r="G203" s="1"/>
      <c r="J203" s="1"/>
    </row>
    <row r="204" spans="1:10" ht="17" thickBot="1" x14ac:dyDescent="0.25">
      <c r="A204" s="9" t="s">
        <v>60</v>
      </c>
      <c r="B204" s="167"/>
      <c r="C204" s="9" t="s">
        <v>332</v>
      </c>
      <c r="D204" s="9" t="s">
        <v>1175</v>
      </c>
      <c r="E204" s="9">
        <v>20</v>
      </c>
      <c r="F204" s="10">
        <v>136848.4</v>
      </c>
      <c r="G204" s="10">
        <f>F204*E204</f>
        <v>2736968</v>
      </c>
    </row>
    <row r="205" spans="1:10" ht="17" thickBot="1" x14ac:dyDescent="0.25">
      <c r="A205" s="9" t="s">
        <v>60</v>
      </c>
      <c r="B205" s="167"/>
      <c r="C205" s="9" t="s">
        <v>332</v>
      </c>
      <c r="D205" s="9" t="s">
        <v>264</v>
      </c>
      <c r="E205" s="9">
        <v>10</v>
      </c>
      <c r="F205" s="10">
        <v>136848.4</v>
      </c>
      <c r="G205" s="10">
        <f>F205*E205</f>
        <v>1368484</v>
      </c>
    </row>
    <row r="206" spans="1:10" ht="17" thickBot="1" x14ac:dyDescent="0.25">
      <c r="A206" s="255"/>
      <c r="C206" s="255"/>
      <c r="D206" s="255"/>
      <c r="E206" s="255"/>
      <c r="F206" s="264"/>
      <c r="G206" s="12">
        <f>G205+G204</f>
        <v>4105452</v>
      </c>
    </row>
  </sheetData>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5A5AF-4D47-CE47-A9B6-3042E1FDFFD5}">
  <dimension ref="A3:M95"/>
  <sheetViews>
    <sheetView topLeftCell="A40" workbookViewId="0">
      <selection activeCell="B68" sqref="B68"/>
    </sheetView>
  </sheetViews>
  <sheetFormatPr baseColWidth="10" defaultRowHeight="16" x14ac:dyDescent="0.2"/>
  <cols>
    <col min="1" max="1" width="80.5" customWidth="1"/>
    <col min="2" max="2" width="20.5" style="78" customWidth="1"/>
    <col min="4" max="4" width="25.83203125" customWidth="1"/>
    <col min="5" max="5" width="11.5" bestFit="1" customWidth="1"/>
    <col min="6" max="6" width="13" bestFit="1" customWidth="1"/>
    <col min="7" max="7" width="14.6640625" customWidth="1"/>
    <col min="9" max="9" width="14.1640625" customWidth="1"/>
    <col min="10" max="10" width="13.33203125" customWidth="1"/>
    <col min="13" max="13" width="14.1640625" customWidth="1"/>
  </cols>
  <sheetData>
    <row r="3" spans="1:10" ht="17" thickBot="1" x14ac:dyDescent="0.25">
      <c r="A3" s="71" t="s">
        <v>1566</v>
      </c>
      <c r="B3" s="88"/>
      <c r="C3" s="67" t="s">
        <v>1069</v>
      </c>
      <c r="D3" s="67" t="s">
        <v>1070</v>
      </c>
      <c r="E3" s="67"/>
      <c r="F3" s="67"/>
      <c r="G3" s="67"/>
    </row>
    <row r="4" spans="1:10" ht="17" thickBot="1" x14ac:dyDescent="0.25">
      <c r="A4" s="68" t="s">
        <v>1071</v>
      </c>
      <c r="B4" s="89"/>
      <c r="C4" s="68" t="s">
        <v>36</v>
      </c>
      <c r="D4" s="68"/>
      <c r="E4" s="68">
        <v>5</v>
      </c>
      <c r="F4" s="69">
        <v>12760</v>
      </c>
      <c r="G4" s="69">
        <f>F4*E4</f>
        <v>63800</v>
      </c>
      <c r="H4" s="145">
        <v>5</v>
      </c>
      <c r="I4" s="146">
        <v>12760</v>
      </c>
      <c r="J4" s="146">
        <f>I4*H4</f>
        <v>63800</v>
      </c>
    </row>
    <row r="5" spans="1:10" ht="17" thickBot="1" x14ac:dyDescent="0.25">
      <c r="A5" s="68" t="s">
        <v>1072</v>
      </c>
      <c r="B5" s="89"/>
      <c r="C5" s="68" t="s">
        <v>36</v>
      </c>
      <c r="D5" s="68"/>
      <c r="E5" s="68">
        <v>20</v>
      </c>
      <c r="F5" s="69">
        <v>6577.2</v>
      </c>
      <c r="G5" s="69">
        <f t="shared" ref="G5:G26" si="0">F5*E5</f>
        <v>131544</v>
      </c>
      <c r="H5" s="145">
        <v>20</v>
      </c>
      <c r="I5" s="146">
        <v>6577.2</v>
      </c>
      <c r="J5" s="146">
        <f t="shared" ref="J5:J26" si="1">I5*H5</f>
        <v>131544</v>
      </c>
    </row>
    <row r="6" spans="1:10" ht="17" thickBot="1" x14ac:dyDescent="0.25">
      <c r="A6" s="68" t="s">
        <v>1073</v>
      </c>
      <c r="B6" s="89"/>
      <c r="C6" s="68" t="s">
        <v>36</v>
      </c>
      <c r="D6" s="68"/>
      <c r="E6" s="68">
        <v>60</v>
      </c>
      <c r="F6" s="69">
        <v>3712</v>
      </c>
      <c r="G6" s="69">
        <f t="shared" si="0"/>
        <v>222720</v>
      </c>
      <c r="H6" s="145">
        <v>60</v>
      </c>
      <c r="I6" s="146">
        <v>3712</v>
      </c>
      <c r="J6" s="146">
        <f t="shared" si="1"/>
        <v>222720</v>
      </c>
    </row>
    <row r="7" spans="1:10" ht="17" thickBot="1" x14ac:dyDescent="0.25">
      <c r="A7" s="68" t="s">
        <v>1074</v>
      </c>
      <c r="B7" s="89"/>
      <c r="C7" s="68" t="s">
        <v>36</v>
      </c>
      <c r="D7" s="68"/>
      <c r="E7" s="68">
        <v>5</v>
      </c>
      <c r="F7" s="69">
        <v>4756</v>
      </c>
      <c r="G7" s="69">
        <f t="shared" si="0"/>
        <v>23780</v>
      </c>
      <c r="H7" s="145">
        <v>5</v>
      </c>
      <c r="I7" s="146">
        <v>4756</v>
      </c>
      <c r="J7" s="146">
        <f t="shared" si="1"/>
        <v>23780</v>
      </c>
    </row>
    <row r="8" spans="1:10" ht="17" thickBot="1" x14ac:dyDescent="0.25">
      <c r="A8" s="68" t="s">
        <v>1075</v>
      </c>
      <c r="B8" s="89"/>
      <c r="C8" s="68" t="s">
        <v>36</v>
      </c>
      <c r="D8" s="68"/>
      <c r="E8" s="68">
        <v>2</v>
      </c>
      <c r="F8" s="69">
        <v>24360</v>
      </c>
      <c r="G8" s="69">
        <f t="shared" si="0"/>
        <v>48720</v>
      </c>
      <c r="H8" s="145">
        <v>2</v>
      </c>
      <c r="I8" s="146">
        <v>24360</v>
      </c>
      <c r="J8" s="146">
        <f t="shared" si="1"/>
        <v>48720</v>
      </c>
    </row>
    <row r="9" spans="1:10" ht="17" thickBot="1" x14ac:dyDescent="0.25">
      <c r="A9" s="68" t="s">
        <v>1076</v>
      </c>
      <c r="B9" s="89"/>
      <c r="C9" s="68" t="s">
        <v>36</v>
      </c>
      <c r="D9" s="68"/>
      <c r="E9" s="68">
        <v>5</v>
      </c>
      <c r="F9" s="69">
        <v>3596</v>
      </c>
      <c r="G9" s="69">
        <f t="shared" si="0"/>
        <v>17980</v>
      </c>
      <c r="H9" s="145">
        <v>5</v>
      </c>
      <c r="I9" s="146">
        <v>3596</v>
      </c>
      <c r="J9" s="146">
        <f t="shared" si="1"/>
        <v>17980</v>
      </c>
    </row>
    <row r="10" spans="1:10" ht="17" thickBot="1" x14ac:dyDescent="0.25">
      <c r="A10" s="68" t="s">
        <v>1077</v>
      </c>
      <c r="B10" s="89"/>
      <c r="C10" s="68" t="s">
        <v>36</v>
      </c>
      <c r="D10" s="68"/>
      <c r="E10" s="68">
        <v>5</v>
      </c>
      <c r="F10" s="69">
        <v>4640</v>
      </c>
      <c r="G10" s="69">
        <f t="shared" si="0"/>
        <v>23200</v>
      </c>
      <c r="H10" s="145"/>
      <c r="I10" s="146">
        <v>4640</v>
      </c>
      <c r="J10" s="146">
        <f t="shared" si="1"/>
        <v>0</v>
      </c>
    </row>
    <row r="11" spans="1:10" ht="17" thickBot="1" x14ac:dyDescent="0.25">
      <c r="A11" s="68" t="s">
        <v>1078</v>
      </c>
      <c r="B11" s="89"/>
      <c r="C11" s="68" t="s">
        <v>36</v>
      </c>
      <c r="D11" s="68"/>
      <c r="E11" s="68">
        <v>20</v>
      </c>
      <c r="F11" s="69">
        <v>11484</v>
      </c>
      <c r="G11" s="69">
        <f t="shared" si="0"/>
        <v>229680</v>
      </c>
      <c r="H11" s="145">
        <v>20</v>
      </c>
      <c r="I11" s="146">
        <v>11484</v>
      </c>
      <c r="J11" s="146">
        <f t="shared" si="1"/>
        <v>229680</v>
      </c>
    </row>
    <row r="12" spans="1:10" ht="17" thickBot="1" x14ac:dyDescent="0.25">
      <c r="A12" s="68" t="s">
        <v>1079</v>
      </c>
      <c r="B12" s="89"/>
      <c r="C12" s="68" t="s">
        <v>36</v>
      </c>
      <c r="D12" s="68"/>
      <c r="E12" s="68">
        <v>10</v>
      </c>
      <c r="F12" s="69">
        <v>3712</v>
      </c>
      <c r="G12" s="69">
        <f t="shared" si="0"/>
        <v>37120</v>
      </c>
      <c r="H12" s="145">
        <v>10</v>
      </c>
      <c r="I12" s="146">
        <v>3712</v>
      </c>
      <c r="J12" s="146">
        <f t="shared" si="1"/>
        <v>37120</v>
      </c>
    </row>
    <row r="13" spans="1:10" ht="17" thickBot="1" x14ac:dyDescent="0.25">
      <c r="A13" s="68" t="s">
        <v>1080</v>
      </c>
      <c r="B13" s="89"/>
      <c r="C13" s="68" t="s">
        <v>36</v>
      </c>
      <c r="D13" s="68"/>
      <c r="E13" s="68">
        <v>5</v>
      </c>
      <c r="F13" s="69">
        <v>11368</v>
      </c>
      <c r="G13" s="69">
        <f t="shared" si="0"/>
        <v>56840</v>
      </c>
      <c r="H13" s="145"/>
      <c r="I13" s="146">
        <v>11368</v>
      </c>
      <c r="J13" s="146">
        <f t="shared" si="1"/>
        <v>0</v>
      </c>
    </row>
    <row r="14" spans="1:10" ht="17" thickBot="1" x14ac:dyDescent="0.25">
      <c r="A14" s="68" t="s">
        <v>1081</v>
      </c>
      <c r="B14" s="89"/>
      <c r="C14" s="68" t="s">
        <v>36</v>
      </c>
      <c r="D14" s="68"/>
      <c r="E14" s="68">
        <v>10</v>
      </c>
      <c r="F14" s="69">
        <v>2320</v>
      </c>
      <c r="G14" s="69">
        <f t="shared" si="0"/>
        <v>23200</v>
      </c>
      <c r="H14" s="145">
        <v>10</v>
      </c>
      <c r="I14" s="146">
        <v>2320</v>
      </c>
      <c r="J14" s="146">
        <f t="shared" si="1"/>
        <v>23200</v>
      </c>
    </row>
    <row r="15" spans="1:10" ht="17" thickBot="1" x14ac:dyDescent="0.25">
      <c r="A15" s="68" t="s">
        <v>1082</v>
      </c>
      <c r="B15" s="89"/>
      <c r="C15" s="68" t="s">
        <v>36</v>
      </c>
      <c r="D15" s="68"/>
      <c r="E15" s="68">
        <v>5</v>
      </c>
      <c r="F15" s="69">
        <v>5916</v>
      </c>
      <c r="G15" s="69">
        <f t="shared" si="0"/>
        <v>29580</v>
      </c>
      <c r="H15" s="145">
        <v>5</v>
      </c>
      <c r="I15" s="146">
        <v>5916</v>
      </c>
      <c r="J15" s="146">
        <f t="shared" si="1"/>
        <v>29580</v>
      </c>
    </row>
    <row r="16" spans="1:10" ht="17" thickBot="1" x14ac:dyDescent="0.25">
      <c r="A16" s="68" t="s">
        <v>1083</v>
      </c>
      <c r="B16" s="89"/>
      <c r="C16" s="68" t="s">
        <v>36</v>
      </c>
      <c r="D16" s="68"/>
      <c r="E16" s="68">
        <v>5</v>
      </c>
      <c r="F16" s="69">
        <v>2088</v>
      </c>
      <c r="G16" s="69">
        <f t="shared" si="0"/>
        <v>10440</v>
      </c>
      <c r="H16" s="145"/>
      <c r="I16" s="146">
        <v>2088</v>
      </c>
      <c r="J16" s="146">
        <f t="shared" si="1"/>
        <v>0</v>
      </c>
    </row>
    <row r="17" spans="1:10" ht="17" thickBot="1" x14ac:dyDescent="0.25">
      <c r="A17" s="68" t="s">
        <v>1084</v>
      </c>
      <c r="B17" s="89"/>
      <c r="C17" s="68" t="s">
        <v>36</v>
      </c>
      <c r="D17" s="68"/>
      <c r="E17" s="68">
        <v>10</v>
      </c>
      <c r="F17" s="69">
        <v>5800</v>
      </c>
      <c r="G17" s="69">
        <f t="shared" si="0"/>
        <v>58000</v>
      </c>
      <c r="H17" s="145"/>
      <c r="I17" s="146">
        <v>5800</v>
      </c>
      <c r="J17" s="146">
        <f t="shared" si="1"/>
        <v>0</v>
      </c>
    </row>
    <row r="18" spans="1:10" ht="17" thickBot="1" x14ac:dyDescent="0.25">
      <c r="A18" s="68" t="s">
        <v>1085</v>
      </c>
      <c r="B18" s="89"/>
      <c r="C18" s="68" t="s">
        <v>36</v>
      </c>
      <c r="D18" s="68"/>
      <c r="E18" s="68">
        <v>5</v>
      </c>
      <c r="F18" s="69">
        <v>4756</v>
      </c>
      <c r="G18" s="69">
        <f t="shared" si="0"/>
        <v>23780</v>
      </c>
      <c r="H18" s="145">
        <v>5</v>
      </c>
      <c r="I18" s="146">
        <v>4756</v>
      </c>
      <c r="J18" s="146">
        <f t="shared" si="1"/>
        <v>23780</v>
      </c>
    </row>
    <row r="19" spans="1:10" ht="17" thickBot="1" x14ac:dyDescent="0.25">
      <c r="A19" s="68" t="s">
        <v>1086</v>
      </c>
      <c r="B19" s="89"/>
      <c r="C19" s="68" t="s">
        <v>36</v>
      </c>
      <c r="D19" s="68"/>
      <c r="E19" s="68">
        <v>10</v>
      </c>
      <c r="F19" s="69">
        <v>12760</v>
      </c>
      <c r="G19" s="69">
        <f t="shared" si="0"/>
        <v>127600</v>
      </c>
      <c r="H19" s="145"/>
      <c r="I19" s="146">
        <v>12760</v>
      </c>
      <c r="J19" s="146">
        <f t="shared" si="1"/>
        <v>0</v>
      </c>
    </row>
    <row r="20" spans="1:10" ht="17" thickBot="1" x14ac:dyDescent="0.25">
      <c r="A20" s="68" t="s">
        <v>1087</v>
      </c>
      <c r="B20" s="89"/>
      <c r="C20" s="68" t="s">
        <v>36</v>
      </c>
      <c r="D20" s="68"/>
      <c r="E20" s="68">
        <v>10</v>
      </c>
      <c r="F20" s="69">
        <v>10092</v>
      </c>
      <c r="G20" s="69">
        <f t="shared" si="0"/>
        <v>100920</v>
      </c>
      <c r="H20" s="145">
        <v>10</v>
      </c>
      <c r="I20" s="146">
        <v>10092</v>
      </c>
      <c r="J20" s="146">
        <f t="shared" si="1"/>
        <v>100920</v>
      </c>
    </row>
    <row r="21" spans="1:10" ht="17" thickBot="1" x14ac:dyDescent="0.25">
      <c r="A21" s="68" t="s">
        <v>1088</v>
      </c>
      <c r="B21" s="89"/>
      <c r="C21" s="68" t="s">
        <v>36</v>
      </c>
      <c r="D21" s="68"/>
      <c r="E21" s="68">
        <v>5</v>
      </c>
      <c r="F21" s="69">
        <v>16472</v>
      </c>
      <c r="G21" s="69">
        <f t="shared" si="0"/>
        <v>82360</v>
      </c>
      <c r="H21" s="145">
        <v>5</v>
      </c>
      <c r="I21" s="146">
        <v>16472</v>
      </c>
      <c r="J21" s="146">
        <f t="shared" si="1"/>
        <v>82360</v>
      </c>
    </row>
    <row r="22" spans="1:10" ht="17" thickBot="1" x14ac:dyDescent="0.25">
      <c r="A22" s="68" t="s">
        <v>1089</v>
      </c>
      <c r="B22" s="89"/>
      <c r="C22" s="68" t="s">
        <v>36</v>
      </c>
      <c r="D22" s="68"/>
      <c r="E22" s="68">
        <v>5</v>
      </c>
      <c r="F22" s="69">
        <v>6588.8</v>
      </c>
      <c r="G22" s="69">
        <f t="shared" si="0"/>
        <v>32944</v>
      </c>
      <c r="H22" s="145">
        <v>5</v>
      </c>
      <c r="I22" s="146">
        <v>6588.8</v>
      </c>
      <c r="J22" s="146">
        <f t="shared" si="1"/>
        <v>32944</v>
      </c>
    </row>
    <row r="23" spans="1:10" ht="17" thickBot="1" x14ac:dyDescent="0.25">
      <c r="A23" s="68" t="s">
        <v>1090</v>
      </c>
      <c r="B23" s="89"/>
      <c r="C23" s="68" t="s">
        <v>36</v>
      </c>
      <c r="D23" s="68"/>
      <c r="E23" s="68">
        <v>5</v>
      </c>
      <c r="F23" s="69">
        <v>3480</v>
      </c>
      <c r="G23" s="69">
        <f t="shared" si="0"/>
        <v>17400</v>
      </c>
      <c r="H23" s="145"/>
      <c r="I23" s="146">
        <v>3480</v>
      </c>
      <c r="J23" s="146">
        <f t="shared" si="1"/>
        <v>0</v>
      </c>
    </row>
    <row r="24" spans="1:10" ht="17" thickBot="1" x14ac:dyDescent="0.25">
      <c r="A24" s="68" t="s">
        <v>1091</v>
      </c>
      <c r="B24" s="89" t="s">
        <v>950</v>
      </c>
      <c r="C24" s="68" t="s">
        <v>36</v>
      </c>
      <c r="D24" s="68"/>
      <c r="E24" s="68">
        <v>10</v>
      </c>
      <c r="F24" s="69">
        <v>4640</v>
      </c>
      <c r="G24" s="69">
        <f t="shared" si="0"/>
        <v>46400</v>
      </c>
      <c r="H24" s="145">
        <v>10</v>
      </c>
      <c r="I24" s="146">
        <v>4640</v>
      </c>
      <c r="J24" s="146">
        <f t="shared" si="1"/>
        <v>46400</v>
      </c>
    </row>
    <row r="25" spans="1:10" ht="17" thickBot="1" x14ac:dyDescent="0.25">
      <c r="A25" s="68" t="s">
        <v>1092</v>
      </c>
      <c r="B25" s="89" t="s">
        <v>952</v>
      </c>
      <c r="C25" s="68" t="s">
        <v>36</v>
      </c>
      <c r="D25" s="68"/>
      <c r="E25" s="68">
        <v>10</v>
      </c>
      <c r="F25" s="69">
        <v>5916</v>
      </c>
      <c r="G25" s="69">
        <f t="shared" si="0"/>
        <v>59160</v>
      </c>
      <c r="H25" s="145">
        <v>10</v>
      </c>
      <c r="I25" s="146">
        <v>5916</v>
      </c>
      <c r="J25" s="146">
        <f t="shared" si="1"/>
        <v>59160</v>
      </c>
    </row>
    <row r="26" spans="1:10" ht="17" thickBot="1" x14ac:dyDescent="0.25">
      <c r="A26" s="68" t="s">
        <v>1093</v>
      </c>
      <c r="B26" s="89" t="s">
        <v>921</v>
      </c>
      <c r="C26" s="68" t="s">
        <v>36</v>
      </c>
      <c r="D26" s="68"/>
      <c r="E26" s="68">
        <v>10</v>
      </c>
      <c r="F26" s="69">
        <v>20474</v>
      </c>
      <c r="G26" s="69">
        <f t="shared" si="0"/>
        <v>204740</v>
      </c>
      <c r="H26" s="145">
        <v>10</v>
      </c>
      <c r="I26" s="146">
        <v>20474</v>
      </c>
      <c r="J26" s="146">
        <f t="shared" si="1"/>
        <v>204740</v>
      </c>
    </row>
    <row r="27" spans="1:10" ht="17" thickBot="1" x14ac:dyDescent="0.25">
      <c r="A27" s="67"/>
      <c r="B27" s="138"/>
      <c r="C27" s="67"/>
      <c r="D27" s="67"/>
      <c r="E27" s="67"/>
      <c r="F27" s="67"/>
      <c r="G27" s="72">
        <f>SUM(G4:G26)</f>
        <v>1671908</v>
      </c>
      <c r="H27" s="67"/>
      <c r="I27" s="67"/>
      <c r="J27" s="144">
        <f>SUM(J4:J26)</f>
        <v>1378428</v>
      </c>
    </row>
    <row r="29" spans="1:10" ht="17" thickBot="1" x14ac:dyDescent="0.25">
      <c r="A29" s="30" t="s">
        <v>1567</v>
      </c>
      <c r="B29" s="74"/>
      <c r="C29" s="2" t="s">
        <v>1069</v>
      </c>
      <c r="D29" s="2" t="s">
        <v>1070</v>
      </c>
      <c r="E29" s="2"/>
      <c r="F29" s="2"/>
      <c r="G29" s="2"/>
    </row>
    <row r="30" spans="1:10" ht="17" thickBot="1" x14ac:dyDescent="0.25">
      <c r="A30" s="9" t="s">
        <v>1096</v>
      </c>
      <c r="B30" s="76"/>
      <c r="C30" s="9" t="s">
        <v>36</v>
      </c>
      <c r="D30" s="9"/>
      <c r="E30" s="9">
        <v>3</v>
      </c>
      <c r="F30" s="10">
        <v>13920</v>
      </c>
      <c r="G30" s="10">
        <f>F30*E30</f>
        <v>41760</v>
      </c>
      <c r="H30" s="18">
        <v>3</v>
      </c>
      <c r="I30" s="19">
        <v>13920</v>
      </c>
      <c r="J30" s="19">
        <f>I30*H30</f>
        <v>41760</v>
      </c>
    </row>
    <row r="31" spans="1:10" ht="17" thickBot="1" x14ac:dyDescent="0.25">
      <c r="A31" s="9" t="s">
        <v>1073</v>
      </c>
      <c r="B31" s="76"/>
      <c r="C31" s="9" t="s">
        <v>36</v>
      </c>
      <c r="D31" s="9"/>
      <c r="E31" s="9">
        <v>150</v>
      </c>
      <c r="F31" s="10">
        <v>4756</v>
      </c>
      <c r="G31" s="10">
        <f>F31*E31</f>
        <v>713400</v>
      </c>
      <c r="H31" s="18">
        <v>150</v>
      </c>
      <c r="I31" s="19">
        <v>4756</v>
      </c>
      <c r="J31" s="19">
        <f>I31*H31</f>
        <v>713400</v>
      </c>
    </row>
    <row r="32" spans="1:10" ht="17" thickBot="1" x14ac:dyDescent="0.25">
      <c r="A32" s="2"/>
      <c r="B32" s="77"/>
      <c r="C32" s="2"/>
      <c r="D32" s="2"/>
      <c r="E32" s="2"/>
      <c r="F32" s="2"/>
      <c r="G32" s="103">
        <f>SUM(G30:G31)</f>
        <v>755160</v>
      </c>
      <c r="H32" s="2"/>
      <c r="I32" s="2"/>
      <c r="J32" s="114">
        <f>SUM(J30:J31)</f>
        <v>755160</v>
      </c>
    </row>
    <row r="33" spans="1:13" x14ac:dyDescent="0.2">
      <c r="A33" s="2"/>
      <c r="B33" s="77"/>
      <c r="C33" s="2"/>
      <c r="D33" s="2"/>
      <c r="E33" s="2"/>
      <c r="F33" s="2"/>
      <c r="G33" s="107"/>
    </row>
    <row r="34" spans="1:13" ht="17" thickBot="1" x14ac:dyDescent="0.25">
      <c r="A34" s="30" t="s">
        <v>1568</v>
      </c>
      <c r="B34" s="74"/>
      <c r="C34" s="2" t="s">
        <v>1069</v>
      </c>
      <c r="D34" s="2" t="s">
        <v>1070</v>
      </c>
      <c r="E34" s="2"/>
      <c r="F34" s="2"/>
      <c r="G34" s="2"/>
    </row>
    <row r="35" spans="1:13" ht="17" thickBot="1" x14ac:dyDescent="0.25">
      <c r="A35" s="9" t="s">
        <v>1189</v>
      </c>
      <c r="B35" s="76"/>
      <c r="C35" s="9" t="s">
        <v>36</v>
      </c>
      <c r="D35" s="9"/>
      <c r="E35" s="9">
        <v>10</v>
      </c>
      <c r="F35" s="10">
        <v>12992</v>
      </c>
      <c r="G35" s="12">
        <f>F35*E35</f>
        <v>129920</v>
      </c>
      <c r="H35" s="18">
        <v>10</v>
      </c>
      <c r="I35" s="19">
        <v>12992</v>
      </c>
      <c r="J35" s="34">
        <f>I35*H35</f>
        <v>129920</v>
      </c>
    </row>
    <row r="36" spans="1:13" x14ac:dyDescent="0.2">
      <c r="A36" s="2"/>
      <c r="B36" s="77"/>
      <c r="C36" s="2"/>
      <c r="D36" s="2"/>
      <c r="E36" s="2"/>
      <c r="F36" s="2"/>
      <c r="G36" s="107"/>
    </row>
    <row r="37" spans="1:13" x14ac:dyDescent="0.2">
      <c r="A37" s="2"/>
      <c r="B37" s="77"/>
      <c r="C37" s="2"/>
      <c r="D37" s="2"/>
      <c r="E37" s="2"/>
      <c r="F37" s="2"/>
      <c r="G37" s="107"/>
    </row>
    <row r="39" spans="1:13" ht="17" thickBot="1" x14ac:dyDescent="0.25">
      <c r="A39" s="30" t="s">
        <v>1174</v>
      </c>
      <c r="B39" s="74"/>
      <c r="C39" s="2" t="s">
        <v>1170</v>
      </c>
      <c r="D39" s="2" t="s">
        <v>1171</v>
      </c>
      <c r="E39" s="2"/>
      <c r="F39" s="2"/>
      <c r="G39" s="2"/>
    </row>
    <row r="40" spans="1:13" ht="17" thickBot="1" x14ac:dyDescent="0.25">
      <c r="A40" s="9" t="s">
        <v>1172</v>
      </c>
      <c r="B40" s="76" t="s">
        <v>876</v>
      </c>
      <c r="C40" s="9" t="s">
        <v>36</v>
      </c>
      <c r="D40" s="9"/>
      <c r="E40" s="9">
        <v>3</v>
      </c>
      <c r="F40" s="10">
        <v>13920</v>
      </c>
      <c r="G40" s="10">
        <f>F40*E40</f>
        <v>41760</v>
      </c>
      <c r="H40" s="18">
        <v>3</v>
      </c>
      <c r="I40" s="19">
        <v>13920</v>
      </c>
      <c r="J40" s="19">
        <f>I40*H40</f>
        <v>41760</v>
      </c>
      <c r="K40" s="92"/>
      <c r="L40" s="93">
        <v>13920</v>
      </c>
      <c r="M40" s="93">
        <f>L40*K40</f>
        <v>0</v>
      </c>
    </row>
    <row r="41" spans="1:13" ht="17" thickBot="1" x14ac:dyDescent="0.25">
      <c r="A41" s="9" t="s">
        <v>1173</v>
      </c>
      <c r="B41" s="76"/>
      <c r="C41" s="9" t="s">
        <v>36</v>
      </c>
      <c r="D41" s="9"/>
      <c r="E41" s="9">
        <v>5</v>
      </c>
      <c r="F41" s="10">
        <v>8120</v>
      </c>
      <c r="G41" s="10">
        <f>F41*E41</f>
        <v>40600</v>
      </c>
      <c r="H41" s="18"/>
      <c r="I41" s="19">
        <v>8120</v>
      </c>
      <c r="J41" s="19">
        <f>I41*H41</f>
        <v>0</v>
      </c>
      <c r="K41" s="92">
        <v>5</v>
      </c>
      <c r="L41" s="93">
        <v>8120</v>
      </c>
      <c r="M41" s="93">
        <f>L41*K41</f>
        <v>40600</v>
      </c>
    </row>
    <row r="42" spans="1:13" ht="17" thickBot="1" x14ac:dyDescent="0.25">
      <c r="A42" s="2"/>
      <c r="B42" s="77"/>
      <c r="C42" s="2"/>
      <c r="D42" s="2"/>
      <c r="E42" s="2"/>
      <c r="F42" s="2"/>
      <c r="G42" s="103">
        <f>G41+G40</f>
        <v>82360</v>
      </c>
      <c r="H42" s="2"/>
      <c r="I42" s="2"/>
      <c r="J42" s="114">
        <f>J41+J40</f>
        <v>41760</v>
      </c>
      <c r="K42" s="2"/>
      <c r="L42" s="2"/>
      <c r="M42" s="170">
        <f>M41+M40</f>
        <v>40600</v>
      </c>
    </row>
    <row r="44" spans="1:13" ht="17" thickBot="1" x14ac:dyDescent="0.25">
      <c r="A44" s="30" t="s">
        <v>1569</v>
      </c>
      <c r="B44" s="74"/>
      <c r="C44" s="2" t="s">
        <v>1250</v>
      </c>
      <c r="D44" s="2" t="s">
        <v>1249</v>
      </c>
      <c r="E44" s="2"/>
      <c r="F44" s="2"/>
      <c r="G44" s="2"/>
    </row>
    <row r="45" spans="1:13" ht="17" thickBot="1" x14ac:dyDescent="0.25">
      <c r="A45" s="9" t="s">
        <v>140</v>
      </c>
      <c r="B45" s="76"/>
      <c r="C45" s="9" t="s">
        <v>36</v>
      </c>
      <c r="D45" s="9" t="s">
        <v>141</v>
      </c>
      <c r="E45" s="9">
        <v>10</v>
      </c>
      <c r="F45" s="10">
        <v>10904</v>
      </c>
      <c r="G45" s="10">
        <f>F45*E45</f>
        <v>109040</v>
      </c>
      <c r="H45" s="18">
        <v>10</v>
      </c>
      <c r="I45" s="19">
        <v>10904</v>
      </c>
      <c r="J45" s="19">
        <f>I45*H45</f>
        <v>109040</v>
      </c>
      <c r="K45" s="251"/>
      <c r="L45" s="252">
        <v>10904</v>
      </c>
      <c r="M45" s="252">
        <f>L45*K45</f>
        <v>0</v>
      </c>
    </row>
    <row r="46" spans="1:13" ht="17" thickBot="1" x14ac:dyDescent="0.25">
      <c r="A46" s="9" t="s">
        <v>58</v>
      </c>
      <c r="B46" s="76"/>
      <c r="C46" s="9" t="s">
        <v>36</v>
      </c>
      <c r="D46" s="9" t="s">
        <v>346</v>
      </c>
      <c r="E46" s="9">
        <v>25</v>
      </c>
      <c r="F46" s="10">
        <v>15892</v>
      </c>
      <c r="G46" s="10">
        <f t="shared" ref="G46:G55" si="2">F46*E46</f>
        <v>397300</v>
      </c>
      <c r="H46" s="18">
        <v>25</v>
      </c>
      <c r="I46" s="19">
        <v>15892</v>
      </c>
      <c r="J46" s="19">
        <f t="shared" ref="J46:J55" si="3">I46*H46</f>
        <v>397300</v>
      </c>
      <c r="K46" s="251"/>
      <c r="L46" s="252">
        <v>15892</v>
      </c>
      <c r="M46" s="252">
        <f t="shared" ref="M46:M55" si="4">L46*K46</f>
        <v>0</v>
      </c>
    </row>
    <row r="47" spans="1:13" ht="17" thickBot="1" x14ac:dyDescent="0.25">
      <c r="A47" s="9" t="s">
        <v>58</v>
      </c>
      <c r="B47" s="76"/>
      <c r="C47" s="9" t="s">
        <v>36</v>
      </c>
      <c r="D47" s="9" t="s">
        <v>349</v>
      </c>
      <c r="E47" s="9">
        <v>6</v>
      </c>
      <c r="F47" s="10">
        <v>5434.6</v>
      </c>
      <c r="G47" s="10">
        <f t="shared" si="2"/>
        <v>32607.600000000002</v>
      </c>
      <c r="H47" s="18">
        <v>6</v>
      </c>
      <c r="I47" s="19">
        <v>5434.6</v>
      </c>
      <c r="J47" s="19">
        <f t="shared" si="3"/>
        <v>32607.600000000002</v>
      </c>
      <c r="K47" s="251"/>
      <c r="L47" s="252">
        <v>5434.6</v>
      </c>
      <c r="M47" s="252">
        <f t="shared" si="4"/>
        <v>0</v>
      </c>
    </row>
    <row r="48" spans="1:13" ht="17" thickBot="1" x14ac:dyDescent="0.25">
      <c r="A48" s="9" t="s">
        <v>200</v>
      </c>
      <c r="B48" s="76"/>
      <c r="C48" s="9" t="s">
        <v>36</v>
      </c>
      <c r="D48" s="9" t="s">
        <v>204</v>
      </c>
      <c r="E48" s="9">
        <v>20</v>
      </c>
      <c r="F48" s="10">
        <v>12644</v>
      </c>
      <c r="G48" s="10">
        <f t="shared" si="2"/>
        <v>252880</v>
      </c>
      <c r="H48" s="18">
        <v>20</v>
      </c>
      <c r="I48" s="19">
        <v>12644</v>
      </c>
      <c r="J48" s="19">
        <f t="shared" si="3"/>
        <v>252880</v>
      </c>
      <c r="K48" s="251"/>
      <c r="L48" s="252">
        <v>12644</v>
      </c>
      <c r="M48" s="252">
        <f t="shared" si="4"/>
        <v>0</v>
      </c>
    </row>
    <row r="49" spans="1:13" ht="17" thickBot="1" x14ac:dyDescent="0.25">
      <c r="A49" s="9" t="s">
        <v>1248</v>
      </c>
      <c r="B49" s="76"/>
      <c r="C49" s="9" t="s">
        <v>36</v>
      </c>
      <c r="D49" s="9" t="s">
        <v>309</v>
      </c>
      <c r="E49" s="9">
        <v>30</v>
      </c>
      <c r="F49" s="10">
        <v>2668</v>
      </c>
      <c r="G49" s="10">
        <f t="shared" si="2"/>
        <v>80040</v>
      </c>
      <c r="H49" s="18">
        <v>30</v>
      </c>
      <c r="I49" s="19">
        <v>2668</v>
      </c>
      <c r="J49" s="19">
        <f t="shared" si="3"/>
        <v>80040</v>
      </c>
      <c r="K49" s="251"/>
      <c r="L49" s="252">
        <v>2668</v>
      </c>
      <c r="M49" s="252">
        <f t="shared" si="4"/>
        <v>0</v>
      </c>
    </row>
    <row r="50" spans="1:13" ht="17" thickBot="1" x14ac:dyDescent="0.25">
      <c r="A50" s="9" t="s">
        <v>1247</v>
      </c>
      <c r="B50" s="76"/>
      <c r="C50" s="9" t="s">
        <v>36</v>
      </c>
      <c r="D50" s="9" t="s">
        <v>298</v>
      </c>
      <c r="E50" s="9">
        <v>12</v>
      </c>
      <c r="F50" s="10">
        <v>10639.52</v>
      </c>
      <c r="G50" s="10">
        <f t="shared" si="2"/>
        <v>127674.24000000001</v>
      </c>
      <c r="H50" s="18">
        <v>12</v>
      </c>
      <c r="I50" s="19">
        <v>10639.52</v>
      </c>
      <c r="J50" s="19">
        <f t="shared" si="3"/>
        <v>127674.24000000001</v>
      </c>
      <c r="K50" s="251"/>
      <c r="L50" s="252">
        <v>10639.52</v>
      </c>
      <c r="M50" s="252">
        <f t="shared" si="4"/>
        <v>0</v>
      </c>
    </row>
    <row r="51" spans="1:13" ht="17" thickBot="1" x14ac:dyDescent="0.25">
      <c r="A51" s="9" t="s">
        <v>795</v>
      </c>
      <c r="B51" s="76"/>
      <c r="C51" s="9" t="s">
        <v>36</v>
      </c>
      <c r="D51" s="9" t="s">
        <v>302</v>
      </c>
      <c r="E51" s="9">
        <v>60</v>
      </c>
      <c r="F51" s="10">
        <v>14848</v>
      </c>
      <c r="G51" s="10">
        <f t="shared" si="2"/>
        <v>890880</v>
      </c>
      <c r="H51" s="18">
        <v>8</v>
      </c>
      <c r="I51" s="19">
        <v>14848</v>
      </c>
      <c r="J51" s="19">
        <f t="shared" si="3"/>
        <v>118784</v>
      </c>
      <c r="K51" s="251">
        <v>13</v>
      </c>
      <c r="L51" s="252">
        <v>14848</v>
      </c>
      <c r="M51" s="252">
        <f t="shared" si="4"/>
        <v>193024</v>
      </c>
    </row>
    <row r="52" spans="1:13" ht="17" thickBot="1" x14ac:dyDescent="0.25">
      <c r="A52" s="9" t="s">
        <v>1102</v>
      </c>
      <c r="B52" s="76"/>
      <c r="C52" s="9" t="s">
        <v>36</v>
      </c>
      <c r="D52" s="9" t="s">
        <v>1246</v>
      </c>
      <c r="E52" s="9">
        <v>6</v>
      </c>
      <c r="F52" s="10">
        <v>9558.4</v>
      </c>
      <c r="G52" s="10">
        <f t="shared" si="2"/>
        <v>57350.399999999994</v>
      </c>
      <c r="H52" s="18"/>
      <c r="I52" s="19">
        <v>9558.4</v>
      </c>
      <c r="J52" s="19">
        <f t="shared" si="3"/>
        <v>0</v>
      </c>
      <c r="K52" s="251"/>
      <c r="L52" s="252">
        <v>9558.4</v>
      </c>
      <c r="M52" s="252">
        <f t="shared" si="4"/>
        <v>0</v>
      </c>
    </row>
    <row r="53" spans="1:13" ht="17" thickBot="1" x14ac:dyDescent="0.25">
      <c r="A53" s="9" t="s">
        <v>58</v>
      </c>
      <c r="B53" s="76"/>
      <c r="C53" s="9" t="s">
        <v>36</v>
      </c>
      <c r="D53" s="9" t="s">
        <v>648</v>
      </c>
      <c r="E53" s="9">
        <v>9</v>
      </c>
      <c r="F53" s="10">
        <v>18676</v>
      </c>
      <c r="G53" s="10">
        <f t="shared" si="2"/>
        <v>168084</v>
      </c>
      <c r="H53" s="18">
        <v>9</v>
      </c>
      <c r="I53" s="19">
        <v>18676</v>
      </c>
      <c r="J53" s="19">
        <f t="shared" si="3"/>
        <v>168084</v>
      </c>
      <c r="K53" s="251"/>
      <c r="L53" s="252">
        <v>18676</v>
      </c>
      <c r="M53" s="252">
        <f t="shared" si="4"/>
        <v>0</v>
      </c>
    </row>
    <row r="54" spans="1:13" ht="17" thickBot="1" x14ac:dyDescent="0.25">
      <c r="A54" s="9" t="s">
        <v>1245</v>
      </c>
      <c r="B54" s="76"/>
      <c r="C54" s="9" t="s">
        <v>36</v>
      </c>
      <c r="D54" s="9" t="s">
        <v>1227</v>
      </c>
      <c r="E54" s="9">
        <v>12</v>
      </c>
      <c r="F54" s="10">
        <v>3770</v>
      </c>
      <c r="G54" s="10">
        <f t="shared" si="2"/>
        <v>45240</v>
      </c>
      <c r="H54" s="18"/>
      <c r="I54" s="19">
        <v>3770</v>
      </c>
      <c r="J54" s="19">
        <f t="shared" si="3"/>
        <v>0</v>
      </c>
      <c r="K54" s="251"/>
      <c r="L54" s="252">
        <v>3770</v>
      </c>
      <c r="M54" s="252">
        <f t="shared" si="4"/>
        <v>0</v>
      </c>
    </row>
    <row r="55" spans="1:13" ht="17" thickBot="1" x14ac:dyDescent="0.25">
      <c r="A55" s="9" t="s">
        <v>1244</v>
      </c>
      <c r="B55" s="76"/>
      <c r="C55" s="9" t="s">
        <v>36</v>
      </c>
      <c r="D55" s="9" t="s">
        <v>1243</v>
      </c>
      <c r="E55" s="9">
        <v>12</v>
      </c>
      <c r="F55" s="10">
        <v>9744</v>
      </c>
      <c r="G55" s="10">
        <f t="shared" si="2"/>
        <v>116928</v>
      </c>
      <c r="H55" s="18">
        <v>12</v>
      </c>
      <c r="I55" s="19">
        <v>9744</v>
      </c>
      <c r="J55" s="19">
        <f t="shared" si="3"/>
        <v>116928</v>
      </c>
      <c r="K55" s="251"/>
      <c r="L55" s="252">
        <v>9744</v>
      </c>
      <c r="M55" s="252">
        <f t="shared" si="4"/>
        <v>0</v>
      </c>
    </row>
    <row r="56" spans="1:13" ht="17" thickBot="1" x14ac:dyDescent="0.25">
      <c r="A56" s="2"/>
      <c r="B56" s="77"/>
      <c r="C56" s="2"/>
      <c r="D56" s="2"/>
      <c r="E56" s="2"/>
      <c r="F56" s="2"/>
      <c r="G56" s="103">
        <f>SUM(G45:G55)</f>
        <v>2278024.2399999998</v>
      </c>
      <c r="H56" s="2"/>
      <c r="I56" s="2"/>
      <c r="J56" s="114">
        <f>SUM(J45:J55)</f>
        <v>1403337.8399999999</v>
      </c>
      <c r="K56" s="2"/>
      <c r="L56" s="2"/>
      <c r="M56" s="272">
        <f>SUM(M45:M55)</f>
        <v>193024</v>
      </c>
    </row>
    <row r="58" spans="1:13" ht="17" thickBot="1" x14ac:dyDescent="0.25">
      <c r="A58" s="30" t="s">
        <v>1953</v>
      </c>
      <c r="B58" s="2" t="s">
        <v>1250</v>
      </c>
      <c r="C58" s="2" t="s">
        <v>1249</v>
      </c>
      <c r="D58" s="2"/>
      <c r="E58" s="2"/>
      <c r="F58" s="2"/>
    </row>
    <row r="59" spans="1:13" ht="17" thickBot="1" x14ac:dyDescent="0.25">
      <c r="A59" s="9" t="s">
        <v>58</v>
      </c>
      <c r="B59" s="207" t="s">
        <v>879</v>
      </c>
      <c r="C59" s="155" t="s">
        <v>36</v>
      </c>
      <c r="D59" s="9" t="s">
        <v>264</v>
      </c>
      <c r="E59" s="9">
        <v>40</v>
      </c>
      <c r="F59" s="10">
        <v>136764</v>
      </c>
      <c r="G59" s="10">
        <f>F59*E59</f>
        <v>5470560</v>
      </c>
      <c r="H59" s="18">
        <v>40</v>
      </c>
      <c r="I59" s="19">
        <v>136764</v>
      </c>
      <c r="J59" s="19">
        <f>I59*H59</f>
        <v>5470560</v>
      </c>
    </row>
    <row r="60" spans="1:13" ht="17" thickBot="1" x14ac:dyDescent="0.25">
      <c r="A60" s="9" t="s">
        <v>58</v>
      </c>
      <c r="B60" s="207" t="s">
        <v>893</v>
      </c>
      <c r="C60" s="155" t="s">
        <v>36</v>
      </c>
      <c r="D60" s="9" t="s">
        <v>333</v>
      </c>
      <c r="E60" s="9">
        <v>10</v>
      </c>
      <c r="F60" s="10">
        <v>136764</v>
      </c>
      <c r="G60" s="10">
        <f>F60*E60</f>
        <v>1367640</v>
      </c>
      <c r="H60" s="18">
        <v>10</v>
      </c>
      <c r="I60" s="19">
        <v>136764</v>
      </c>
      <c r="J60" s="19">
        <f>I60*H60</f>
        <v>1367640</v>
      </c>
    </row>
    <row r="61" spans="1:13" ht="17" thickBot="1" x14ac:dyDescent="0.25">
      <c r="A61" s="2"/>
      <c r="B61" s="2"/>
      <c r="C61" s="2"/>
      <c r="D61" s="2"/>
      <c r="E61" s="2"/>
      <c r="F61" s="3"/>
      <c r="G61" s="12">
        <f>SUM(G59:G60)</f>
        <v>6838200</v>
      </c>
      <c r="H61" s="2"/>
      <c r="I61" s="3"/>
      <c r="J61" s="34">
        <f>SUM(J59:J60)</f>
        <v>6838200</v>
      </c>
    </row>
    <row r="62" spans="1:13" ht="17" thickBot="1" x14ac:dyDescent="0.25">
      <c r="A62" s="275" t="s">
        <v>2133</v>
      </c>
    </row>
    <row r="63" spans="1:13" ht="17" thickBot="1" x14ac:dyDescent="0.25">
      <c r="A63" s="9" t="s">
        <v>61</v>
      </c>
      <c r="B63" s="207" t="s">
        <v>889</v>
      </c>
      <c r="C63" s="9" t="s">
        <v>36</v>
      </c>
      <c r="D63" s="9" t="s">
        <v>303</v>
      </c>
      <c r="E63" s="9">
        <v>6</v>
      </c>
      <c r="F63" s="10">
        <v>6612</v>
      </c>
      <c r="G63" s="10">
        <f>F63*E63</f>
        <v>39672</v>
      </c>
      <c r="H63" s="23">
        <v>3</v>
      </c>
      <c r="I63" s="24">
        <v>6612</v>
      </c>
      <c r="J63" s="24">
        <f>I63*H63</f>
        <v>19836</v>
      </c>
    </row>
    <row r="64" spans="1:13" ht="17" thickBot="1" x14ac:dyDescent="0.25">
      <c r="A64" s="9" t="s">
        <v>61</v>
      </c>
      <c r="B64" s="207" t="s">
        <v>881</v>
      </c>
      <c r="C64" s="9" t="s">
        <v>36</v>
      </c>
      <c r="D64" s="9" t="s">
        <v>169</v>
      </c>
      <c r="E64" s="9">
        <v>12</v>
      </c>
      <c r="F64" s="10">
        <v>8224.4</v>
      </c>
      <c r="G64" s="10">
        <f t="shared" ref="G64:G69" si="5">F64*E64</f>
        <v>98692.799999999988</v>
      </c>
      <c r="H64" s="23">
        <v>6</v>
      </c>
      <c r="I64" s="24">
        <v>8224.4</v>
      </c>
      <c r="J64" s="24">
        <f t="shared" ref="J64:J69" si="6">I64*H64</f>
        <v>49346.399999999994</v>
      </c>
    </row>
    <row r="65" spans="1:10" ht="17" thickBot="1" x14ac:dyDescent="0.25">
      <c r="A65" s="9" t="s">
        <v>115</v>
      </c>
      <c r="B65" s="207" t="s">
        <v>1336</v>
      </c>
      <c r="C65" s="9" t="s">
        <v>36</v>
      </c>
      <c r="D65" s="9" t="s">
        <v>1222</v>
      </c>
      <c r="E65" s="9">
        <v>9</v>
      </c>
      <c r="F65" s="10">
        <v>10627.92</v>
      </c>
      <c r="G65" s="10">
        <f t="shared" si="5"/>
        <v>95651.28</v>
      </c>
      <c r="H65" s="23">
        <v>5</v>
      </c>
      <c r="I65" s="24">
        <v>10627.92</v>
      </c>
      <c r="J65" s="24">
        <f t="shared" si="6"/>
        <v>53139.6</v>
      </c>
    </row>
    <row r="66" spans="1:10" ht="17" thickBot="1" x14ac:dyDescent="0.25">
      <c r="A66" s="9" t="s">
        <v>159</v>
      </c>
      <c r="B66" s="207" t="s">
        <v>1361</v>
      </c>
      <c r="C66" s="9" t="s">
        <v>36</v>
      </c>
      <c r="D66" s="9" t="s">
        <v>1385</v>
      </c>
      <c r="E66" s="9">
        <v>15</v>
      </c>
      <c r="F66" s="10">
        <v>11134.84</v>
      </c>
      <c r="G66" s="10">
        <f t="shared" si="5"/>
        <v>167022.6</v>
      </c>
      <c r="H66" s="23">
        <v>8</v>
      </c>
      <c r="I66" s="24">
        <v>11134.84</v>
      </c>
      <c r="J66" s="24">
        <f t="shared" si="6"/>
        <v>89078.720000000001</v>
      </c>
    </row>
    <row r="67" spans="1:10" ht="17" thickBot="1" x14ac:dyDescent="0.25">
      <c r="A67" s="9" t="s">
        <v>159</v>
      </c>
      <c r="B67" s="207" t="s">
        <v>1361</v>
      </c>
      <c r="C67" s="9" t="s">
        <v>36</v>
      </c>
      <c r="D67" s="9" t="s">
        <v>312</v>
      </c>
      <c r="E67" s="9">
        <v>15</v>
      </c>
      <c r="F67" s="10">
        <v>11146.44</v>
      </c>
      <c r="G67" s="10">
        <f t="shared" si="5"/>
        <v>167196.6</v>
      </c>
      <c r="H67" s="23">
        <v>8</v>
      </c>
      <c r="I67" s="24">
        <v>11146.44</v>
      </c>
      <c r="J67" s="24">
        <f t="shared" si="6"/>
        <v>89171.520000000004</v>
      </c>
    </row>
    <row r="68" spans="1:10" ht="17" thickBot="1" x14ac:dyDescent="0.25">
      <c r="A68" s="9" t="s">
        <v>334</v>
      </c>
      <c r="B68" s="207" t="s">
        <v>953</v>
      </c>
      <c r="C68" s="9" t="s">
        <v>36</v>
      </c>
      <c r="D68" s="9" t="s">
        <v>1243</v>
      </c>
      <c r="E68" s="9">
        <v>12</v>
      </c>
      <c r="F68" s="10">
        <v>9256.7999999999993</v>
      </c>
      <c r="G68" s="10">
        <f t="shared" si="5"/>
        <v>111081.59999999999</v>
      </c>
      <c r="H68" s="23">
        <v>6</v>
      </c>
      <c r="I68" s="24">
        <v>9256.7999999999993</v>
      </c>
      <c r="J68" s="24">
        <f t="shared" si="6"/>
        <v>55540.799999999996</v>
      </c>
    </row>
    <row r="69" spans="1:10" ht="17" thickBot="1" x14ac:dyDescent="0.25">
      <c r="A69" s="9" t="s">
        <v>115</v>
      </c>
      <c r="B69" s="207" t="s">
        <v>1340</v>
      </c>
      <c r="C69" s="9" t="s">
        <v>36</v>
      </c>
      <c r="D69" s="9" t="s">
        <v>123</v>
      </c>
      <c r="E69" s="9">
        <v>30</v>
      </c>
      <c r="F69" s="10">
        <v>10122.16</v>
      </c>
      <c r="G69" s="10">
        <f t="shared" si="5"/>
        <v>303664.8</v>
      </c>
      <c r="H69" s="23">
        <v>15</v>
      </c>
      <c r="I69" s="24">
        <v>10122.16</v>
      </c>
      <c r="J69" s="24">
        <f t="shared" si="6"/>
        <v>151832.4</v>
      </c>
    </row>
    <row r="70" spans="1:10" ht="17" thickBot="1" x14ac:dyDescent="0.25">
      <c r="F70" s="1"/>
      <c r="G70" s="273">
        <f>SUM(G63:G69)</f>
        <v>982981.67999999993</v>
      </c>
      <c r="I70" s="1"/>
      <c r="J70" s="26">
        <f>SUM(J63:J69)</f>
        <v>507945.43999999994</v>
      </c>
    </row>
    <row r="71" spans="1:10" x14ac:dyDescent="0.2">
      <c r="F71" s="1"/>
      <c r="G71" s="282"/>
      <c r="I71" s="1"/>
      <c r="J71" s="132"/>
    </row>
    <row r="72" spans="1:10" x14ac:dyDescent="0.2">
      <c r="F72" s="1"/>
      <c r="G72" s="282"/>
      <c r="I72" s="1"/>
      <c r="J72" s="132"/>
    </row>
    <row r="73" spans="1:10" x14ac:dyDescent="0.2">
      <c r="F73" s="1"/>
      <c r="G73" s="282"/>
      <c r="I73" s="1"/>
      <c r="J73" s="132"/>
    </row>
    <row r="74" spans="1:10" x14ac:dyDescent="0.2">
      <c r="F74" s="1"/>
      <c r="G74" s="282"/>
      <c r="I74" s="1"/>
      <c r="J74" s="132"/>
    </row>
    <row r="75" spans="1:10" x14ac:dyDescent="0.2">
      <c r="F75" s="1"/>
      <c r="G75" s="282"/>
      <c r="I75" s="1"/>
      <c r="J75" s="132"/>
    </row>
    <row r="76" spans="1:10" x14ac:dyDescent="0.2">
      <c r="F76" s="1"/>
      <c r="G76" s="282"/>
      <c r="I76" s="1"/>
      <c r="J76" s="132"/>
    </row>
    <row r="77" spans="1:10" x14ac:dyDescent="0.2">
      <c r="F77" s="1"/>
      <c r="G77" s="282"/>
      <c r="I77" s="1"/>
      <c r="J77" s="132"/>
    </row>
    <row r="78" spans="1:10" x14ac:dyDescent="0.2">
      <c r="F78" s="1"/>
      <c r="G78" s="282"/>
      <c r="I78" s="1"/>
      <c r="J78" s="132"/>
    </row>
    <row r="79" spans="1:10" x14ac:dyDescent="0.2">
      <c r="F79" s="1"/>
      <c r="G79" s="282"/>
      <c r="I79" s="1"/>
      <c r="J79" s="132"/>
    </row>
    <row r="80" spans="1:10" x14ac:dyDescent="0.2">
      <c r="I80" s="1"/>
      <c r="J80" s="1"/>
    </row>
    <row r="83" spans="1:7" ht="17" thickBot="1" x14ac:dyDescent="0.25">
      <c r="A83" s="30" t="s">
        <v>1929</v>
      </c>
      <c r="B83" s="2" t="s">
        <v>1170</v>
      </c>
      <c r="C83" s="2" t="s">
        <v>1171</v>
      </c>
      <c r="D83" s="2"/>
      <c r="E83" s="2"/>
      <c r="F83" s="2"/>
    </row>
    <row r="84" spans="1:7" ht="17" thickBot="1" x14ac:dyDescent="0.25">
      <c r="A84" s="9" t="s">
        <v>1918</v>
      </c>
      <c r="B84" s="155"/>
      <c r="C84" s="155" t="s">
        <v>36</v>
      </c>
      <c r="D84" s="9"/>
      <c r="E84" s="9">
        <v>3</v>
      </c>
      <c r="F84" s="10">
        <v>5997.2</v>
      </c>
      <c r="G84" s="10">
        <f>F84*E84</f>
        <v>17991.599999999999</v>
      </c>
    </row>
    <row r="85" spans="1:7" ht="17" thickBot="1" x14ac:dyDescent="0.25">
      <c r="A85" s="9" t="s">
        <v>1919</v>
      </c>
      <c r="B85" s="155"/>
      <c r="C85" s="155" t="s">
        <v>36</v>
      </c>
      <c r="D85" s="9"/>
      <c r="E85" s="9">
        <v>3</v>
      </c>
      <c r="F85" s="10">
        <v>6693.2</v>
      </c>
      <c r="G85" s="10">
        <f t="shared" ref="G85:G94" si="7">F85*E85</f>
        <v>20079.599999999999</v>
      </c>
    </row>
    <row r="86" spans="1:7" ht="17" thickBot="1" x14ac:dyDescent="0.25">
      <c r="A86" s="9" t="s">
        <v>1920</v>
      </c>
      <c r="B86" s="155"/>
      <c r="C86" s="155" t="s">
        <v>36</v>
      </c>
      <c r="D86" s="9"/>
      <c r="E86" s="9">
        <v>5</v>
      </c>
      <c r="F86" s="10">
        <v>6739.6</v>
      </c>
      <c r="G86" s="10">
        <f t="shared" si="7"/>
        <v>33698</v>
      </c>
    </row>
    <row r="87" spans="1:7" ht="17" thickBot="1" x14ac:dyDescent="0.25">
      <c r="A87" s="9" t="s">
        <v>1921</v>
      </c>
      <c r="B87" s="155"/>
      <c r="C87" s="155" t="s">
        <v>36</v>
      </c>
      <c r="D87" s="9"/>
      <c r="E87" s="9">
        <v>5</v>
      </c>
      <c r="F87" s="10">
        <v>5695.6</v>
      </c>
      <c r="G87" s="10">
        <f t="shared" si="7"/>
        <v>28478</v>
      </c>
    </row>
    <row r="88" spans="1:7" ht="17" thickBot="1" x14ac:dyDescent="0.25">
      <c r="A88" s="9" t="s">
        <v>1922</v>
      </c>
      <c r="B88" s="155"/>
      <c r="C88" s="155" t="s">
        <v>36</v>
      </c>
      <c r="D88" s="9"/>
      <c r="E88" s="9">
        <v>5</v>
      </c>
      <c r="F88" s="10">
        <v>6693.2</v>
      </c>
      <c r="G88" s="10">
        <f t="shared" si="7"/>
        <v>33466</v>
      </c>
    </row>
    <row r="89" spans="1:7" ht="17" thickBot="1" x14ac:dyDescent="0.25">
      <c r="A89" s="9" t="s">
        <v>1923</v>
      </c>
      <c r="B89" s="155"/>
      <c r="C89" s="155" t="s">
        <v>36</v>
      </c>
      <c r="D89" s="9"/>
      <c r="E89" s="9">
        <v>5</v>
      </c>
      <c r="F89" s="10">
        <v>11194</v>
      </c>
      <c r="G89" s="10">
        <f t="shared" si="7"/>
        <v>55970</v>
      </c>
    </row>
    <row r="90" spans="1:7" ht="17" thickBot="1" x14ac:dyDescent="0.25">
      <c r="A90" s="9" t="s">
        <v>1924</v>
      </c>
      <c r="B90" s="155"/>
      <c r="C90" s="155" t="s">
        <v>36</v>
      </c>
      <c r="D90" s="9"/>
      <c r="E90" s="9">
        <v>5</v>
      </c>
      <c r="F90" s="10">
        <v>6739.6</v>
      </c>
      <c r="G90" s="10">
        <f t="shared" si="7"/>
        <v>33698</v>
      </c>
    </row>
    <row r="91" spans="1:7" ht="17" thickBot="1" x14ac:dyDescent="0.25">
      <c r="A91" s="9" t="s">
        <v>1925</v>
      </c>
      <c r="B91" s="155"/>
      <c r="C91" s="155" t="s">
        <v>36</v>
      </c>
      <c r="D91" s="9"/>
      <c r="E91" s="9">
        <v>5</v>
      </c>
      <c r="F91" s="10">
        <v>10393.6</v>
      </c>
      <c r="G91" s="10">
        <f t="shared" si="7"/>
        <v>51968</v>
      </c>
    </row>
    <row r="92" spans="1:7" ht="17" thickBot="1" x14ac:dyDescent="0.25">
      <c r="A92" s="9" t="s">
        <v>1926</v>
      </c>
      <c r="B92" s="155"/>
      <c r="C92" s="155" t="s">
        <v>36</v>
      </c>
      <c r="D92" s="9"/>
      <c r="E92" s="9">
        <v>5</v>
      </c>
      <c r="F92" s="10">
        <v>6693.2</v>
      </c>
      <c r="G92" s="10">
        <f t="shared" si="7"/>
        <v>33466</v>
      </c>
    </row>
    <row r="93" spans="1:7" ht="17" thickBot="1" x14ac:dyDescent="0.25">
      <c r="A93" s="9" t="s">
        <v>1927</v>
      </c>
      <c r="B93" s="155"/>
      <c r="C93" s="155" t="s">
        <v>36</v>
      </c>
      <c r="D93" s="9"/>
      <c r="E93" s="9">
        <v>5</v>
      </c>
      <c r="F93" s="10">
        <v>5394</v>
      </c>
      <c r="G93" s="10">
        <f t="shared" si="7"/>
        <v>26970</v>
      </c>
    </row>
    <row r="94" spans="1:7" ht="17" thickBot="1" x14ac:dyDescent="0.25">
      <c r="A94" s="9" t="s">
        <v>1928</v>
      </c>
      <c r="B94" s="155"/>
      <c r="C94" s="155" t="s">
        <v>36</v>
      </c>
      <c r="D94" s="9"/>
      <c r="E94" s="9">
        <v>5</v>
      </c>
      <c r="F94" s="10">
        <v>10393.6</v>
      </c>
      <c r="G94" s="10">
        <f t="shared" si="7"/>
        <v>51968</v>
      </c>
    </row>
    <row r="95" spans="1:7" ht="17" thickBot="1" x14ac:dyDescent="0.25">
      <c r="A95" s="2"/>
      <c r="B95" s="2"/>
      <c r="C95" s="2"/>
      <c r="D95" s="2"/>
      <c r="E95" s="2"/>
      <c r="F95" s="2"/>
      <c r="G95" s="103">
        <f>SUM(G84:G94)</f>
        <v>387753.2</v>
      </c>
    </row>
  </sheetData>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32316-9FCD-AA40-A2D1-3C4E2FE49544}">
  <dimension ref="A3:M79"/>
  <sheetViews>
    <sheetView topLeftCell="A44" workbookViewId="0">
      <selection activeCell="A46" sqref="A46"/>
    </sheetView>
  </sheetViews>
  <sheetFormatPr baseColWidth="10" defaultRowHeight="16" x14ac:dyDescent="0.2"/>
  <cols>
    <col min="1" max="1" width="86" style="2" customWidth="1"/>
    <col min="2" max="2" width="18.5" style="2" customWidth="1"/>
    <col min="3" max="3" width="12.5" style="2" customWidth="1"/>
    <col min="4" max="4" width="61" style="2" customWidth="1"/>
    <col min="5" max="5" width="8.33203125" style="2" customWidth="1"/>
    <col min="6" max="6" width="10.5" style="3" bestFit="1" customWidth="1"/>
    <col min="7" max="7" width="14.33203125" style="3" customWidth="1"/>
    <col min="8" max="9" width="10.83203125" style="2"/>
    <col min="10" max="10" width="12.5" style="2" customWidth="1"/>
    <col min="11" max="12" width="10.83203125" style="2"/>
    <col min="13" max="13" width="12.83203125" style="2" customWidth="1"/>
  </cols>
  <sheetData>
    <row r="3" spans="1:13" ht="19" thickBot="1" x14ac:dyDescent="0.25">
      <c r="A3" s="21" t="s">
        <v>206</v>
      </c>
      <c r="B3" s="21"/>
      <c r="C3" s="5" t="s">
        <v>11</v>
      </c>
      <c r="D3" s="5" t="s">
        <v>32</v>
      </c>
    </row>
    <row r="4" spans="1:13" ht="17" thickBot="1" x14ac:dyDescent="0.25">
      <c r="A4" s="9" t="s">
        <v>12</v>
      </c>
      <c r="B4" s="76" t="s">
        <v>978</v>
      </c>
      <c r="C4" s="9" t="s">
        <v>4</v>
      </c>
      <c r="D4" s="9"/>
      <c r="E4" s="9">
        <v>4</v>
      </c>
      <c r="F4" s="10">
        <v>5104</v>
      </c>
      <c r="G4" s="10">
        <f>F4*E4</f>
        <v>20416</v>
      </c>
      <c r="H4" s="18"/>
      <c r="I4" s="19">
        <v>5104</v>
      </c>
      <c r="J4" s="19">
        <f>I4*H4</f>
        <v>0</v>
      </c>
      <c r="K4" s="27">
        <v>4</v>
      </c>
      <c r="L4" s="28">
        <v>5104</v>
      </c>
      <c r="M4" s="28">
        <f>L4*K4</f>
        <v>20416</v>
      </c>
    </row>
    <row r="5" spans="1:13" ht="17" thickBot="1" x14ac:dyDescent="0.25">
      <c r="A5" s="9" t="s">
        <v>13</v>
      </c>
      <c r="B5" s="76" t="s">
        <v>947</v>
      </c>
      <c r="C5" s="9" t="s">
        <v>4</v>
      </c>
      <c r="D5" s="9"/>
      <c r="E5" s="9">
        <v>48</v>
      </c>
      <c r="F5" s="10">
        <v>2563.6</v>
      </c>
      <c r="G5" s="10">
        <f t="shared" ref="G5:G22" si="0">F5*E5</f>
        <v>123052.79999999999</v>
      </c>
      <c r="H5" s="18"/>
      <c r="I5" s="19">
        <v>2563.6</v>
      </c>
      <c r="J5" s="19">
        <f t="shared" ref="J5:J22" si="1">I5*H5</f>
        <v>0</v>
      </c>
      <c r="K5" s="27">
        <v>24</v>
      </c>
      <c r="L5" s="28">
        <v>2563.6</v>
      </c>
      <c r="M5" s="28">
        <f t="shared" ref="M5:M22" si="2">L5*K5</f>
        <v>61526.399999999994</v>
      </c>
    </row>
    <row r="6" spans="1:13" ht="17" thickBot="1" x14ac:dyDescent="0.25">
      <c r="A6" s="9" t="s">
        <v>14</v>
      </c>
      <c r="B6" s="76" t="s">
        <v>948</v>
      </c>
      <c r="C6" s="9" t="s">
        <v>4</v>
      </c>
      <c r="D6" s="9"/>
      <c r="E6" s="9">
        <v>36</v>
      </c>
      <c r="F6" s="10">
        <v>4837.2</v>
      </c>
      <c r="G6" s="10">
        <f t="shared" si="0"/>
        <v>174139.19999999998</v>
      </c>
      <c r="H6" s="18"/>
      <c r="I6" s="19">
        <v>4837.2</v>
      </c>
      <c r="J6" s="19">
        <f t="shared" si="1"/>
        <v>0</v>
      </c>
      <c r="K6" s="27">
        <v>18</v>
      </c>
      <c r="L6" s="28">
        <v>4837.2</v>
      </c>
      <c r="M6" s="28">
        <f t="shared" si="2"/>
        <v>87069.599999999991</v>
      </c>
    </row>
    <row r="7" spans="1:13" ht="17" thickBot="1" x14ac:dyDescent="0.25">
      <c r="A7" s="9" t="s">
        <v>15</v>
      </c>
      <c r="B7" s="76" t="s">
        <v>949</v>
      </c>
      <c r="C7" s="9" t="s">
        <v>4</v>
      </c>
      <c r="D7" s="9"/>
      <c r="E7" s="9">
        <v>48</v>
      </c>
      <c r="F7" s="10">
        <v>3712</v>
      </c>
      <c r="G7" s="10">
        <f t="shared" si="0"/>
        <v>178176</v>
      </c>
      <c r="H7" s="18"/>
      <c r="I7" s="19">
        <v>3712</v>
      </c>
      <c r="J7" s="19">
        <f t="shared" si="1"/>
        <v>0</v>
      </c>
      <c r="K7" s="27">
        <v>18</v>
      </c>
      <c r="L7" s="28">
        <v>3712</v>
      </c>
      <c r="M7" s="28">
        <f t="shared" si="2"/>
        <v>66816</v>
      </c>
    </row>
    <row r="8" spans="1:13" ht="17" thickBot="1" x14ac:dyDescent="0.25">
      <c r="A8" s="9" t="s">
        <v>16</v>
      </c>
      <c r="B8" s="76" t="s">
        <v>917</v>
      </c>
      <c r="C8" s="9" t="s">
        <v>4</v>
      </c>
      <c r="D8" s="9"/>
      <c r="E8" s="9">
        <v>48</v>
      </c>
      <c r="F8" s="10">
        <v>2436</v>
      </c>
      <c r="G8" s="10">
        <f t="shared" si="0"/>
        <v>116928</v>
      </c>
      <c r="H8" s="18"/>
      <c r="I8" s="19">
        <v>2436</v>
      </c>
      <c r="J8" s="19">
        <f t="shared" si="1"/>
        <v>0</v>
      </c>
      <c r="K8" s="27">
        <v>24</v>
      </c>
      <c r="L8" s="28">
        <v>2436</v>
      </c>
      <c r="M8" s="28">
        <f t="shared" si="2"/>
        <v>58464</v>
      </c>
    </row>
    <row r="9" spans="1:13" ht="17" thickBot="1" x14ac:dyDescent="0.25">
      <c r="A9" s="9" t="s">
        <v>17</v>
      </c>
      <c r="B9" s="76" t="s">
        <v>950</v>
      </c>
      <c r="C9" s="9" t="s">
        <v>4</v>
      </c>
      <c r="D9" s="9"/>
      <c r="E9" s="9">
        <v>24</v>
      </c>
      <c r="F9" s="10">
        <v>6264</v>
      </c>
      <c r="G9" s="10">
        <f t="shared" si="0"/>
        <v>150336</v>
      </c>
      <c r="H9" s="18"/>
      <c r="I9" s="19">
        <v>6264</v>
      </c>
      <c r="J9" s="19">
        <f t="shared" si="1"/>
        <v>0</v>
      </c>
      <c r="K9" s="27">
        <v>12</v>
      </c>
      <c r="L9" s="28">
        <v>6264</v>
      </c>
      <c r="M9" s="28">
        <f t="shared" si="2"/>
        <v>75168</v>
      </c>
    </row>
    <row r="10" spans="1:13" ht="17" thickBot="1" x14ac:dyDescent="0.25">
      <c r="A10" s="9" t="s">
        <v>18</v>
      </c>
      <c r="B10" s="76" t="s">
        <v>951</v>
      </c>
      <c r="C10" s="9" t="s">
        <v>4</v>
      </c>
      <c r="D10" s="9"/>
      <c r="E10" s="9">
        <v>12</v>
      </c>
      <c r="F10" s="10">
        <v>10080.4</v>
      </c>
      <c r="G10" s="10">
        <f t="shared" si="0"/>
        <v>120964.79999999999</v>
      </c>
      <c r="H10" s="18"/>
      <c r="I10" s="19">
        <v>10080.4</v>
      </c>
      <c r="J10" s="19">
        <f t="shared" si="1"/>
        <v>0</v>
      </c>
      <c r="K10" s="27">
        <v>6</v>
      </c>
      <c r="L10" s="28">
        <v>10080.4</v>
      </c>
      <c r="M10" s="28">
        <f t="shared" si="2"/>
        <v>60482.399999999994</v>
      </c>
    </row>
    <row r="11" spans="1:13" ht="17" thickBot="1" x14ac:dyDescent="0.25">
      <c r="A11" s="9" t="s">
        <v>19</v>
      </c>
      <c r="B11" s="76" t="s">
        <v>952</v>
      </c>
      <c r="C11" s="9" t="s">
        <v>4</v>
      </c>
      <c r="D11" s="9"/>
      <c r="E11" s="9">
        <v>24</v>
      </c>
      <c r="F11" s="10">
        <v>3712</v>
      </c>
      <c r="G11" s="10">
        <f t="shared" si="0"/>
        <v>89088</v>
      </c>
      <c r="H11" s="18"/>
      <c r="I11" s="19">
        <v>3712</v>
      </c>
      <c r="J11" s="19">
        <f t="shared" si="1"/>
        <v>0</v>
      </c>
      <c r="K11" s="27">
        <v>12</v>
      </c>
      <c r="L11" s="28">
        <v>3712</v>
      </c>
      <c r="M11" s="28">
        <f t="shared" si="2"/>
        <v>44544</v>
      </c>
    </row>
    <row r="12" spans="1:13" ht="17" thickBot="1" x14ac:dyDescent="0.25">
      <c r="A12" s="9" t="s">
        <v>20</v>
      </c>
      <c r="B12" s="76" t="s">
        <v>859</v>
      </c>
      <c r="C12" s="9" t="s">
        <v>4</v>
      </c>
      <c r="D12" s="9"/>
      <c r="E12" s="9">
        <v>4</v>
      </c>
      <c r="F12" s="10">
        <v>928</v>
      </c>
      <c r="G12" s="10">
        <f t="shared" si="0"/>
        <v>3712</v>
      </c>
      <c r="H12" s="18"/>
      <c r="I12" s="19">
        <v>928</v>
      </c>
      <c r="J12" s="19">
        <f t="shared" si="1"/>
        <v>0</v>
      </c>
      <c r="K12" s="27">
        <v>2</v>
      </c>
      <c r="L12" s="28">
        <v>928</v>
      </c>
      <c r="M12" s="28">
        <f t="shared" si="2"/>
        <v>1856</v>
      </c>
    </row>
    <row r="13" spans="1:13" ht="17" thickBot="1" x14ac:dyDescent="0.25">
      <c r="A13" s="9" t="s">
        <v>21</v>
      </c>
      <c r="B13" s="76" t="s">
        <v>1280</v>
      </c>
      <c r="C13" s="9" t="s">
        <v>4</v>
      </c>
      <c r="D13" s="9"/>
      <c r="E13" s="9">
        <v>12</v>
      </c>
      <c r="F13" s="10">
        <v>4002</v>
      </c>
      <c r="G13" s="10">
        <f t="shared" si="0"/>
        <v>48024</v>
      </c>
      <c r="H13" s="18"/>
      <c r="I13" s="19">
        <v>4002</v>
      </c>
      <c r="J13" s="19">
        <f t="shared" si="1"/>
        <v>0</v>
      </c>
      <c r="K13" s="27"/>
      <c r="L13" s="28">
        <v>4002</v>
      </c>
      <c r="M13" s="28">
        <f t="shared" si="2"/>
        <v>0</v>
      </c>
    </row>
    <row r="14" spans="1:13" ht="17" thickBot="1" x14ac:dyDescent="0.25">
      <c r="A14" s="9" t="s">
        <v>22</v>
      </c>
      <c r="B14" s="76" t="s">
        <v>1772</v>
      </c>
      <c r="C14" s="9" t="s">
        <v>4</v>
      </c>
      <c r="D14" s="9"/>
      <c r="E14" s="9">
        <v>60</v>
      </c>
      <c r="F14" s="10">
        <v>2041.6</v>
      </c>
      <c r="G14" s="10">
        <f t="shared" si="0"/>
        <v>122496</v>
      </c>
      <c r="H14" s="18"/>
      <c r="I14" s="19">
        <v>2041.6</v>
      </c>
      <c r="J14" s="19">
        <f t="shared" si="1"/>
        <v>0</v>
      </c>
      <c r="K14" s="27">
        <v>32</v>
      </c>
      <c r="L14" s="28">
        <v>2041.6</v>
      </c>
      <c r="M14" s="28">
        <f t="shared" si="2"/>
        <v>65331.199999999997</v>
      </c>
    </row>
    <row r="15" spans="1:13" ht="17" thickBot="1" x14ac:dyDescent="0.25">
      <c r="A15" s="9" t="s">
        <v>23</v>
      </c>
      <c r="B15" s="76" t="s">
        <v>953</v>
      </c>
      <c r="C15" s="9" t="s">
        <v>4</v>
      </c>
      <c r="D15" s="9"/>
      <c r="E15" s="9">
        <v>24</v>
      </c>
      <c r="F15" s="10">
        <v>4002</v>
      </c>
      <c r="G15" s="10">
        <f t="shared" si="0"/>
        <v>96048</v>
      </c>
      <c r="H15" s="18"/>
      <c r="I15" s="19">
        <v>4002</v>
      </c>
      <c r="J15" s="19">
        <f t="shared" si="1"/>
        <v>0</v>
      </c>
      <c r="K15" s="27">
        <v>12</v>
      </c>
      <c r="L15" s="28">
        <v>4002</v>
      </c>
      <c r="M15" s="28">
        <f t="shared" si="2"/>
        <v>48024</v>
      </c>
    </row>
    <row r="16" spans="1:13" ht="17" thickBot="1" x14ac:dyDescent="0.25">
      <c r="A16" s="9" t="s">
        <v>24</v>
      </c>
      <c r="B16" s="76" t="s">
        <v>954</v>
      </c>
      <c r="C16" s="9" t="s">
        <v>4</v>
      </c>
      <c r="D16" s="9"/>
      <c r="E16" s="9">
        <v>12</v>
      </c>
      <c r="F16" s="10">
        <v>4512.3999999999996</v>
      </c>
      <c r="G16" s="10">
        <f t="shared" si="0"/>
        <v>54148.799999999996</v>
      </c>
      <c r="H16" s="18"/>
      <c r="I16" s="19">
        <v>4512.3999999999996</v>
      </c>
      <c r="J16" s="19">
        <f t="shared" si="1"/>
        <v>0</v>
      </c>
      <c r="K16" s="27"/>
      <c r="L16" s="28">
        <v>4512.3999999999996</v>
      </c>
      <c r="M16" s="28">
        <f t="shared" si="2"/>
        <v>0</v>
      </c>
    </row>
    <row r="17" spans="1:13" ht="17" thickBot="1" x14ac:dyDescent="0.25">
      <c r="A17" s="9" t="s">
        <v>25</v>
      </c>
      <c r="B17" s="76" t="s">
        <v>912</v>
      </c>
      <c r="C17" s="9" t="s">
        <v>4</v>
      </c>
      <c r="D17" s="9"/>
      <c r="E17" s="9">
        <v>4</v>
      </c>
      <c r="F17" s="10">
        <v>10312.4</v>
      </c>
      <c r="G17" s="10">
        <f t="shared" si="0"/>
        <v>41249.599999999999</v>
      </c>
      <c r="H17" s="18"/>
      <c r="I17" s="19">
        <v>10312.4</v>
      </c>
      <c r="J17" s="19">
        <f t="shared" si="1"/>
        <v>0</v>
      </c>
      <c r="K17" s="27"/>
      <c r="L17" s="28">
        <v>10312.4</v>
      </c>
      <c r="M17" s="28">
        <f t="shared" si="2"/>
        <v>0</v>
      </c>
    </row>
    <row r="18" spans="1:13" ht="17" thickBot="1" x14ac:dyDescent="0.25">
      <c r="A18" s="9" t="s">
        <v>26</v>
      </c>
      <c r="B18" s="76" t="s">
        <v>1938</v>
      </c>
      <c r="C18" s="9" t="s">
        <v>28</v>
      </c>
      <c r="D18" s="9"/>
      <c r="E18" s="9">
        <v>57</v>
      </c>
      <c r="F18" s="10">
        <v>44892</v>
      </c>
      <c r="G18" s="10">
        <f t="shared" si="0"/>
        <v>2558844</v>
      </c>
      <c r="H18" s="18">
        <v>12</v>
      </c>
      <c r="I18" s="19">
        <v>44892</v>
      </c>
      <c r="J18" s="19">
        <f t="shared" si="1"/>
        <v>538704</v>
      </c>
      <c r="K18" s="27">
        <v>18</v>
      </c>
      <c r="L18" s="28">
        <v>44892</v>
      </c>
      <c r="M18" s="28">
        <f t="shared" si="2"/>
        <v>808056</v>
      </c>
    </row>
    <row r="19" spans="1:13" ht="17" thickBot="1" x14ac:dyDescent="0.25">
      <c r="A19" s="9" t="s">
        <v>27</v>
      </c>
      <c r="B19" s="76" t="s">
        <v>955</v>
      </c>
      <c r="C19" s="9" t="s">
        <v>4</v>
      </c>
      <c r="D19" s="9"/>
      <c r="E19" s="9">
        <v>12</v>
      </c>
      <c r="F19" s="10">
        <v>3596</v>
      </c>
      <c r="G19" s="10">
        <f t="shared" si="0"/>
        <v>43152</v>
      </c>
      <c r="H19" s="18"/>
      <c r="I19" s="19">
        <v>3596</v>
      </c>
      <c r="J19" s="19">
        <f t="shared" si="1"/>
        <v>0</v>
      </c>
      <c r="K19" s="27"/>
      <c r="L19" s="28">
        <v>3596</v>
      </c>
      <c r="M19" s="28">
        <f t="shared" si="2"/>
        <v>0</v>
      </c>
    </row>
    <row r="20" spans="1:13" ht="17" thickBot="1" x14ac:dyDescent="0.25">
      <c r="A20" s="9" t="s">
        <v>29</v>
      </c>
      <c r="B20" s="76" t="s">
        <v>984</v>
      </c>
      <c r="C20" s="9" t="s">
        <v>4</v>
      </c>
      <c r="D20" s="9"/>
      <c r="E20" s="9">
        <v>12</v>
      </c>
      <c r="F20" s="10">
        <v>1682</v>
      </c>
      <c r="G20" s="10">
        <f t="shared" si="0"/>
        <v>20184</v>
      </c>
      <c r="H20" s="18"/>
      <c r="I20" s="19">
        <v>1682</v>
      </c>
      <c r="J20" s="19">
        <f t="shared" si="1"/>
        <v>0</v>
      </c>
      <c r="K20" s="27">
        <v>6</v>
      </c>
      <c r="L20" s="28">
        <v>1682</v>
      </c>
      <c r="M20" s="28">
        <f t="shared" si="2"/>
        <v>10092</v>
      </c>
    </row>
    <row r="21" spans="1:13" ht="17" thickBot="1" x14ac:dyDescent="0.25">
      <c r="A21" s="9" t="s">
        <v>30</v>
      </c>
      <c r="B21" s="76" t="s">
        <v>852</v>
      </c>
      <c r="C21" s="9" t="s">
        <v>4</v>
      </c>
      <c r="D21" s="9"/>
      <c r="E21" s="9">
        <v>48</v>
      </c>
      <c r="F21" s="10">
        <v>1554.4</v>
      </c>
      <c r="G21" s="10">
        <f t="shared" si="0"/>
        <v>74611.200000000012</v>
      </c>
      <c r="H21" s="18"/>
      <c r="I21" s="19">
        <v>1554.4</v>
      </c>
      <c r="J21" s="19">
        <f t="shared" si="1"/>
        <v>0</v>
      </c>
      <c r="K21" s="27">
        <v>24</v>
      </c>
      <c r="L21" s="28">
        <v>1554.4</v>
      </c>
      <c r="M21" s="28">
        <f t="shared" si="2"/>
        <v>37305.600000000006</v>
      </c>
    </row>
    <row r="22" spans="1:13" ht="17" thickBot="1" x14ac:dyDescent="0.25">
      <c r="A22" s="9" t="s">
        <v>31</v>
      </c>
      <c r="B22" s="76" t="s">
        <v>956</v>
      </c>
      <c r="C22" s="9" t="s">
        <v>4</v>
      </c>
      <c r="D22" s="9"/>
      <c r="E22" s="9">
        <v>4</v>
      </c>
      <c r="F22" s="10">
        <v>2552</v>
      </c>
      <c r="G22" s="10">
        <f t="shared" si="0"/>
        <v>10208</v>
      </c>
      <c r="H22" s="18"/>
      <c r="I22" s="19">
        <v>2552</v>
      </c>
      <c r="J22" s="19">
        <f t="shared" si="1"/>
        <v>0</v>
      </c>
      <c r="K22" s="27">
        <v>4</v>
      </c>
      <c r="L22" s="28">
        <v>2552</v>
      </c>
      <c r="M22" s="28">
        <f t="shared" si="2"/>
        <v>10208</v>
      </c>
    </row>
    <row r="23" spans="1:13" ht="17" thickBot="1" x14ac:dyDescent="0.25">
      <c r="G23" s="12">
        <f>SUM(G4:G22)</f>
        <v>4045778.4000000004</v>
      </c>
      <c r="I23" s="96"/>
      <c r="J23" s="34">
        <f>SUM(J4:J22)</f>
        <v>538704</v>
      </c>
      <c r="L23" s="3"/>
      <c r="M23" s="148">
        <f>SUM(M4:M22)</f>
        <v>1455359.2000000002</v>
      </c>
    </row>
    <row r="24" spans="1:13" ht="18" x14ac:dyDescent="0.2">
      <c r="A24" s="21"/>
      <c r="B24" s="21"/>
    </row>
    <row r="26" spans="1:13" ht="18" x14ac:dyDescent="0.2">
      <c r="A26" s="21" t="s">
        <v>102</v>
      </c>
      <c r="B26" s="21"/>
      <c r="C26" s="2" t="s">
        <v>100</v>
      </c>
      <c r="D26" s="2" t="s">
        <v>101</v>
      </c>
    </row>
    <row r="27" spans="1:13" ht="17" thickBot="1" x14ac:dyDescent="0.25">
      <c r="A27" s="2" t="s">
        <v>186</v>
      </c>
      <c r="C27" s="2" t="s">
        <v>180</v>
      </c>
    </row>
    <row r="28" spans="1:13" ht="17" thickBot="1" x14ac:dyDescent="0.25">
      <c r="A28" s="9" t="s">
        <v>60</v>
      </c>
      <c r="B28" s="76" t="s">
        <v>860</v>
      </c>
      <c r="C28" s="9" t="s">
        <v>4</v>
      </c>
      <c r="D28" s="9" t="s">
        <v>103</v>
      </c>
      <c r="E28" s="9">
        <v>60</v>
      </c>
      <c r="F28" s="10">
        <v>5800</v>
      </c>
      <c r="G28" s="10">
        <f>E28*F28</f>
        <v>348000</v>
      </c>
      <c r="H28" s="23">
        <v>60</v>
      </c>
      <c r="I28" s="24">
        <v>5800</v>
      </c>
      <c r="J28" s="24">
        <f>H28*I28</f>
        <v>348000</v>
      </c>
    </row>
    <row r="29" spans="1:13" ht="17" thickBot="1" x14ac:dyDescent="0.25">
      <c r="A29" s="9" t="s">
        <v>60</v>
      </c>
      <c r="B29" s="76" t="s">
        <v>956</v>
      </c>
      <c r="C29" s="9" t="s">
        <v>4</v>
      </c>
      <c r="D29" s="9" t="s">
        <v>104</v>
      </c>
      <c r="E29" s="9">
        <v>12</v>
      </c>
      <c r="F29" s="10">
        <v>2436</v>
      </c>
      <c r="G29" s="10">
        <f>E29*F29</f>
        <v>29232</v>
      </c>
      <c r="H29" s="23">
        <v>12</v>
      </c>
      <c r="I29" s="24">
        <v>2436</v>
      </c>
      <c r="J29" s="24">
        <f>H29*I29</f>
        <v>29232</v>
      </c>
    </row>
    <row r="30" spans="1:13" ht="17" thickBot="1" x14ac:dyDescent="0.25">
      <c r="A30" s="9" t="s">
        <v>60</v>
      </c>
      <c r="B30" s="76" t="s">
        <v>957</v>
      </c>
      <c r="C30" s="9" t="s">
        <v>4</v>
      </c>
      <c r="D30" s="9" t="s">
        <v>105</v>
      </c>
      <c r="E30" s="9">
        <v>48</v>
      </c>
      <c r="F30" s="10">
        <v>3712</v>
      </c>
      <c r="G30" s="10">
        <f>E30*F30</f>
        <v>178176</v>
      </c>
      <c r="H30" s="23"/>
      <c r="I30" s="24">
        <v>3712</v>
      </c>
      <c r="J30" s="24">
        <f>H30*I30</f>
        <v>0</v>
      </c>
    </row>
    <row r="31" spans="1:13" ht="17" thickBot="1" x14ac:dyDescent="0.25">
      <c r="A31" s="9" t="s">
        <v>60</v>
      </c>
      <c r="B31" s="76" t="s">
        <v>958</v>
      </c>
      <c r="C31" s="9" t="s">
        <v>4</v>
      </c>
      <c r="D31" s="9" t="s">
        <v>106</v>
      </c>
      <c r="E31" s="9">
        <v>24</v>
      </c>
      <c r="F31" s="10">
        <v>2436</v>
      </c>
      <c r="G31" s="10">
        <f>E31*F31</f>
        <v>58464</v>
      </c>
      <c r="H31" s="23">
        <v>24</v>
      </c>
      <c r="I31" s="24">
        <v>2436</v>
      </c>
      <c r="J31" s="24">
        <f>H31*I31</f>
        <v>58464</v>
      </c>
    </row>
    <row r="32" spans="1:13" ht="17" thickBot="1" x14ac:dyDescent="0.25">
      <c r="A32" s="9" t="s">
        <v>60</v>
      </c>
      <c r="B32" s="76" t="s">
        <v>859</v>
      </c>
      <c r="C32" s="9" t="s">
        <v>4</v>
      </c>
      <c r="D32" s="9" t="s">
        <v>107</v>
      </c>
      <c r="E32" s="9">
        <v>24</v>
      </c>
      <c r="F32" s="10">
        <v>1044</v>
      </c>
      <c r="G32" s="10">
        <f>E32*F32</f>
        <v>25056</v>
      </c>
      <c r="H32" s="23">
        <v>24</v>
      </c>
      <c r="I32" s="24">
        <v>1044</v>
      </c>
      <c r="J32" s="24">
        <f>H32*I32</f>
        <v>25056</v>
      </c>
    </row>
    <row r="33" spans="1:10" ht="17" thickBot="1" x14ac:dyDescent="0.25">
      <c r="B33" s="77"/>
      <c r="G33" s="12">
        <f>SUM(G28:G32)</f>
        <v>638928</v>
      </c>
      <c r="I33" s="3"/>
      <c r="J33" s="26">
        <f>SUM(J28:J32)</f>
        <v>460752</v>
      </c>
    </row>
    <row r="34" spans="1:10" ht="18" thickBot="1" x14ac:dyDescent="0.25">
      <c r="A34" s="31" t="s">
        <v>237</v>
      </c>
      <c r="B34" s="91"/>
    </row>
    <row r="35" spans="1:10" ht="17" thickBot="1" x14ac:dyDescent="0.25">
      <c r="A35" s="9" t="s">
        <v>231</v>
      </c>
      <c r="B35" s="76" t="s">
        <v>954</v>
      </c>
      <c r="C35" s="9" t="s">
        <v>4</v>
      </c>
      <c r="D35" s="9"/>
      <c r="E35" s="9">
        <v>35</v>
      </c>
      <c r="F35" s="10">
        <v>4988</v>
      </c>
      <c r="G35" s="10">
        <f t="shared" ref="G35:G40" si="3">F35*E35</f>
        <v>174580</v>
      </c>
      <c r="H35" s="18"/>
      <c r="I35" s="19">
        <v>4988</v>
      </c>
      <c r="J35" s="19">
        <f t="shared" ref="J35:J40" si="4">I35*H35</f>
        <v>0</v>
      </c>
    </row>
    <row r="36" spans="1:10" ht="17" thickBot="1" x14ac:dyDescent="0.25">
      <c r="A36" s="9" t="s">
        <v>232</v>
      </c>
      <c r="B36" s="76" t="s">
        <v>958</v>
      </c>
      <c r="C36" s="9" t="s">
        <v>4</v>
      </c>
      <c r="D36" s="9"/>
      <c r="E36" s="9">
        <v>20</v>
      </c>
      <c r="F36" s="10">
        <v>2320</v>
      </c>
      <c r="G36" s="10">
        <f t="shared" si="3"/>
        <v>46400</v>
      </c>
      <c r="H36" s="18">
        <v>10</v>
      </c>
      <c r="I36" s="19">
        <v>2320</v>
      </c>
      <c r="J36" s="19">
        <f t="shared" si="4"/>
        <v>23200</v>
      </c>
    </row>
    <row r="37" spans="1:10" ht="17" thickBot="1" x14ac:dyDescent="0.25">
      <c r="A37" s="9" t="s">
        <v>233</v>
      </c>
      <c r="B37" s="76" t="s">
        <v>959</v>
      </c>
      <c r="C37" s="9" t="s">
        <v>4</v>
      </c>
      <c r="D37" s="9"/>
      <c r="E37" s="32">
        <v>29</v>
      </c>
      <c r="F37" s="10">
        <v>6496</v>
      </c>
      <c r="G37" s="10">
        <f t="shared" si="3"/>
        <v>188384</v>
      </c>
      <c r="H37" s="206"/>
      <c r="I37" s="19">
        <v>6496</v>
      </c>
      <c r="J37" s="19">
        <f t="shared" si="4"/>
        <v>0</v>
      </c>
    </row>
    <row r="38" spans="1:10" ht="17" thickBot="1" x14ac:dyDescent="0.25">
      <c r="A38" s="9" t="s">
        <v>234</v>
      </c>
      <c r="B38" s="76"/>
      <c r="C38" s="9" t="s">
        <v>4</v>
      </c>
      <c r="D38" s="9"/>
      <c r="E38" s="9">
        <v>10</v>
      </c>
      <c r="F38" s="10">
        <v>2436</v>
      </c>
      <c r="G38" s="10">
        <f t="shared" si="3"/>
        <v>24360</v>
      </c>
      <c r="H38" s="18">
        <v>5</v>
      </c>
      <c r="I38" s="19">
        <v>2436</v>
      </c>
      <c r="J38" s="19">
        <f t="shared" si="4"/>
        <v>12180</v>
      </c>
    </row>
    <row r="39" spans="1:10" ht="17" thickBot="1" x14ac:dyDescent="0.25">
      <c r="A39" s="9" t="s">
        <v>235</v>
      </c>
      <c r="B39" s="76" t="s">
        <v>950</v>
      </c>
      <c r="C39" s="9" t="s">
        <v>4</v>
      </c>
      <c r="D39" s="9"/>
      <c r="E39" s="9">
        <v>30</v>
      </c>
      <c r="F39" s="10">
        <v>3712</v>
      </c>
      <c r="G39" s="10">
        <f t="shared" si="3"/>
        <v>111360</v>
      </c>
      <c r="H39" s="18">
        <v>15</v>
      </c>
      <c r="I39" s="19">
        <v>3712</v>
      </c>
      <c r="J39" s="19">
        <f t="shared" si="4"/>
        <v>55680</v>
      </c>
    </row>
    <row r="40" spans="1:10" ht="17" thickBot="1" x14ac:dyDescent="0.25">
      <c r="A40" s="9" t="s">
        <v>236</v>
      </c>
      <c r="B40" s="76" t="s">
        <v>880</v>
      </c>
      <c r="C40" s="9" t="s">
        <v>4</v>
      </c>
      <c r="D40" s="9"/>
      <c r="E40" s="9">
        <v>12</v>
      </c>
      <c r="F40" s="10">
        <v>9280</v>
      </c>
      <c r="G40" s="10">
        <f t="shared" si="3"/>
        <v>111360</v>
      </c>
      <c r="H40" s="18">
        <v>6</v>
      </c>
      <c r="I40" s="19">
        <v>9280</v>
      </c>
      <c r="J40" s="19">
        <f t="shared" si="4"/>
        <v>55680</v>
      </c>
    </row>
    <row r="41" spans="1:10" ht="17" thickBot="1" x14ac:dyDescent="0.25">
      <c r="G41" s="12">
        <f>SUM(G35:G40)</f>
        <v>656444</v>
      </c>
      <c r="I41" s="3"/>
      <c r="J41" s="34">
        <f>SUM(J35:J40)</f>
        <v>146740</v>
      </c>
    </row>
    <row r="43" spans="1:10" ht="19" thickBot="1" x14ac:dyDescent="0.25">
      <c r="A43" s="21" t="s">
        <v>316</v>
      </c>
      <c r="B43" s="21"/>
      <c r="C43" s="2" t="s">
        <v>314</v>
      </c>
      <c r="D43" s="2" t="s">
        <v>315</v>
      </c>
    </row>
    <row r="44" spans="1:10" ht="17" thickBot="1" x14ac:dyDescent="0.25">
      <c r="A44" s="9" t="s">
        <v>313</v>
      </c>
      <c r="B44" s="9"/>
      <c r="C44" s="9" t="s">
        <v>4</v>
      </c>
      <c r="D44" s="9"/>
      <c r="E44" s="9">
        <v>25</v>
      </c>
      <c r="F44" s="10">
        <v>3364</v>
      </c>
      <c r="G44" s="12">
        <f>F44*E44</f>
        <v>84100</v>
      </c>
    </row>
    <row r="46" spans="1:10" ht="19" thickBot="1" x14ac:dyDescent="0.25">
      <c r="A46" s="21" t="s">
        <v>2118</v>
      </c>
    </row>
    <row r="47" spans="1:10" ht="17" thickBot="1" x14ac:dyDescent="0.25">
      <c r="A47" s="9" t="s">
        <v>60</v>
      </c>
      <c r="B47" s="9"/>
      <c r="C47" s="9" t="s">
        <v>36</v>
      </c>
      <c r="D47" s="9" t="s">
        <v>2089</v>
      </c>
      <c r="E47" s="9">
        <v>10</v>
      </c>
      <c r="F47" s="101">
        <v>10440</v>
      </c>
      <c r="G47" s="101">
        <f>F47*E47</f>
        <v>104400</v>
      </c>
    </row>
    <row r="48" spans="1:10" ht="17" thickBot="1" x14ac:dyDescent="0.25">
      <c r="A48" s="9" t="s">
        <v>60</v>
      </c>
      <c r="B48" s="9"/>
      <c r="C48" s="9" t="s">
        <v>36</v>
      </c>
      <c r="D48" s="9" t="s">
        <v>2090</v>
      </c>
      <c r="E48" s="9">
        <v>16</v>
      </c>
      <c r="F48" s="101">
        <v>3712</v>
      </c>
      <c r="G48" s="101">
        <f t="shared" ref="G48:G78" si="5">F48*E48</f>
        <v>59392</v>
      </c>
    </row>
    <row r="49" spans="1:7" ht="17" thickBot="1" x14ac:dyDescent="0.25">
      <c r="A49" s="9" t="s">
        <v>60</v>
      </c>
      <c r="B49" s="9"/>
      <c r="C49" s="9" t="s">
        <v>36</v>
      </c>
      <c r="D49" s="9" t="s">
        <v>2091</v>
      </c>
      <c r="E49" s="9">
        <v>5</v>
      </c>
      <c r="F49" s="101">
        <v>8120</v>
      </c>
      <c r="G49" s="101">
        <f t="shared" si="5"/>
        <v>40600</v>
      </c>
    </row>
    <row r="50" spans="1:7" ht="17" thickBot="1" x14ac:dyDescent="0.25">
      <c r="A50" s="9" t="s">
        <v>60</v>
      </c>
      <c r="B50" s="9"/>
      <c r="C50" s="9" t="s">
        <v>36</v>
      </c>
      <c r="D50" s="9" t="s">
        <v>2092</v>
      </c>
      <c r="E50" s="9">
        <v>5</v>
      </c>
      <c r="F50" s="101">
        <v>11368</v>
      </c>
      <c r="G50" s="101">
        <f t="shared" si="5"/>
        <v>56840</v>
      </c>
    </row>
    <row r="51" spans="1:7" ht="17" thickBot="1" x14ac:dyDescent="0.25">
      <c r="A51" s="9" t="s">
        <v>60</v>
      </c>
      <c r="B51" s="9"/>
      <c r="C51" s="9" t="s">
        <v>36</v>
      </c>
      <c r="D51" s="9" t="s">
        <v>2093</v>
      </c>
      <c r="E51" s="9">
        <v>30</v>
      </c>
      <c r="F51" s="101">
        <v>13572</v>
      </c>
      <c r="G51" s="101">
        <f t="shared" si="5"/>
        <v>407160</v>
      </c>
    </row>
    <row r="52" spans="1:7" ht="17" thickBot="1" x14ac:dyDescent="0.25">
      <c r="A52" s="9" t="s">
        <v>60</v>
      </c>
      <c r="B52" s="9"/>
      <c r="C52" s="9" t="s">
        <v>36</v>
      </c>
      <c r="D52" s="9" t="s">
        <v>2094</v>
      </c>
      <c r="E52" s="9">
        <v>5</v>
      </c>
      <c r="F52" s="101">
        <v>7772</v>
      </c>
      <c r="G52" s="101">
        <f t="shared" si="5"/>
        <v>38860</v>
      </c>
    </row>
    <row r="53" spans="1:7" ht="17" thickBot="1" x14ac:dyDescent="0.25">
      <c r="A53" s="9" t="s">
        <v>60</v>
      </c>
      <c r="B53" s="9"/>
      <c r="C53" s="9" t="s">
        <v>36</v>
      </c>
      <c r="D53" s="9" t="s">
        <v>2095</v>
      </c>
      <c r="E53" s="9">
        <v>3</v>
      </c>
      <c r="F53" s="101">
        <v>9976</v>
      </c>
      <c r="G53" s="101">
        <f t="shared" si="5"/>
        <v>29928</v>
      </c>
    </row>
    <row r="54" spans="1:7" ht="17" thickBot="1" x14ac:dyDescent="0.25">
      <c r="A54" s="9" t="s">
        <v>60</v>
      </c>
      <c r="B54" s="9"/>
      <c r="C54" s="9" t="s">
        <v>36</v>
      </c>
      <c r="D54" s="9" t="s">
        <v>2096</v>
      </c>
      <c r="E54" s="9">
        <v>16</v>
      </c>
      <c r="F54" s="101">
        <v>6380</v>
      </c>
      <c r="G54" s="101">
        <f t="shared" si="5"/>
        <v>102080</v>
      </c>
    </row>
    <row r="55" spans="1:7" ht="17" thickBot="1" x14ac:dyDescent="0.25">
      <c r="A55" s="9" t="s">
        <v>60</v>
      </c>
      <c r="B55" s="9"/>
      <c r="C55" s="9" t="s">
        <v>36</v>
      </c>
      <c r="D55" s="9" t="s">
        <v>2097</v>
      </c>
      <c r="E55" s="9">
        <v>10</v>
      </c>
      <c r="F55" s="101">
        <v>16240</v>
      </c>
      <c r="G55" s="101">
        <f t="shared" si="5"/>
        <v>162400</v>
      </c>
    </row>
    <row r="56" spans="1:7" ht="17" thickBot="1" x14ac:dyDescent="0.25">
      <c r="A56" s="9" t="s">
        <v>60</v>
      </c>
      <c r="B56" s="9"/>
      <c r="C56" s="9" t="s">
        <v>36</v>
      </c>
      <c r="D56" s="9" t="s">
        <v>2098</v>
      </c>
      <c r="E56" s="9">
        <v>20</v>
      </c>
      <c r="F56" s="101">
        <v>9280</v>
      </c>
      <c r="G56" s="101">
        <f t="shared" si="5"/>
        <v>185600</v>
      </c>
    </row>
    <row r="57" spans="1:7" ht="17" thickBot="1" x14ac:dyDescent="0.25">
      <c r="A57" s="9" t="s">
        <v>60</v>
      </c>
      <c r="B57" s="9"/>
      <c r="C57" s="9" t="s">
        <v>36</v>
      </c>
      <c r="D57" s="9" t="s">
        <v>2099</v>
      </c>
      <c r="E57" s="9">
        <v>20</v>
      </c>
      <c r="F57" s="101">
        <v>16240</v>
      </c>
      <c r="G57" s="101">
        <f t="shared" si="5"/>
        <v>324800</v>
      </c>
    </row>
    <row r="58" spans="1:7" ht="17" thickBot="1" x14ac:dyDescent="0.25">
      <c r="A58" s="9" t="s">
        <v>60</v>
      </c>
      <c r="B58" s="9"/>
      <c r="C58" s="9" t="s">
        <v>36</v>
      </c>
      <c r="D58" s="9" t="s">
        <v>2100</v>
      </c>
      <c r="E58" s="9">
        <v>5</v>
      </c>
      <c r="F58" s="101">
        <v>3248</v>
      </c>
      <c r="G58" s="101">
        <f t="shared" si="5"/>
        <v>16240</v>
      </c>
    </row>
    <row r="59" spans="1:7" ht="17" thickBot="1" x14ac:dyDescent="0.25">
      <c r="A59" s="9" t="s">
        <v>60</v>
      </c>
      <c r="B59" s="9"/>
      <c r="C59" s="9" t="s">
        <v>36</v>
      </c>
      <c r="D59" s="9" t="s">
        <v>2101</v>
      </c>
      <c r="E59" s="9">
        <v>8</v>
      </c>
      <c r="F59" s="101">
        <v>6612</v>
      </c>
      <c r="G59" s="101">
        <f t="shared" si="5"/>
        <v>52896</v>
      </c>
    </row>
    <row r="60" spans="1:7" ht="17" thickBot="1" x14ac:dyDescent="0.25">
      <c r="A60" s="9" t="s">
        <v>60</v>
      </c>
      <c r="B60" s="9"/>
      <c r="C60" s="9" t="s">
        <v>36</v>
      </c>
      <c r="D60" s="9" t="s">
        <v>2102</v>
      </c>
      <c r="E60" s="9">
        <v>5</v>
      </c>
      <c r="F60" s="101">
        <v>6612</v>
      </c>
      <c r="G60" s="101">
        <f t="shared" si="5"/>
        <v>33060</v>
      </c>
    </row>
    <row r="61" spans="1:7" ht="17" thickBot="1" x14ac:dyDescent="0.25">
      <c r="A61" s="9" t="s">
        <v>60</v>
      </c>
      <c r="B61" s="9"/>
      <c r="C61" s="9" t="s">
        <v>36</v>
      </c>
      <c r="D61" s="9" t="s">
        <v>2103</v>
      </c>
      <c r="E61" s="9">
        <v>3</v>
      </c>
      <c r="F61" s="101">
        <v>8236</v>
      </c>
      <c r="G61" s="101">
        <f t="shared" si="5"/>
        <v>24708</v>
      </c>
    </row>
    <row r="62" spans="1:7" ht="17" thickBot="1" x14ac:dyDescent="0.25">
      <c r="A62" s="9" t="s">
        <v>60</v>
      </c>
      <c r="B62" s="9"/>
      <c r="C62" s="9" t="s">
        <v>36</v>
      </c>
      <c r="D62" s="9" t="s">
        <v>2104</v>
      </c>
      <c r="E62" s="9">
        <v>5</v>
      </c>
      <c r="F62" s="101">
        <v>25984</v>
      </c>
      <c r="G62" s="101">
        <f t="shared" si="5"/>
        <v>129920</v>
      </c>
    </row>
    <row r="63" spans="1:7" ht="17" thickBot="1" x14ac:dyDescent="0.25">
      <c r="A63" s="9" t="s">
        <v>60</v>
      </c>
      <c r="B63" s="9"/>
      <c r="C63" s="9" t="s">
        <v>36</v>
      </c>
      <c r="D63" s="9" t="s">
        <v>2105</v>
      </c>
      <c r="E63" s="9">
        <v>4</v>
      </c>
      <c r="F63" s="101">
        <v>14268</v>
      </c>
      <c r="G63" s="101">
        <f t="shared" si="5"/>
        <v>57072</v>
      </c>
    </row>
    <row r="64" spans="1:7" ht="17" thickBot="1" x14ac:dyDescent="0.25">
      <c r="A64" s="9" t="s">
        <v>60</v>
      </c>
      <c r="B64" s="9"/>
      <c r="C64" s="9" t="s">
        <v>36</v>
      </c>
      <c r="D64" s="9" t="s">
        <v>704</v>
      </c>
      <c r="E64" s="9">
        <v>5</v>
      </c>
      <c r="F64" s="101">
        <v>25984</v>
      </c>
      <c r="G64" s="101">
        <f t="shared" si="5"/>
        <v>129920</v>
      </c>
    </row>
    <row r="65" spans="1:7" ht="17" thickBot="1" x14ac:dyDescent="0.25">
      <c r="A65" s="9" t="s">
        <v>60</v>
      </c>
      <c r="B65" s="9"/>
      <c r="C65" s="9" t="s">
        <v>36</v>
      </c>
      <c r="D65" s="9" t="s">
        <v>2106</v>
      </c>
      <c r="E65" s="9">
        <v>6</v>
      </c>
      <c r="F65" s="101">
        <v>21112</v>
      </c>
      <c r="G65" s="101">
        <f t="shared" si="5"/>
        <v>126672</v>
      </c>
    </row>
    <row r="66" spans="1:7" ht="17" thickBot="1" x14ac:dyDescent="0.25">
      <c r="A66" s="9" t="s">
        <v>60</v>
      </c>
      <c r="B66" s="9"/>
      <c r="C66" s="9" t="s">
        <v>36</v>
      </c>
      <c r="D66" s="9" t="s">
        <v>2107</v>
      </c>
      <c r="E66" s="9">
        <v>20</v>
      </c>
      <c r="F66" s="101">
        <v>4872</v>
      </c>
      <c r="G66" s="101">
        <f t="shared" si="5"/>
        <v>97440</v>
      </c>
    </row>
    <row r="67" spans="1:7" ht="17" thickBot="1" x14ac:dyDescent="0.25">
      <c r="A67" s="9" t="s">
        <v>60</v>
      </c>
      <c r="B67" s="9"/>
      <c r="C67" s="9" t="s">
        <v>36</v>
      </c>
      <c r="D67" s="9" t="s">
        <v>2108</v>
      </c>
      <c r="E67" s="9">
        <v>3</v>
      </c>
      <c r="F67" s="101">
        <v>6264</v>
      </c>
      <c r="G67" s="101">
        <f t="shared" si="5"/>
        <v>18792</v>
      </c>
    </row>
    <row r="68" spans="1:7" ht="17" thickBot="1" x14ac:dyDescent="0.25">
      <c r="A68" s="9" t="s">
        <v>60</v>
      </c>
      <c r="B68" s="9"/>
      <c r="C68" s="9" t="s">
        <v>36</v>
      </c>
      <c r="D68" s="9" t="s">
        <v>2109</v>
      </c>
      <c r="E68" s="9">
        <v>5</v>
      </c>
      <c r="F68" s="101">
        <v>13920</v>
      </c>
      <c r="G68" s="101">
        <f t="shared" si="5"/>
        <v>69600</v>
      </c>
    </row>
    <row r="69" spans="1:7" ht="17" thickBot="1" x14ac:dyDescent="0.25">
      <c r="A69" s="9" t="s">
        <v>60</v>
      </c>
      <c r="B69" s="9"/>
      <c r="C69" s="9" t="s">
        <v>36</v>
      </c>
      <c r="D69" s="9" t="s">
        <v>2110</v>
      </c>
      <c r="E69" s="9">
        <v>5</v>
      </c>
      <c r="F69" s="101">
        <v>17400</v>
      </c>
      <c r="G69" s="101">
        <f t="shared" si="5"/>
        <v>87000</v>
      </c>
    </row>
    <row r="70" spans="1:7" ht="17" thickBot="1" x14ac:dyDescent="0.25">
      <c r="A70" s="9" t="s">
        <v>60</v>
      </c>
      <c r="B70" s="9"/>
      <c r="C70" s="9" t="s">
        <v>36</v>
      </c>
      <c r="D70" s="9" t="s">
        <v>2111</v>
      </c>
      <c r="E70" s="9">
        <v>10</v>
      </c>
      <c r="F70" s="101">
        <v>16240</v>
      </c>
      <c r="G70" s="101">
        <f t="shared" si="5"/>
        <v>162400</v>
      </c>
    </row>
    <row r="71" spans="1:7" ht="17" thickBot="1" x14ac:dyDescent="0.25">
      <c r="A71" s="9" t="s">
        <v>60</v>
      </c>
      <c r="B71" s="9"/>
      <c r="C71" s="9" t="s">
        <v>36</v>
      </c>
      <c r="D71" s="9" t="s">
        <v>2112</v>
      </c>
      <c r="E71" s="9">
        <v>16</v>
      </c>
      <c r="F71" s="101">
        <v>5916</v>
      </c>
      <c r="G71" s="101">
        <f t="shared" si="5"/>
        <v>94656</v>
      </c>
    </row>
    <row r="72" spans="1:7" ht="17" thickBot="1" x14ac:dyDescent="0.25">
      <c r="A72" s="9" t="s">
        <v>60</v>
      </c>
      <c r="B72" s="9"/>
      <c r="C72" s="9" t="s">
        <v>36</v>
      </c>
      <c r="D72" s="9" t="s">
        <v>2113</v>
      </c>
      <c r="E72" s="9">
        <v>10</v>
      </c>
      <c r="F72" s="101">
        <v>5916</v>
      </c>
      <c r="G72" s="101">
        <f t="shared" si="5"/>
        <v>59160</v>
      </c>
    </row>
    <row r="73" spans="1:7" ht="17" thickBot="1" x14ac:dyDescent="0.25">
      <c r="A73" s="9" t="s">
        <v>60</v>
      </c>
      <c r="B73" s="9"/>
      <c r="C73" s="9" t="s">
        <v>36</v>
      </c>
      <c r="D73" s="9" t="s">
        <v>2087</v>
      </c>
      <c r="E73" s="9">
        <v>5</v>
      </c>
      <c r="F73" s="101">
        <v>21692</v>
      </c>
      <c r="G73" s="101">
        <f t="shared" si="5"/>
        <v>108460</v>
      </c>
    </row>
    <row r="74" spans="1:7" ht="17" thickBot="1" x14ac:dyDescent="0.25">
      <c r="A74" s="9" t="s">
        <v>60</v>
      </c>
      <c r="B74" s="9"/>
      <c r="C74" s="9" t="s">
        <v>36</v>
      </c>
      <c r="D74" s="9" t="s">
        <v>2088</v>
      </c>
      <c r="E74" s="9">
        <v>6</v>
      </c>
      <c r="F74" s="101">
        <v>20880</v>
      </c>
      <c r="G74" s="101">
        <f t="shared" si="5"/>
        <v>125280</v>
      </c>
    </row>
    <row r="75" spans="1:7" ht="17" thickBot="1" x14ac:dyDescent="0.25">
      <c r="A75" s="9" t="s">
        <v>60</v>
      </c>
      <c r="B75" s="9"/>
      <c r="C75" s="9" t="s">
        <v>36</v>
      </c>
      <c r="D75" s="9" t="s">
        <v>2114</v>
      </c>
      <c r="E75" s="9">
        <v>10</v>
      </c>
      <c r="F75" s="101">
        <v>3248</v>
      </c>
      <c r="G75" s="101">
        <f t="shared" si="5"/>
        <v>32480</v>
      </c>
    </row>
    <row r="76" spans="1:7" ht="17" thickBot="1" x14ac:dyDescent="0.25">
      <c r="A76" s="9" t="s">
        <v>60</v>
      </c>
      <c r="B76" s="9"/>
      <c r="C76" s="9" t="s">
        <v>36</v>
      </c>
      <c r="D76" s="9" t="s">
        <v>2115</v>
      </c>
      <c r="E76" s="9">
        <v>5</v>
      </c>
      <c r="F76" s="101">
        <v>6612</v>
      </c>
      <c r="G76" s="101">
        <f t="shared" si="5"/>
        <v>33060</v>
      </c>
    </row>
    <row r="77" spans="1:7" ht="17" thickBot="1" x14ac:dyDescent="0.25">
      <c r="A77" s="9" t="s">
        <v>60</v>
      </c>
      <c r="B77" s="9"/>
      <c r="C77" s="9" t="s">
        <v>36</v>
      </c>
      <c r="D77" s="9" t="s">
        <v>2116</v>
      </c>
      <c r="E77" s="9">
        <v>3</v>
      </c>
      <c r="F77" s="101">
        <v>14384</v>
      </c>
      <c r="G77" s="101">
        <f t="shared" si="5"/>
        <v>43152</v>
      </c>
    </row>
    <row r="78" spans="1:7" ht="17" thickBot="1" x14ac:dyDescent="0.25">
      <c r="A78" s="9" t="s">
        <v>60</v>
      </c>
      <c r="B78" s="9"/>
      <c r="C78" s="9" t="s">
        <v>36</v>
      </c>
      <c r="D78" s="9" t="s">
        <v>2117</v>
      </c>
      <c r="E78" s="9">
        <v>8</v>
      </c>
      <c r="F78" s="101">
        <v>15660</v>
      </c>
      <c r="G78" s="101">
        <f t="shared" si="5"/>
        <v>125280</v>
      </c>
    </row>
    <row r="79" spans="1:7" ht="17" thickBot="1" x14ac:dyDescent="0.25">
      <c r="G79" s="12">
        <f>SUM(G47:G78)</f>
        <v>3139308</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43037-44C4-8B44-A1CF-0F43973A359F}">
  <dimension ref="A2:P67"/>
  <sheetViews>
    <sheetView topLeftCell="A21" workbookViewId="0">
      <selection activeCell="B29" sqref="B29"/>
    </sheetView>
  </sheetViews>
  <sheetFormatPr baseColWidth="10" defaultRowHeight="16" x14ac:dyDescent="0.2"/>
  <cols>
    <col min="1" max="1" width="78.83203125" style="2" customWidth="1"/>
    <col min="2" max="2" width="26" style="77" customWidth="1"/>
    <col min="3" max="3" width="10.83203125" style="2"/>
    <col min="4" max="4" width="32" style="2" customWidth="1"/>
    <col min="5" max="5" width="10.83203125" style="2"/>
    <col min="6" max="6" width="12.1640625" style="3" customWidth="1"/>
    <col min="7" max="7" width="14.6640625" style="3" customWidth="1"/>
    <col min="8" max="9" width="10.83203125" style="2"/>
    <col min="10" max="10" width="13.1640625" style="2" customWidth="1"/>
    <col min="11" max="12" width="10.83203125" style="2"/>
    <col min="13" max="13" width="14" style="2" customWidth="1"/>
    <col min="16" max="16" width="14.33203125" customWidth="1"/>
  </cols>
  <sheetData>
    <row r="2" spans="1:10" ht="19" thickBot="1" x14ac:dyDescent="0.25">
      <c r="A2" s="21" t="s">
        <v>210</v>
      </c>
      <c r="B2" s="86"/>
      <c r="C2" s="2" t="s">
        <v>108</v>
      </c>
      <c r="D2" s="2" t="s">
        <v>109</v>
      </c>
    </row>
    <row r="3" spans="1:10" ht="17" thickBot="1" x14ac:dyDescent="0.25">
      <c r="A3" s="9" t="s">
        <v>51</v>
      </c>
      <c r="B3" s="76"/>
      <c r="C3" s="9" t="s">
        <v>36</v>
      </c>
      <c r="D3" s="9" t="s">
        <v>110</v>
      </c>
      <c r="E3" s="9">
        <v>40</v>
      </c>
      <c r="F3" s="10">
        <v>5568</v>
      </c>
      <c r="G3" s="12">
        <f>E3*F3</f>
        <v>222720</v>
      </c>
      <c r="H3" s="18">
        <v>40</v>
      </c>
      <c r="I3" s="19">
        <v>5568</v>
      </c>
      <c r="J3" s="34">
        <f>H3*I3</f>
        <v>222720</v>
      </c>
    </row>
    <row r="5" spans="1:10" ht="19" thickBot="1" x14ac:dyDescent="0.25">
      <c r="A5" s="21" t="s">
        <v>230</v>
      </c>
      <c r="B5" s="86"/>
      <c r="C5" s="2" t="s">
        <v>180</v>
      </c>
      <c r="D5" s="2" t="s">
        <v>228</v>
      </c>
      <c r="E5" s="2" t="s">
        <v>229</v>
      </c>
    </row>
    <row r="6" spans="1:10" ht="17" thickBot="1" x14ac:dyDescent="0.25">
      <c r="A6" s="9" t="s">
        <v>222</v>
      </c>
      <c r="B6" s="76" t="s">
        <v>956</v>
      </c>
      <c r="C6" s="9" t="s">
        <v>4</v>
      </c>
      <c r="D6" s="9"/>
      <c r="E6" s="9">
        <v>12</v>
      </c>
      <c r="F6" s="10">
        <v>3480</v>
      </c>
      <c r="G6" s="10">
        <f t="shared" ref="G6:G11" si="0">F6*E6</f>
        <v>41760</v>
      </c>
      <c r="H6" s="18">
        <v>12</v>
      </c>
      <c r="I6" s="19">
        <v>3480</v>
      </c>
      <c r="J6" s="19">
        <f t="shared" ref="J6:J11" si="1">I6*H6</f>
        <v>41760</v>
      </c>
    </row>
    <row r="7" spans="1:10" ht="17" thickBot="1" x14ac:dyDescent="0.25">
      <c r="A7" s="9" t="s">
        <v>223</v>
      </c>
      <c r="B7" s="76" t="s">
        <v>925</v>
      </c>
      <c r="C7" s="9" t="s">
        <v>4</v>
      </c>
      <c r="D7" s="9"/>
      <c r="E7" s="9">
        <v>24</v>
      </c>
      <c r="F7" s="10">
        <v>20996</v>
      </c>
      <c r="G7" s="10">
        <f t="shared" si="0"/>
        <v>503904</v>
      </c>
      <c r="H7" s="18">
        <v>24</v>
      </c>
      <c r="I7" s="19">
        <v>20996</v>
      </c>
      <c r="J7" s="19">
        <f t="shared" si="1"/>
        <v>503904</v>
      </c>
    </row>
    <row r="8" spans="1:10" ht="17" thickBot="1" x14ac:dyDescent="0.25">
      <c r="A8" s="9" t="s">
        <v>224</v>
      </c>
      <c r="B8" s="76" t="s">
        <v>1570</v>
      </c>
      <c r="C8" s="9" t="s">
        <v>4</v>
      </c>
      <c r="D8" s="9"/>
      <c r="E8" s="9">
        <v>6</v>
      </c>
      <c r="F8" s="10">
        <v>13920</v>
      </c>
      <c r="G8" s="10">
        <f t="shared" si="0"/>
        <v>83520</v>
      </c>
      <c r="H8" s="18">
        <v>6</v>
      </c>
      <c r="I8" s="19">
        <v>13920</v>
      </c>
      <c r="J8" s="19">
        <f t="shared" si="1"/>
        <v>83520</v>
      </c>
    </row>
    <row r="9" spans="1:10" ht="17" thickBot="1" x14ac:dyDescent="0.25">
      <c r="A9" s="9" t="s">
        <v>225</v>
      </c>
      <c r="B9" s="76" t="s">
        <v>1571</v>
      </c>
      <c r="C9" s="9" t="s">
        <v>4</v>
      </c>
      <c r="D9" s="9"/>
      <c r="E9" s="9">
        <v>6</v>
      </c>
      <c r="F9" s="10">
        <v>12760</v>
      </c>
      <c r="G9" s="10">
        <f t="shared" si="0"/>
        <v>76560</v>
      </c>
      <c r="H9" s="18">
        <v>6</v>
      </c>
      <c r="I9" s="19">
        <v>12760</v>
      </c>
      <c r="J9" s="19">
        <f t="shared" si="1"/>
        <v>76560</v>
      </c>
    </row>
    <row r="10" spans="1:10" ht="17" thickBot="1" x14ac:dyDescent="0.25">
      <c r="A10" s="9" t="s">
        <v>226</v>
      </c>
      <c r="B10" s="76" t="s">
        <v>1572</v>
      </c>
      <c r="C10" s="9" t="s">
        <v>4</v>
      </c>
      <c r="D10" s="9"/>
      <c r="E10" s="9">
        <v>24</v>
      </c>
      <c r="F10" s="10">
        <v>5266.4</v>
      </c>
      <c r="G10" s="10">
        <f t="shared" si="0"/>
        <v>126393.59999999999</v>
      </c>
      <c r="H10" s="18">
        <v>24</v>
      </c>
      <c r="I10" s="19">
        <v>5266.4</v>
      </c>
      <c r="J10" s="19">
        <f t="shared" si="1"/>
        <v>126393.59999999999</v>
      </c>
    </row>
    <row r="11" spans="1:10" ht="17" thickBot="1" x14ac:dyDescent="0.25">
      <c r="A11" s="9" t="s">
        <v>227</v>
      </c>
      <c r="B11" s="76" t="s">
        <v>852</v>
      </c>
      <c r="C11" s="9" t="s">
        <v>4</v>
      </c>
      <c r="D11" s="9"/>
      <c r="E11" s="9">
        <v>6</v>
      </c>
      <c r="F11" s="10">
        <v>10092</v>
      </c>
      <c r="G11" s="10">
        <f t="shared" si="0"/>
        <v>60552</v>
      </c>
      <c r="H11" s="18">
        <v>6</v>
      </c>
      <c r="I11" s="19">
        <v>10092</v>
      </c>
      <c r="J11" s="19">
        <f t="shared" si="1"/>
        <v>60552</v>
      </c>
    </row>
    <row r="12" spans="1:10" ht="17" thickBot="1" x14ac:dyDescent="0.25">
      <c r="G12" s="12">
        <f>SUM(G6:G11)</f>
        <v>892689.6</v>
      </c>
      <c r="I12" s="3"/>
      <c r="J12" s="34">
        <f>SUM(J6:J11)</f>
        <v>892689.6</v>
      </c>
    </row>
    <row r="13" spans="1:10" ht="19" thickBot="1" x14ac:dyDescent="0.25">
      <c r="A13" s="21" t="s">
        <v>260</v>
      </c>
      <c r="B13" s="86"/>
      <c r="D13" s="2" t="s">
        <v>258</v>
      </c>
      <c r="E13" s="2" t="s">
        <v>259</v>
      </c>
    </row>
    <row r="14" spans="1:10" ht="17" thickBot="1" x14ac:dyDescent="0.25">
      <c r="A14" s="9" t="s">
        <v>248</v>
      </c>
      <c r="B14" s="76"/>
      <c r="C14" s="9" t="s">
        <v>4</v>
      </c>
      <c r="D14" s="9"/>
      <c r="E14" s="9">
        <v>3</v>
      </c>
      <c r="F14" s="10">
        <v>4060</v>
      </c>
      <c r="G14" s="10">
        <f>F14*E14</f>
        <v>12180</v>
      </c>
      <c r="H14" s="18"/>
      <c r="I14" s="19">
        <v>4060</v>
      </c>
      <c r="J14" s="19">
        <f>I14*H14</f>
        <v>0</v>
      </c>
    </row>
    <row r="15" spans="1:10" ht="17" thickBot="1" x14ac:dyDescent="0.25">
      <c r="A15" s="9" t="s">
        <v>249</v>
      </c>
      <c r="B15" s="76"/>
      <c r="C15" s="9" t="s">
        <v>4</v>
      </c>
      <c r="D15" s="9"/>
      <c r="E15" s="9">
        <v>5</v>
      </c>
      <c r="F15" s="10">
        <v>9280</v>
      </c>
      <c r="G15" s="10">
        <f t="shared" ref="G15:G23" si="2">F15*E15</f>
        <v>46400</v>
      </c>
      <c r="H15" s="18">
        <v>5</v>
      </c>
      <c r="I15" s="19">
        <v>9280</v>
      </c>
      <c r="J15" s="19">
        <f t="shared" ref="J15:J23" si="3">I15*H15</f>
        <v>46400</v>
      </c>
    </row>
    <row r="16" spans="1:10" ht="17" thickBot="1" x14ac:dyDescent="0.25">
      <c r="A16" s="9" t="s">
        <v>250</v>
      </c>
      <c r="B16" s="76"/>
      <c r="C16" s="9" t="s">
        <v>4</v>
      </c>
      <c r="D16" s="9"/>
      <c r="E16" s="9">
        <v>12</v>
      </c>
      <c r="F16" s="10">
        <v>8120</v>
      </c>
      <c r="G16" s="10">
        <f t="shared" si="2"/>
        <v>97440</v>
      </c>
      <c r="H16" s="18">
        <v>12</v>
      </c>
      <c r="I16" s="19">
        <v>8120</v>
      </c>
      <c r="J16" s="19">
        <f t="shared" si="3"/>
        <v>97440</v>
      </c>
    </row>
    <row r="17" spans="1:16" ht="17" thickBot="1" x14ac:dyDescent="0.25">
      <c r="A17" s="9" t="s">
        <v>251</v>
      </c>
      <c r="B17" s="76"/>
      <c r="C17" s="9" t="s">
        <v>4</v>
      </c>
      <c r="D17" s="9"/>
      <c r="E17" s="9">
        <v>3</v>
      </c>
      <c r="F17" s="10">
        <v>9280</v>
      </c>
      <c r="G17" s="10">
        <f t="shared" si="2"/>
        <v>27840</v>
      </c>
      <c r="H17" s="18">
        <v>3</v>
      </c>
      <c r="I17" s="19">
        <v>9280</v>
      </c>
      <c r="J17" s="19">
        <f t="shared" si="3"/>
        <v>27840</v>
      </c>
    </row>
    <row r="18" spans="1:16" ht="17" thickBot="1" x14ac:dyDescent="0.25">
      <c r="A18" s="9" t="s">
        <v>252</v>
      </c>
      <c r="B18" s="76"/>
      <c r="C18" s="9" t="s">
        <v>4</v>
      </c>
      <c r="D18" s="9"/>
      <c r="E18" s="9">
        <v>3</v>
      </c>
      <c r="F18" s="10">
        <v>8700</v>
      </c>
      <c r="G18" s="10">
        <f t="shared" si="2"/>
        <v>26100</v>
      </c>
      <c r="H18" s="18">
        <v>3</v>
      </c>
      <c r="I18" s="19">
        <v>8700</v>
      </c>
      <c r="J18" s="19">
        <f t="shared" si="3"/>
        <v>26100</v>
      </c>
    </row>
    <row r="19" spans="1:16" ht="17" thickBot="1" x14ac:dyDescent="0.25">
      <c r="A19" s="9" t="s">
        <v>253</v>
      </c>
      <c r="B19" s="76"/>
      <c r="C19" s="9" t="s">
        <v>4</v>
      </c>
      <c r="D19" s="9"/>
      <c r="E19" s="9">
        <v>3</v>
      </c>
      <c r="F19" s="10">
        <v>3944</v>
      </c>
      <c r="G19" s="10">
        <f t="shared" si="2"/>
        <v>11832</v>
      </c>
      <c r="H19" s="18">
        <v>1</v>
      </c>
      <c r="I19" s="19">
        <v>3944</v>
      </c>
      <c r="J19" s="19">
        <f t="shared" si="3"/>
        <v>3944</v>
      </c>
    </row>
    <row r="20" spans="1:16" ht="17" thickBot="1" x14ac:dyDescent="0.25">
      <c r="A20" s="9" t="s">
        <v>254</v>
      </c>
      <c r="B20" s="76"/>
      <c r="C20" s="9" t="s">
        <v>4</v>
      </c>
      <c r="D20" s="9"/>
      <c r="E20" s="9">
        <v>6</v>
      </c>
      <c r="F20" s="10">
        <v>3480</v>
      </c>
      <c r="G20" s="10">
        <f t="shared" si="2"/>
        <v>20880</v>
      </c>
      <c r="H20" s="18"/>
      <c r="I20" s="19">
        <v>3480</v>
      </c>
      <c r="J20" s="19">
        <f t="shared" si="3"/>
        <v>0</v>
      </c>
    </row>
    <row r="21" spans="1:16" ht="17" thickBot="1" x14ac:dyDescent="0.25">
      <c r="A21" s="9" t="s">
        <v>255</v>
      </c>
      <c r="B21" s="76"/>
      <c r="C21" s="9" t="s">
        <v>4</v>
      </c>
      <c r="D21" s="9"/>
      <c r="E21" s="9">
        <v>24</v>
      </c>
      <c r="F21" s="10">
        <v>10440</v>
      </c>
      <c r="G21" s="10">
        <f t="shared" si="2"/>
        <v>250560</v>
      </c>
      <c r="H21" s="18">
        <v>6</v>
      </c>
      <c r="I21" s="19">
        <v>10440</v>
      </c>
      <c r="J21" s="19">
        <f t="shared" si="3"/>
        <v>62640</v>
      </c>
    </row>
    <row r="22" spans="1:16" ht="17" thickBot="1" x14ac:dyDescent="0.25">
      <c r="A22" s="9" t="s">
        <v>256</v>
      </c>
      <c r="B22" s="76"/>
      <c r="C22" s="9" t="s">
        <v>4</v>
      </c>
      <c r="D22" s="9"/>
      <c r="E22" s="9">
        <v>6</v>
      </c>
      <c r="F22" s="10">
        <v>11020</v>
      </c>
      <c r="G22" s="10">
        <f t="shared" si="2"/>
        <v>66120</v>
      </c>
      <c r="H22" s="18">
        <v>1</v>
      </c>
      <c r="I22" s="19">
        <v>11020</v>
      </c>
      <c r="J22" s="19">
        <f t="shared" si="3"/>
        <v>11020</v>
      </c>
    </row>
    <row r="23" spans="1:16" ht="17" thickBot="1" x14ac:dyDescent="0.25">
      <c r="A23" s="9" t="s">
        <v>257</v>
      </c>
      <c r="B23" s="76"/>
      <c r="C23" s="9" t="s">
        <v>4</v>
      </c>
      <c r="D23" s="9"/>
      <c r="E23" s="9">
        <v>2</v>
      </c>
      <c r="F23" s="10">
        <v>9280</v>
      </c>
      <c r="G23" s="10">
        <f t="shared" si="2"/>
        <v>18560</v>
      </c>
      <c r="H23" s="18">
        <v>1</v>
      </c>
      <c r="I23" s="19">
        <v>9280</v>
      </c>
      <c r="J23" s="19">
        <f t="shared" si="3"/>
        <v>9280</v>
      </c>
    </row>
    <row r="24" spans="1:16" ht="17" thickBot="1" x14ac:dyDescent="0.25">
      <c r="G24" s="12">
        <f>SUM(G14:G23)</f>
        <v>577912</v>
      </c>
      <c r="I24" s="3"/>
      <c r="J24" s="34">
        <f>SUM(J14:J23)</f>
        <v>284664</v>
      </c>
    </row>
    <row r="27" spans="1:16" ht="17" thickBot="1" x14ac:dyDescent="0.25">
      <c r="A27" s="30" t="s">
        <v>967</v>
      </c>
      <c r="B27" s="74"/>
      <c r="P27" s="36">
        <v>46196</v>
      </c>
    </row>
    <row r="28" spans="1:16" ht="17" thickBot="1" x14ac:dyDescent="0.25">
      <c r="A28" s="9" t="s">
        <v>60</v>
      </c>
      <c r="B28" s="76" t="s">
        <v>903</v>
      </c>
      <c r="C28" s="23">
        <v>18</v>
      </c>
      <c r="D28" s="9" t="s">
        <v>693</v>
      </c>
      <c r="E28" s="9">
        <v>60</v>
      </c>
      <c r="F28" s="59">
        <v>9280</v>
      </c>
      <c r="G28" s="59">
        <f>E28*F28</f>
        <v>556800</v>
      </c>
      <c r="H28" s="23">
        <v>15</v>
      </c>
      <c r="I28" s="39">
        <v>9280</v>
      </c>
      <c r="J28" s="39">
        <f>H28*I28</f>
        <v>139200</v>
      </c>
      <c r="K28" s="27">
        <v>10</v>
      </c>
      <c r="L28" s="183">
        <v>9280</v>
      </c>
      <c r="M28" s="183">
        <f>K28*L28</f>
        <v>92800</v>
      </c>
      <c r="N28" s="23">
        <v>18</v>
      </c>
      <c r="O28" s="39">
        <v>9280</v>
      </c>
      <c r="P28" s="39">
        <f>N28*O28</f>
        <v>167040</v>
      </c>
    </row>
    <row r="29" spans="1:16" ht="17" thickBot="1" x14ac:dyDescent="0.25">
      <c r="A29" s="9" t="s">
        <v>60</v>
      </c>
      <c r="B29" s="76" t="s">
        <v>2144</v>
      </c>
      <c r="C29" s="23">
        <v>8</v>
      </c>
      <c r="D29" s="9" t="s">
        <v>694</v>
      </c>
      <c r="E29" s="9">
        <v>40</v>
      </c>
      <c r="F29" s="59">
        <v>7888</v>
      </c>
      <c r="G29" s="59">
        <f t="shared" ref="G29:G59" si="4">E29*F29</f>
        <v>315520</v>
      </c>
      <c r="H29" s="23"/>
      <c r="I29" s="39">
        <v>7888</v>
      </c>
      <c r="J29" s="39">
        <f t="shared" ref="J29:J59" si="5">H29*I29</f>
        <v>0</v>
      </c>
      <c r="K29" s="27">
        <v>8</v>
      </c>
      <c r="L29" s="183">
        <v>7888</v>
      </c>
      <c r="M29" s="183">
        <f t="shared" ref="M29:M59" si="6">K29*L29</f>
        <v>63104</v>
      </c>
      <c r="N29" s="23">
        <v>8</v>
      </c>
      <c r="O29" s="39">
        <v>7888</v>
      </c>
      <c r="P29" s="39">
        <f t="shared" ref="P29:P59" si="7">N29*O29</f>
        <v>63104</v>
      </c>
    </row>
    <row r="30" spans="1:16" ht="17" thickBot="1" x14ac:dyDescent="0.25">
      <c r="A30" s="9" t="s">
        <v>60</v>
      </c>
      <c r="B30" s="76" t="s">
        <v>849</v>
      </c>
      <c r="C30" s="23"/>
      <c r="D30" s="9" t="s">
        <v>695</v>
      </c>
      <c r="E30" s="9">
        <v>100</v>
      </c>
      <c r="F30" s="59">
        <v>3712</v>
      </c>
      <c r="G30" s="59">
        <f t="shared" si="4"/>
        <v>371200</v>
      </c>
      <c r="H30" s="23"/>
      <c r="I30" s="39">
        <v>3712</v>
      </c>
      <c r="J30" s="39">
        <f t="shared" si="5"/>
        <v>0</v>
      </c>
      <c r="K30" s="27">
        <v>100</v>
      </c>
      <c r="L30" s="183">
        <v>3712</v>
      </c>
      <c r="M30" s="183">
        <f t="shared" si="6"/>
        <v>371200</v>
      </c>
      <c r="N30" s="23"/>
      <c r="O30" s="39">
        <v>3712</v>
      </c>
      <c r="P30" s="39">
        <f t="shared" si="7"/>
        <v>0</v>
      </c>
    </row>
    <row r="31" spans="1:16" ht="17" thickBot="1" x14ac:dyDescent="0.25">
      <c r="A31" s="9" t="s">
        <v>60</v>
      </c>
      <c r="B31" s="76" t="s">
        <v>1579</v>
      </c>
      <c r="C31" s="23"/>
      <c r="D31" s="9" t="s">
        <v>696</v>
      </c>
      <c r="E31" s="9">
        <v>20</v>
      </c>
      <c r="F31" s="59">
        <v>11368</v>
      </c>
      <c r="G31" s="59">
        <f t="shared" si="4"/>
        <v>227360</v>
      </c>
      <c r="H31" s="23">
        <v>5</v>
      </c>
      <c r="I31" s="39">
        <v>11368</v>
      </c>
      <c r="J31" s="39">
        <f t="shared" si="5"/>
        <v>56840</v>
      </c>
      <c r="K31" s="27">
        <v>5</v>
      </c>
      <c r="L31" s="183">
        <v>11368</v>
      </c>
      <c r="M31" s="183">
        <f t="shared" si="6"/>
        <v>56840</v>
      </c>
      <c r="N31" s="23"/>
      <c r="O31" s="39">
        <v>11368</v>
      </c>
      <c r="P31" s="39">
        <f t="shared" si="7"/>
        <v>0</v>
      </c>
    </row>
    <row r="32" spans="1:16" ht="17" thickBot="1" x14ac:dyDescent="0.25">
      <c r="A32" s="9" t="s">
        <v>60</v>
      </c>
      <c r="B32" s="76" t="s">
        <v>1573</v>
      </c>
      <c r="C32" s="23">
        <v>2</v>
      </c>
      <c r="D32" s="9" t="s">
        <v>478</v>
      </c>
      <c r="E32" s="9">
        <v>10</v>
      </c>
      <c r="F32" s="59">
        <v>9280</v>
      </c>
      <c r="G32" s="59">
        <f t="shared" si="4"/>
        <v>92800</v>
      </c>
      <c r="H32" s="23">
        <v>3</v>
      </c>
      <c r="I32" s="39">
        <v>9280</v>
      </c>
      <c r="J32" s="39">
        <f t="shared" si="5"/>
        <v>27840</v>
      </c>
      <c r="K32" s="27"/>
      <c r="L32" s="183">
        <v>9280</v>
      </c>
      <c r="M32" s="183">
        <f t="shared" si="6"/>
        <v>0</v>
      </c>
      <c r="N32" s="23">
        <v>2</v>
      </c>
      <c r="O32" s="39">
        <v>9280</v>
      </c>
      <c r="P32" s="39">
        <f t="shared" si="7"/>
        <v>18560</v>
      </c>
    </row>
    <row r="33" spans="1:16" ht="17" thickBot="1" x14ac:dyDescent="0.25">
      <c r="A33" s="9" t="s">
        <v>60</v>
      </c>
      <c r="B33" s="76" t="s">
        <v>1340</v>
      </c>
      <c r="C33" s="23">
        <v>11</v>
      </c>
      <c r="D33" s="9" t="s">
        <v>697</v>
      </c>
      <c r="E33" s="9">
        <v>40</v>
      </c>
      <c r="F33" s="59">
        <v>8700</v>
      </c>
      <c r="G33" s="59">
        <f t="shared" si="4"/>
        <v>348000</v>
      </c>
      <c r="H33" s="23">
        <v>10</v>
      </c>
      <c r="I33" s="39">
        <v>8700</v>
      </c>
      <c r="J33" s="39">
        <f t="shared" si="5"/>
        <v>87000</v>
      </c>
      <c r="K33" s="27"/>
      <c r="L33" s="183">
        <v>8700</v>
      </c>
      <c r="M33" s="183">
        <f t="shared" si="6"/>
        <v>0</v>
      </c>
      <c r="N33" s="23">
        <v>11</v>
      </c>
      <c r="O33" s="39">
        <v>8700</v>
      </c>
      <c r="P33" s="39">
        <f t="shared" si="7"/>
        <v>95700</v>
      </c>
    </row>
    <row r="34" spans="1:16" ht="17" thickBot="1" x14ac:dyDescent="0.25">
      <c r="A34" s="9" t="s">
        <v>342</v>
      </c>
      <c r="B34" s="76" t="s">
        <v>879</v>
      </c>
      <c r="C34" s="23"/>
      <c r="D34" s="9" t="s">
        <v>264</v>
      </c>
      <c r="E34" s="9">
        <v>40</v>
      </c>
      <c r="F34" s="59">
        <v>82360</v>
      </c>
      <c r="G34" s="59">
        <f t="shared" si="4"/>
        <v>3294400</v>
      </c>
      <c r="H34" s="23">
        <v>40</v>
      </c>
      <c r="I34" s="39">
        <v>82360</v>
      </c>
      <c r="J34" s="39">
        <f t="shared" si="5"/>
        <v>3294400</v>
      </c>
      <c r="K34" s="27"/>
      <c r="L34" s="183">
        <v>82360</v>
      </c>
      <c r="M34" s="183">
        <f t="shared" si="6"/>
        <v>0</v>
      </c>
      <c r="N34" s="23"/>
      <c r="O34" s="39">
        <v>82360</v>
      </c>
      <c r="P34" s="39">
        <f t="shared" si="7"/>
        <v>0</v>
      </c>
    </row>
    <row r="35" spans="1:16" ht="17" thickBot="1" x14ac:dyDescent="0.25">
      <c r="A35" s="9" t="s">
        <v>60</v>
      </c>
      <c r="B35" s="76" t="s">
        <v>876</v>
      </c>
      <c r="C35" s="23">
        <v>10</v>
      </c>
      <c r="D35" s="9" t="s">
        <v>698</v>
      </c>
      <c r="E35" s="9">
        <v>40</v>
      </c>
      <c r="F35" s="59">
        <v>11368</v>
      </c>
      <c r="G35" s="59">
        <f t="shared" si="4"/>
        <v>454720</v>
      </c>
      <c r="H35" s="23">
        <v>10</v>
      </c>
      <c r="I35" s="39">
        <v>11368</v>
      </c>
      <c r="J35" s="39">
        <f t="shared" si="5"/>
        <v>113680</v>
      </c>
      <c r="K35" s="27"/>
      <c r="L35" s="183">
        <v>11368</v>
      </c>
      <c r="M35" s="183">
        <f t="shared" si="6"/>
        <v>0</v>
      </c>
      <c r="N35" s="23">
        <v>10</v>
      </c>
      <c r="O35" s="39">
        <v>11368</v>
      </c>
      <c r="P35" s="39">
        <f t="shared" si="7"/>
        <v>113680</v>
      </c>
    </row>
    <row r="36" spans="1:16" ht="17" thickBot="1" x14ac:dyDescent="0.25">
      <c r="A36" s="9" t="s">
        <v>60</v>
      </c>
      <c r="B36" s="76" t="s">
        <v>890</v>
      </c>
      <c r="C36" s="23">
        <v>10</v>
      </c>
      <c r="D36" s="9" t="s">
        <v>699</v>
      </c>
      <c r="E36" s="9">
        <v>20</v>
      </c>
      <c r="F36" s="59">
        <v>12992</v>
      </c>
      <c r="G36" s="59">
        <f t="shared" si="4"/>
        <v>259840</v>
      </c>
      <c r="H36" s="23">
        <v>5</v>
      </c>
      <c r="I36" s="39">
        <v>12992</v>
      </c>
      <c r="J36" s="39">
        <f t="shared" si="5"/>
        <v>64960</v>
      </c>
      <c r="K36" s="27"/>
      <c r="L36" s="183">
        <v>12992</v>
      </c>
      <c r="M36" s="183">
        <f t="shared" si="6"/>
        <v>0</v>
      </c>
      <c r="N36" s="23">
        <v>10</v>
      </c>
      <c r="O36" s="39">
        <v>12992</v>
      </c>
      <c r="P36" s="39">
        <f t="shared" si="7"/>
        <v>129920</v>
      </c>
    </row>
    <row r="37" spans="1:16" ht="17" thickBot="1" x14ac:dyDescent="0.25">
      <c r="A37" s="9" t="s">
        <v>60</v>
      </c>
      <c r="B37" s="76" t="s">
        <v>835</v>
      </c>
      <c r="C37" s="23">
        <v>10</v>
      </c>
      <c r="D37" s="9" t="s">
        <v>700</v>
      </c>
      <c r="E37" s="9">
        <v>40</v>
      </c>
      <c r="F37" s="59">
        <v>3596</v>
      </c>
      <c r="G37" s="59">
        <f t="shared" si="4"/>
        <v>143840</v>
      </c>
      <c r="H37" s="23">
        <v>10</v>
      </c>
      <c r="I37" s="39">
        <v>3596</v>
      </c>
      <c r="J37" s="39">
        <f t="shared" si="5"/>
        <v>35960</v>
      </c>
      <c r="K37" s="27"/>
      <c r="L37" s="183">
        <v>3596</v>
      </c>
      <c r="M37" s="183">
        <f t="shared" si="6"/>
        <v>0</v>
      </c>
      <c r="N37" s="23">
        <v>10</v>
      </c>
      <c r="O37" s="39">
        <v>3596</v>
      </c>
      <c r="P37" s="39">
        <f t="shared" si="7"/>
        <v>35960</v>
      </c>
    </row>
    <row r="38" spans="1:16" ht="17" thickBot="1" x14ac:dyDescent="0.25">
      <c r="A38" s="9" t="s">
        <v>60</v>
      </c>
      <c r="B38" s="76" t="s">
        <v>1346</v>
      </c>
      <c r="C38" s="23">
        <v>15</v>
      </c>
      <c r="D38" s="9" t="s">
        <v>701</v>
      </c>
      <c r="E38" s="9">
        <v>60</v>
      </c>
      <c r="F38" s="59">
        <v>4756</v>
      </c>
      <c r="G38" s="59">
        <f t="shared" si="4"/>
        <v>285360</v>
      </c>
      <c r="H38" s="23">
        <v>15</v>
      </c>
      <c r="I38" s="39">
        <v>4756</v>
      </c>
      <c r="J38" s="39">
        <f t="shared" si="5"/>
        <v>71340</v>
      </c>
      <c r="K38" s="27"/>
      <c r="L38" s="183">
        <v>4756</v>
      </c>
      <c r="M38" s="183">
        <f t="shared" si="6"/>
        <v>0</v>
      </c>
      <c r="N38" s="23">
        <v>15</v>
      </c>
      <c r="O38" s="39">
        <v>4756</v>
      </c>
      <c r="P38" s="39">
        <f t="shared" si="7"/>
        <v>71340</v>
      </c>
    </row>
    <row r="39" spans="1:16" ht="17" thickBot="1" x14ac:dyDescent="0.25">
      <c r="A39" s="9" t="s">
        <v>60</v>
      </c>
      <c r="B39" s="76" t="s">
        <v>1340</v>
      </c>
      <c r="C39" s="23">
        <v>5</v>
      </c>
      <c r="D39" s="9" t="s">
        <v>702</v>
      </c>
      <c r="E39" s="9">
        <v>20</v>
      </c>
      <c r="F39" s="59">
        <v>20880</v>
      </c>
      <c r="G39" s="59">
        <f t="shared" si="4"/>
        <v>417600</v>
      </c>
      <c r="H39" s="23">
        <v>5</v>
      </c>
      <c r="I39" s="39">
        <v>20880</v>
      </c>
      <c r="J39" s="39">
        <f t="shared" si="5"/>
        <v>104400</v>
      </c>
      <c r="K39" s="27"/>
      <c r="L39" s="183">
        <v>20880</v>
      </c>
      <c r="M39" s="183">
        <f t="shared" si="6"/>
        <v>0</v>
      </c>
      <c r="N39" s="23">
        <v>5</v>
      </c>
      <c r="O39" s="39">
        <v>20880</v>
      </c>
      <c r="P39" s="39">
        <f t="shared" si="7"/>
        <v>104400</v>
      </c>
    </row>
    <row r="40" spans="1:16" ht="17" thickBot="1" x14ac:dyDescent="0.25">
      <c r="A40" s="9" t="s">
        <v>60</v>
      </c>
      <c r="B40" s="76" t="s">
        <v>910</v>
      </c>
      <c r="C40" s="23">
        <v>5</v>
      </c>
      <c r="D40" s="9" t="s">
        <v>703</v>
      </c>
      <c r="E40" s="9">
        <v>20</v>
      </c>
      <c r="F40" s="59">
        <v>15312</v>
      </c>
      <c r="G40" s="59">
        <f t="shared" si="4"/>
        <v>306240</v>
      </c>
      <c r="H40" s="23">
        <v>5</v>
      </c>
      <c r="I40" s="39">
        <v>15312</v>
      </c>
      <c r="J40" s="39">
        <f t="shared" si="5"/>
        <v>76560</v>
      </c>
      <c r="K40" s="27"/>
      <c r="L40" s="183">
        <v>15312</v>
      </c>
      <c r="M40" s="183">
        <f t="shared" si="6"/>
        <v>0</v>
      </c>
      <c r="N40" s="23">
        <v>5</v>
      </c>
      <c r="O40" s="39">
        <v>15312</v>
      </c>
      <c r="P40" s="39">
        <f t="shared" si="7"/>
        <v>76560</v>
      </c>
    </row>
    <row r="41" spans="1:16" ht="17" thickBot="1" x14ac:dyDescent="0.25">
      <c r="A41" s="9" t="s">
        <v>60</v>
      </c>
      <c r="B41" s="76" t="s">
        <v>1336</v>
      </c>
      <c r="C41" s="23"/>
      <c r="D41" s="9" t="s">
        <v>704</v>
      </c>
      <c r="E41" s="9">
        <v>40</v>
      </c>
      <c r="F41" s="59">
        <v>22040</v>
      </c>
      <c r="G41" s="59">
        <f t="shared" si="4"/>
        <v>881600</v>
      </c>
      <c r="H41" s="23">
        <v>2</v>
      </c>
      <c r="I41" s="39">
        <v>22040</v>
      </c>
      <c r="J41" s="39">
        <f t="shared" si="5"/>
        <v>44080</v>
      </c>
      <c r="K41" s="27">
        <v>38</v>
      </c>
      <c r="L41" s="183">
        <v>22040</v>
      </c>
      <c r="M41" s="183">
        <f t="shared" si="6"/>
        <v>837520</v>
      </c>
      <c r="N41" s="23"/>
      <c r="O41" s="39">
        <v>22040</v>
      </c>
      <c r="P41" s="39">
        <f t="shared" si="7"/>
        <v>0</v>
      </c>
    </row>
    <row r="42" spans="1:16" ht="17" thickBot="1" x14ac:dyDescent="0.25">
      <c r="A42" s="9" t="s">
        <v>60</v>
      </c>
      <c r="B42" s="76" t="s">
        <v>878</v>
      </c>
      <c r="C42" s="23">
        <v>20</v>
      </c>
      <c r="D42" s="9" t="s">
        <v>705</v>
      </c>
      <c r="E42" s="9">
        <v>40</v>
      </c>
      <c r="F42" s="59">
        <v>14036</v>
      </c>
      <c r="G42" s="59">
        <f t="shared" si="4"/>
        <v>561440</v>
      </c>
      <c r="H42" s="23"/>
      <c r="I42" s="39">
        <v>14036</v>
      </c>
      <c r="J42" s="39">
        <f t="shared" si="5"/>
        <v>0</v>
      </c>
      <c r="K42" s="27"/>
      <c r="L42" s="183">
        <v>14036</v>
      </c>
      <c r="M42" s="183">
        <f t="shared" si="6"/>
        <v>0</v>
      </c>
      <c r="N42" s="23">
        <v>20</v>
      </c>
      <c r="O42" s="39">
        <v>14036</v>
      </c>
      <c r="P42" s="39">
        <f t="shared" si="7"/>
        <v>280720</v>
      </c>
    </row>
    <row r="43" spans="1:16" ht="17" thickBot="1" x14ac:dyDescent="0.25">
      <c r="A43" s="9" t="s">
        <v>60</v>
      </c>
      <c r="B43" s="76" t="s">
        <v>1564</v>
      </c>
      <c r="C43" s="23">
        <v>19</v>
      </c>
      <c r="D43" s="9" t="s">
        <v>706</v>
      </c>
      <c r="E43" s="9">
        <v>100</v>
      </c>
      <c r="F43" s="59">
        <v>4408</v>
      </c>
      <c r="G43" s="59">
        <f t="shared" si="4"/>
        <v>440800</v>
      </c>
      <c r="H43" s="23">
        <v>24</v>
      </c>
      <c r="I43" s="39">
        <v>4408</v>
      </c>
      <c r="J43" s="39">
        <f t="shared" si="5"/>
        <v>105792</v>
      </c>
      <c r="K43" s="27">
        <v>7</v>
      </c>
      <c r="L43" s="183">
        <v>4408</v>
      </c>
      <c r="M43" s="183">
        <f t="shared" si="6"/>
        <v>30856</v>
      </c>
      <c r="N43" s="23">
        <v>19</v>
      </c>
      <c r="O43" s="39">
        <v>4408</v>
      </c>
      <c r="P43" s="39">
        <f t="shared" si="7"/>
        <v>83752</v>
      </c>
    </row>
    <row r="44" spans="1:16" ht="17" thickBot="1" x14ac:dyDescent="0.25">
      <c r="A44" s="9" t="s">
        <v>60</v>
      </c>
      <c r="B44" s="76" t="s">
        <v>882</v>
      </c>
      <c r="C44" s="23">
        <v>4</v>
      </c>
      <c r="D44" s="9" t="s">
        <v>707</v>
      </c>
      <c r="E44" s="9">
        <v>20</v>
      </c>
      <c r="F44" s="59">
        <v>11368</v>
      </c>
      <c r="G44" s="59">
        <f t="shared" si="4"/>
        <v>227360</v>
      </c>
      <c r="H44" s="23">
        <v>6</v>
      </c>
      <c r="I44" s="39">
        <v>11368</v>
      </c>
      <c r="J44" s="39">
        <f t="shared" si="5"/>
        <v>68208</v>
      </c>
      <c r="K44" s="27"/>
      <c r="L44" s="183">
        <v>11368</v>
      </c>
      <c r="M44" s="183">
        <f t="shared" si="6"/>
        <v>0</v>
      </c>
      <c r="N44" s="23">
        <v>4</v>
      </c>
      <c r="O44" s="39">
        <v>11368</v>
      </c>
      <c r="P44" s="39">
        <f t="shared" si="7"/>
        <v>45472</v>
      </c>
    </row>
    <row r="45" spans="1:16" ht="17" thickBot="1" x14ac:dyDescent="0.25">
      <c r="A45" s="9" t="s">
        <v>60</v>
      </c>
      <c r="B45" s="76" t="s">
        <v>1334</v>
      </c>
      <c r="C45" s="23">
        <v>5</v>
      </c>
      <c r="D45" s="9" t="s">
        <v>708</v>
      </c>
      <c r="E45" s="9">
        <v>20</v>
      </c>
      <c r="F45" s="59">
        <v>10440</v>
      </c>
      <c r="G45" s="59">
        <f t="shared" si="4"/>
        <v>208800</v>
      </c>
      <c r="H45" s="23">
        <v>5</v>
      </c>
      <c r="I45" s="39">
        <v>10440</v>
      </c>
      <c r="J45" s="39">
        <f t="shared" si="5"/>
        <v>52200</v>
      </c>
      <c r="K45" s="27"/>
      <c r="L45" s="183">
        <v>10440</v>
      </c>
      <c r="M45" s="183">
        <f t="shared" si="6"/>
        <v>0</v>
      </c>
      <c r="N45" s="23">
        <v>5</v>
      </c>
      <c r="O45" s="39">
        <v>10440</v>
      </c>
      <c r="P45" s="39">
        <f t="shared" si="7"/>
        <v>52200</v>
      </c>
    </row>
    <row r="46" spans="1:16" ht="17" thickBot="1" x14ac:dyDescent="0.25">
      <c r="A46" s="9" t="s">
        <v>60</v>
      </c>
      <c r="B46" s="76" t="s">
        <v>846</v>
      </c>
      <c r="C46" s="23">
        <v>20</v>
      </c>
      <c r="D46" s="9" t="s">
        <v>709</v>
      </c>
      <c r="E46" s="9">
        <v>40</v>
      </c>
      <c r="F46" s="59">
        <v>15080</v>
      </c>
      <c r="G46" s="59">
        <f t="shared" si="4"/>
        <v>603200</v>
      </c>
      <c r="H46" s="23"/>
      <c r="I46" s="39">
        <v>15080</v>
      </c>
      <c r="J46" s="39">
        <f t="shared" si="5"/>
        <v>0</v>
      </c>
      <c r="K46" s="27"/>
      <c r="L46" s="183">
        <v>15080</v>
      </c>
      <c r="M46" s="183">
        <f t="shared" si="6"/>
        <v>0</v>
      </c>
      <c r="N46" s="23">
        <v>20</v>
      </c>
      <c r="O46" s="39">
        <v>15080</v>
      </c>
      <c r="P46" s="39">
        <f t="shared" si="7"/>
        <v>301600</v>
      </c>
    </row>
    <row r="47" spans="1:16" ht="18" thickBot="1" x14ac:dyDescent="0.25">
      <c r="A47" s="9" t="s">
        <v>60</v>
      </c>
      <c r="B47" s="76" t="s">
        <v>839</v>
      </c>
      <c r="C47" s="23">
        <v>20</v>
      </c>
      <c r="D47" s="11" t="s">
        <v>710</v>
      </c>
      <c r="E47" s="9">
        <v>40</v>
      </c>
      <c r="F47" s="59">
        <v>4756</v>
      </c>
      <c r="G47" s="59">
        <f t="shared" si="4"/>
        <v>190240</v>
      </c>
      <c r="H47" s="23"/>
      <c r="I47" s="39">
        <v>4756</v>
      </c>
      <c r="J47" s="39">
        <f t="shared" si="5"/>
        <v>0</v>
      </c>
      <c r="K47" s="27"/>
      <c r="L47" s="183">
        <v>4756</v>
      </c>
      <c r="M47" s="183">
        <f t="shared" si="6"/>
        <v>0</v>
      </c>
      <c r="N47" s="23">
        <v>20</v>
      </c>
      <c r="O47" s="39">
        <v>4756</v>
      </c>
      <c r="P47" s="39">
        <f t="shared" si="7"/>
        <v>95120</v>
      </c>
    </row>
    <row r="48" spans="1:16" ht="17" thickBot="1" x14ac:dyDescent="0.25">
      <c r="A48" s="9" t="s">
        <v>60</v>
      </c>
      <c r="B48" s="76" t="s">
        <v>881</v>
      </c>
      <c r="C48" s="23"/>
      <c r="D48" s="9" t="s">
        <v>711</v>
      </c>
      <c r="E48" s="9">
        <v>60</v>
      </c>
      <c r="F48" s="59">
        <v>10092</v>
      </c>
      <c r="G48" s="59">
        <f t="shared" si="4"/>
        <v>605520</v>
      </c>
      <c r="H48" s="23"/>
      <c r="I48" s="39">
        <v>10092</v>
      </c>
      <c r="J48" s="39">
        <f t="shared" si="5"/>
        <v>0</v>
      </c>
      <c r="K48" s="27">
        <v>60</v>
      </c>
      <c r="L48" s="183">
        <v>10092</v>
      </c>
      <c r="M48" s="183">
        <f t="shared" si="6"/>
        <v>605520</v>
      </c>
      <c r="N48" s="23"/>
      <c r="O48" s="39">
        <v>10092</v>
      </c>
      <c r="P48" s="39">
        <f t="shared" si="7"/>
        <v>0</v>
      </c>
    </row>
    <row r="49" spans="1:16" ht="17" thickBot="1" x14ac:dyDescent="0.25">
      <c r="A49" s="9" t="s">
        <v>60</v>
      </c>
      <c r="B49" s="76" t="s">
        <v>1952</v>
      </c>
      <c r="C49" s="23">
        <v>30</v>
      </c>
      <c r="D49" s="9" t="s">
        <v>303</v>
      </c>
      <c r="E49" s="9">
        <v>70</v>
      </c>
      <c r="F49" s="59">
        <v>5684</v>
      </c>
      <c r="G49" s="59">
        <f t="shared" si="4"/>
        <v>397880</v>
      </c>
      <c r="H49" s="23"/>
      <c r="I49" s="39">
        <v>5684</v>
      </c>
      <c r="J49" s="39">
        <f t="shared" si="5"/>
        <v>0</v>
      </c>
      <c r="K49" s="27">
        <v>8</v>
      </c>
      <c r="L49" s="183">
        <v>5684</v>
      </c>
      <c r="M49" s="183">
        <f t="shared" si="6"/>
        <v>45472</v>
      </c>
      <c r="N49" s="23">
        <v>30</v>
      </c>
      <c r="O49" s="39">
        <v>5684</v>
      </c>
      <c r="P49" s="39">
        <f t="shared" si="7"/>
        <v>170520</v>
      </c>
    </row>
    <row r="50" spans="1:16" ht="17" thickBot="1" x14ac:dyDescent="0.25">
      <c r="A50" s="9" t="s">
        <v>60</v>
      </c>
      <c r="B50" s="76" t="s">
        <v>2144</v>
      </c>
      <c r="C50" s="23">
        <v>42</v>
      </c>
      <c r="D50" s="9" t="s">
        <v>712</v>
      </c>
      <c r="E50" s="9">
        <v>100</v>
      </c>
      <c r="F50" s="59">
        <v>7192</v>
      </c>
      <c r="G50" s="59">
        <f t="shared" si="4"/>
        <v>719200</v>
      </c>
      <c r="H50" s="23">
        <v>8</v>
      </c>
      <c r="I50" s="39">
        <v>7192</v>
      </c>
      <c r="J50" s="39">
        <f t="shared" si="5"/>
        <v>57536</v>
      </c>
      <c r="K50" s="27"/>
      <c r="L50" s="183">
        <v>7192</v>
      </c>
      <c r="M50" s="183">
        <f t="shared" si="6"/>
        <v>0</v>
      </c>
      <c r="N50" s="23">
        <v>42</v>
      </c>
      <c r="O50" s="39">
        <v>7192</v>
      </c>
      <c r="P50" s="39">
        <f t="shared" si="7"/>
        <v>302064</v>
      </c>
    </row>
    <row r="51" spans="1:16" ht="17" thickBot="1" x14ac:dyDescent="0.25">
      <c r="A51" s="9" t="s">
        <v>60</v>
      </c>
      <c r="B51" s="76" t="s">
        <v>901</v>
      </c>
      <c r="C51" s="23">
        <v>5</v>
      </c>
      <c r="D51" s="9" t="s">
        <v>713</v>
      </c>
      <c r="E51" s="9">
        <v>20</v>
      </c>
      <c r="F51" s="59">
        <v>8004</v>
      </c>
      <c r="G51" s="59">
        <f t="shared" si="4"/>
        <v>160080</v>
      </c>
      <c r="H51" s="23">
        <v>5</v>
      </c>
      <c r="I51" s="39">
        <v>8004</v>
      </c>
      <c r="J51" s="39">
        <f t="shared" si="5"/>
        <v>40020</v>
      </c>
      <c r="K51" s="27"/>
      <c r="L51" s="183">
        <v>8004</v>
      </c>
      <c r="M51" s="183">
        <f t="shared" si="6"/>
        <v>0</v>
      </c>
      <c r="N51" s="23">
        <v>5</v>
      </c>
      <c r="O51" s="39">
        <v>8004</v>
      </c>
      <c r="P51" s="39">
        <f t="shared" si="7"/>
        <v>40020</v>
      </c>
    </row>
    <row r="52" spans="1:16" ht="17" thickBot="1" x14ac:dyDescent="0.25">
      <c r="A52" s="9" t="s">
        <v>60</v>
      </c>
      <c r="B52" s="76" t="s">
        <v>885</v>
      </c>
      <c r="C52" s="23">
        <v>10</v>
      </c>
      <c r="D52" s="9" t="s">
        <v>714</v>
      </c>
      <c r="E52" s="9">
        <v>20</v>
      </c>
      <c r="F52" s="59">
        <v>8120</v>
      </c>
      <c r="G52" s="59">
        <f t="shared" si="4"/>
        <v>162400</v>
      </c>
      <c r="H52" s="23">
        <v>5</v>
      </c>
      <c r="I52" s="39">
        <v>8120</v>
      </c>
      <c r="J52" s="39">
        <f t="shared" si="5"/>
        <v>40600</v>
      </c>
      <c r="K52" s="27"/>
      <c r="L52" s="183">
        <v>8120</v>
      </c>
      <c r="M52" s="183">
        <f t="shared" si="6"/>
        <v>0</v>
      </c>
      <c r="N52" s="23">
        <v>10</v>
      </c>
      <c r="O52" s="39">
        <v>8120</v>
      </c>
      <c r="P52" s="39">
        <f t="shared" si="7"/>
        <v>81200</v>
      </c>
    </row>
    <row r="53" spans="1:16" ht="17" thickBot="1" x14ac:dyDescent="0.25">
      <c r="A53" s="9" t="s">
        <v>60</v>
      </c>
      <c r="B53" s="76" t="s">
        <v>884</v>
      </c>
      <c r="C53" s="23"/>
      <c r="D53" s="9" t="s">
        <v>715</v>
      </c>
      <c r="E53" s="9">
        <v>60</v>
      </c>
      <c r="F53" s="59">
        <v>6960</v>
      </c>
      <c r="G53" s="59">
        <f t="shared" si="4"/>
        <v>417600</v>
      </c>
      <c r="H53" s="23"/>
      <c r="I53" s="39">
        <v>6960</v>
      </c>
      <c r="J53" s="39">
        <f t="shared" si="5"/>
        <v>0</v>
      </c>
      <c r="K53" s="27">
        <v>60</v>
      </c>
      <c r="L53" s="183">
        <v>6960</v>
      </c>
      <c r="M53" s="183">
        <f t="shared" si="6"/>
        <v>417600</v>
      </c>
      <c r="N53" s="23"/>
      <c r="O53" s="39">
        <v>6960</v>
      </c>
      <c r="P53" s="39">
        <f t="shared" si="7"/>
        <v>0</v>
      </c>
    </row>
    <row r="54" spans="1:16" ht="17" thickBot="1" x14ac:dyDescent="0.25">
      <c r="A54" s="9" t="s">
        <v>60</v>
      </c>
      <c r="B54" s="76" t="s">
        <v>896</v>
      </c>
      <c r="C54" s="23">
        <v>34</v>
      </c>
      <c r="D54" s="9" t="s">
        <v>716</v>
      </c>
      <c r="E54" s="9">
        <v>40</v>
      </c>
      <c r="F54" s="59">
        <v>7540</v>
      </c>
      <c r="G54" s="59">
        <f t="shared" si="4"/>
        <v>301600</v>
      </c>
      <c r="H54" s="23">
        <v>6</v>
      </c>
      <c r="I54" s="39">
        <v>7540</v>
      </c>
      <c r="J54" s="39">
        <f t="shared" si="5"/>
        <v>45240</v>
      </c>
      <c r="K54" s="27"/>
      <c r="L54" s="183">
        <v>7540</v>
      </c>
      <c r="M54" s="183">
        <f t="shared" si="6"/>
        <v>0</v>
      </c>
      <c r="N54" s="23">
        <v>34</v>
      </c>
      <c r="O54" s="39">
        <v>7540</v>
      </c>
      <c r="P54" s="39">
        <f t="shared" si="7"/>
        <v>256360</v>
      </c>
    </row>
    <row r="55" spans="1:16" ht="17" thickBot="1" x14ac:dyDescent="0.25">
      <c r="A55" s="9" t="s">
        <v>60</v>
      </c>
      <c r="B55" s="76" t="s">
        <v>2052</v>
      </c>
      <c r="C55" s="23"/>
      <c r="D55" s="9" t="s">
        <v>717</v>
      </c>
      <c r="E55" s="9">
        <v>12</v>
      </c>
      <c r="F55" s="59">
        <v>13920</v>
      </c>
      <c r="G55" s="59">
        <f t="shared" si="4"/>
        <v>167040</v>
      </c>
      <c r="H55" s="23"/>
      <c r="I55" s="39">
        <v>13920</v>
      </c>
      <c r="J55" s="39">
        <f t="shared" si="5"/>
        <v>0</v>
      </c>
      <c r="K55" s="27">
        <v>12</v>
      </c>
      <c r="L55" s="183">
        <v>13920</v>
      </c>
      <c r="M55" s="183">
        <f t="shared" si="6"/>
        <v>167040</v>
      </c>
      <c r="N55" s="23"/>
      <c r="O55" s="39">
        <v>13920</v>
      </c>
      <c r="P55" s="39">
        <f t="shared" si="7"/>
        <v>0</v>
      </c>
    </row>
    <row r="56" spans="1:16" ht="17" thickBot="1" x14ac:dyDescent="0.25">
      <c r="A56" s="9" t="s">
        <v>60</v>
      </c>
      <c r="B56" s="76" t="s">
        <v>909</v>
      </c>
      <c r="C56" s="23">
        <v>9</v>
      </c>
      <c r="D56" s="9" t="s">
        <v>718</v>
      </c>
      <c r="E56" s="9">
        <v>12</v>
      </c>
      <c r="F56" s="59">
        <v>9280</v>
      </c>
      <c r="G56" s="59">
        <f t="shared" si="4"/>
        <v>111360</v>
      </c>
      <c r="H56" s="23">
        <v>3</v>
      </c>
      <c r="I56" s="39">
        <v>9280</v>
      </c>
      <c r="J56" s="39">
        <f t="shared" si="5"/>
        <v>27840</v>
      </c>
      <c r="K56" s="27"/>
      <c r="L56" s="183">
        <v>9280</v>
      </c>
      <c r="M56" s="183">
        <f t="shared" si="6"/>
        <v>0</v>
      </c>
      <c r="N56" s="23">
        <v>9</v>
      </c>
      <c r="O56" s="39">
        <v>9280</v>
      </c>
      <c r="P56" s="39">
        <f t="shared" si="7"/>
        <v>83520</v>
      </c>
    </row>
    <row r="57" spans="1:16" ht="17" thickBot="1" x14ac:dyDescent="0.25">
      <c r="A57" s="9" t="s">
        <v>60</v>
      </c>
      <c r="B57" s="76" t="s">
        <v>912</v>
      </c>
      <c r="C57" s="23">
        <v>15</v>
      </c>
      <c r="D57" s="9" t="s">
        <v>719</v>
      </c>
      <c r="E57" s="9">
        <v>20</v>
      </c>
      <c r="F57" s="59">
        <v>10440</v>
      </c>
      <c r="G57" s="59">
        <f t="shared" si="4"/>
        <v>208800</v>
      </c>
      <c r="H57" s="23">
        <v>5</v>
      </c>
      <c r="I57" s="39">
        <v>10440</v>
      </c>
      <c r="J57" s="39">
        <f t="shared" si="5"/>
        <v>52200</v>
      </c>
      <c r="K57" s="27"/>
      <c r="L57" s="183">
        <v>10440</v>
      </c>
      <c r="M57" s="183">
        <f t="shared" si="6"/>
        <v>0</v>
      </c>
      <c r="N57" s="23">
        <v>15</v>
      </c>
      <c r="O57" s="39">
        <v>10440</v>
      </c>
      <c r="P57" s="39">
        <f t="shared" si="7"/>
        <v>156600</v>
      </c>
    </row>
    <row r="58" spans="1:16" ht="17" thickBot="1" x14ac:dyDescent="0.25">
      <c r="A58" s="9" t="s">
        <v>60</v>
      </c>
      <c r="B58" s="76" t="s">
        <v>2144</v>
      </c>
      <c r="C58" s="23">
        <v>28</v>
      </c>
      <c r="D58" s="9" t="s">
        <v>720</v>
      </c>
      <c r="E58" s="9">
        <v>40</v>
      </c>
      <c r="F58" s="59">
        <v>11368</v>
      </c>
      <c r="G58" s="59">
        <f t="shared" si="4"/>
        <v>454720</v>
      </c>
      <c r="H58" s="23">
        <v>12</v>
      </c>
      <c r="I58" s="39">
        <v>11368</v>
      </c>
      <c r="J58" s="39">
        <f t="shared" si="5"/>
        <v>136416</v>
      </c>
      <c r="K58" s="27"/>
      <c r="L58" s="183">
        <v>11368</v>
      </c>
      <c r="M58" s="183">
        <f t="shared" si="6"/>
        <v>0</v>
      </c>
      <c r="N58" s="23">
        <v>28</v>
      </c>
      <c r="O58" s="39">
        <v>11368</v>
      </c>
      <c r="P58" s="39">
        <f t="shared" si="7"/>
        <v>318304</v>
      </c>
    </row>
    <row r="59" spans="1:16" ht="17" thickBot="1" x14ac:dyDescent="0.25">
      <c r="A59" s="9" t="s">
        <v>60</v>
      </c>
      <c r="B59" s="76" t="s">
        <v>896</v>
      </c>
      <c r="C59" s="23">
        <v>25</v>
      </c>
      <c r="D59" s="9" t="s">
        <v>721</v>
      </c>
      <c r="E59" s="9">
        <v>40</v>
      </c>
      <c r="F59" s="59">
        <v>7540</v>
      </c>
      <c r="G59" s="59">
        <f t="shared" si="4"/>
        <v>301600</v>
      </c>
      <c r="H59" s="23"/>
      <c r="I59" s="39">
        <v>7540</v>
      </c>
      <c r="J59" s="39">
        <f t="shared" si="5"/>
        <v>0</v>
      </c>
      <c r="K59" s="27">
        <v>15</v>
      </c>
      <c r="L59" s="183">
        <v>7540</v>
      </c>
      <c r="M59" s="183">
        <f t="shared" si="6"/>
        <v>113100</v>
      </c>
      <c r="N59" s="23">
        <v>25</v>
      </c>
      <c r="O59" s="39">
        <v>7540</v>
      </c>
      <c r="P59" s="39">
        <f t="shared" si="7"/>
        <v>188500</v>
      </c>
    </row>
    <row r="60" spans="1:16" ht="17" thickBot="1" x14ac:dyDescent="0.25">
      <c r="F60" s="38"/>
      <c r="G60" s="60">
        <f>SUM(G28:G59)</f>
        <v>14194920</v>
      </c>
      <c r="I60" s="38"/>
      <c r="J60" s="61">
        <f>SUM(J28:J59)</f>
        <v>4742312</v>
      </c>
      <c r="L60" s="38"/>
      <c r="M60" s="182">
        <f>SUM(M28:M59)</f>
        <v>2801052</v>
      </c>
      <c r="N60" s="2"/>
      <c r="O60" s="38"/>
      <c r="P60" s="61">
        <f>SUM(P28:P59)</f>
        <v>3332216</v>
      </c>
    </row>
    <row r="63" spans="1:16" ht="17" thickBot="1" x14ac:dyDescent="0.25">
      <c r="A63" s="30" t="s">
        <v>1954</v>
      </c>
      <c r="B63" s="2" t="s">
        <v>1913</v>
      </c>
      <c r="C63" s="2" t="s">
        <v>1914</v>
      </c>
      <c r="D63"/>
      <c r="E63"/>
      <c r="F63"/>
    </row>
    <row r="64" spans="1:16" ht="17" thickBot="1" x14ac:dyDescent="0.25">
      <c r="A64" s="9" t="s">
        <v>1915</v>
      </c>
      <c r="B64" s="76"/>
      <c r="C64" s="155" t="s">
        <v>36</v>
      </c>
      <c r="D64" s="9"/>
      <c r="E64" s="9">
        <v>50</v>
      </c>
      <c r="F64" s="10">
        <v>62292</v>
      </c>
      <c r="G64" s="10">
        <f>F64*E64</f>
        <v>3114600</v>
      </c>
      <c r="H64" s="18">
        <v>50</v>
      </c>
      <c r="I64" s="19">
        <v>62292</v>
      </c>
      <c r="J64" s="19">
        <f>I64*H64</f>
        <v>3114600</v>
      </c>
    </row>
    <row r="65" spans="1:10" ht="17" thickBot="1" x14ac:dyDescent="0.25">
      <c r="A65" s="9" t="s">
        <v>1916</v>
      </c>
      <c r="B65" s="76"/>
      <c r="C65" s="155" t="s">
        <v>36</v>
      </c>
      <c r="D65" s="9"/>
      <c r="E65" s="9">
        <v>140</v>
      </c>
      <c r="F65" s="10">
        <v>9048</v>
      </c>
      <c r="G65" s="10">
        <f>F65*E65</f>
        <v>1266720</v>
      </c>
      <c r="H65" s="18">
        <v>140</v>
      </c>
      <c r="I65" s="19">
        <v>9048</v>
      </c>
      <c r="J65" s="19">
        <f>I65*H65</f>
        <v>1266720</v>
      </c>
    </row>
    <row r="66" spans="1:10" ht="17" thickBot="1" x14ac:dyDescent="0.25">
      <c r="A66" s="9" t="s">
        <v>1917</v>
      </c>
      <c r="B66" s="76"/>
      <c r="C66" s="155" t="s">
        <v>36</v>
      </c>
      <c r="D66" s="9"/>
      <c r="E66" s="9">
        <v>10</v>
      </c>
      <c r="F66" s="10">
        <v>4756</v>
      </c>
      <c r="G66" s="10">
        <f>F66*E66</f>
        <v>47560</v>
      </c>
      <c r="H66" s="18">
        <v>10</v>
      </c>
      <c r="I66" s="19">
        <v>4756</v>
      </c>
      <c r="J66" s="19">
        <f>I66*H66</f>
        <v>47560</v>
      </c>
    </row>
    <row r="67" spans="1:10" ht="17" thickBot="1" x14ac:dyDescent="0.25">
      <c r="A67"/>
      <c r="C67"/>
      <c r="D67"/>
      <c r="E67"/>
      <c r="F67" s="1"/>
      <c r="G67" s="12">
        <f>SUM(G64:G66)</f>
        <v>4428880</v>
      </c>
      <c r="H67"/>
      <c r="I67" s="1"/>
      <c r="J67" s="34">
        <f>SUM(J64:J66)</f>
        <v>4428880</v>
      </c>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AF18C-2E65-6943-AE04-C317ABC7E874}">
  <dimension ref="A2:U165"/>
  <sheetViews>
    <sheetView topLeftCell="A59" zoomScale="92" workbookViewId="0">
      <selection activeCell="D59" sqref="D59"/>
    </sheetView>
  </sheetViews>
  <sheetFormatPr baseColWidth="10" defaultRowHeight="16" x14ac:dyDescent="0.2"/>
  <cols>
    <col min="1" max="1" width="79.83203125" style="2" customWidth="1"/>
    <col min="2" max="2" width="24.6640625" style="77" customWidth="1"/>
    <col min="3" max="3" width="10.83203125" style="2"/>
    <col min="4" max="4" width="61.6640625" style="2" customWidth="1"/>
    <col min="5" max="5" width="11" style="2" bestFit="1" customWidth="1"/>
    <col min="6" max="6" width="14.5" style="2" customWidth="1"/>
    <col min="7" max="7" width="16" style="2" customWidth="1"/>
    <col min="8" max="8" width="10.83203125" style="2"/>
    <col min="9" max="9" width="13.5" style="2" customWidth="1"/>
    <col min="10" max="10" width="15.83203125" style="2" customWidth="1"/>
    <col min="11" max="11" width="10.83203125" style="2"/>
    <col min="12" max="12" width="12.33203125" style="2" customWidth="1"/>
    <col min="13" max="13" width="15" style="2" customWidth="1"/>
    <col min="14" max="14" width="10.83203125" style="2"/>
    <col min="15" max="15" width="13.1640625" style="2" customWidth="1"/>
    <col min="16" max="16" width="14.6640625" style="2" customWidth="1"/>
    <col min="17" max="17" width="10.83203125" style="2"/>
    <col min="18" max="18" width="12.33203125" style="2" customWidth="1"/>
    <col min="19" max="19" width="13" style="2" customWidth="1"/>
    <col min="20" max="21" width="10.83203125" style="2"/>
  </cols>
  <sheetData>
    <row r="2" spans="1:13" ht="17" thickBot="1" x14ac:dyDescent="0.25">
      <c r="A2" s="71" t="s">
        <v>1097</v>
      </c>
      <c r="B2" s="88"/>
      <c r="C2" s="67" t="s">
        <v>742</v>
      </c>
      <c r="D2" s="67"/>
      <c r="E2" s="67" t="s">
        <v>743</v>
      </c>
      <c r="F2" s="67"/>
      <c r="G2" s="67"/>
    </row>
    <row r="3" spans="1:13" ht="17" thickBot="1" x14ac:dyDescent="0.25">
      <c r="A3" s="68" t="s">
        <v>744</v>
      </c>
      <c r="B3" s="89" t="s">
        <v>848</v>
      </c>
      <c r="C3" s="68" t="s">
        <v>36</v>
      </c>
      <c r="D3" s="68"/>
      <c r="E3" s="68">
        <v>6</v>
      </c>
      <c r="F3" s="69">
        <v>8004</v>
      </c>
      <c r="G3" s="69">
        <f>F3*E3</f>
        <v>48024</v>
      </c>
      <c r="H3" s="145">
        <v>6</v>
      </c>
      <c r="I3" s="146">
        <v>8004</v>
      </c>
      <c r="J3" s="146">
        <f>I3*H3</f>
        <v>48024</v>
      </c>
      <c r="K3" s="278"/>
      <c r="L3" s="279">
        <v>8004</v>
      </c>
      <c r="M3" s="279">
        <f>L3*K3</f>
        <v>0</v>
      </c>
    </row>
    <row r="4" spans="1:13" ht="17" thickBot="1" x14ac:dyDescent="0.25">
      <c r="A4" s="68" t="s">
        <v>745</v>
      </c>
      <c r="B4" s="89" t="s">
        <v>912</v>
      </c>
      <c r="C4" s="68" t="s">
        <v>36</v>
      </c>
      <c r="D4" s="68"/>
      <c r="E4" s="68">
        <v>6</v>
      </c>
      <c r="F4" s="69">
        <v>12760</v>
      </c>
      <c r="G4" s="69">
        <f t="shared" ref="G4:G35" si="0">F4*E4</f>
        <v>76560</v>
      </c>
      <c r="H4" s="145"/>
      <c r="I4" s="146">
        <v>12760</v>
      </c>
      <c r="J4" s="146">
        <f t="shared" ref="J4:J35" si="1">I4*H4</f>
        <v>0</v>
      </c>
      <c r="K4" s="278"/>
      <c r="L4" s="279">
        <v>12760</v>
      </c>
      <c r="M4" s="279">
        <f t="shared" ref="M4:M35" si="2">L4*K4</f>
        <v>0</v>
      </c>
    </row>
    <row r="5" spans="1:13" ht="17" thickBot="1" x14ac:dyDescent="0.25">
      <c r="A5" s="68" t="s">
        <v>746</v>
      </c>
      <c r="B5" s="89" t="s">
        <v>1764</v>
      </c>
      <c r="C5" s="68" t="s">
        <v>36</v>
      </c>
      <c r="D5" s="68"/>
      <c r="E5" s="68">
        <v>3</v>
      </c>
      <c r="F5" s="69">
        <v>6960</v>
      </c>
      <c r="G5" s="69">
        <f t="shared" si="0"/>
        <v>20880</v>
      </c>
      <c r="H5" s="145">
        <v>2</v>
      </c>
      <c r="I5" s="146">
        <v>6960</v>
      </c>
      <c r="J5" s="146">
        <f t="shared" si="1"/>
        <v>13920</v>
      </c>
      <c r="K5" s="278"/>
      <c r="L5" s="279">
        <v>6960</v>
      </c>
      <c r="M5" s="279">
        <f t="shared" si="2"/>
        <v>0</v>
      </c>
    </row>
    <row r="6" spans="1:13" ht="17" thickBot="1" x14ac:dyDescent="0.25">
      <c r="A6" s="68" t="s">
        <v>747</v>
      </c>
      <c r="B6" s="89" t="s">
        <v>896</v>
      </c>
      <c r="C6" s="68" t="s">
        <v>36</v>
      </c>
      <c r="D6" s="68"/>
      <c r="E6" s="68">
        <v>6</v>
      </c>
      <c r="F6" s="69">
        <v>8816</v>
      </c>
      <c r="G6" s="69">
        <f t="shared" si="0"/>
        <v>52896</v>
      </c>
      <c r="H6" s="145"/>
      <c r="I6" s="146">
        <v>8816</v>
      </c>
      <c r="J6" s="146">
        <f t="shared" si="1"/>
        <v>0</v>
      </c>
      <c r="K6" s="278">
        <v>4</v>
      </c>
      <c r="L6" s="279">
        <v>8816</v>
      </c>
      <c r="M6" s="279">
        <f t="shared" si="2"/>
        <v>35264</v>
      </c>
    </row>
    <row r="7" spans="1:13" ht="17" thickBot="1" x14ac:dyDescent="0.25">
      <c r="A7" s="68" t="s">
        <v>748</v>
      </c>
      <c r="B7" s="89" t="s">
        <v>1884</v>
      </c>
      <c r="C7" s="68" t="s">
        <v>36</v>
      </c>
      <c r="D7" s="68"/>
      <c r="E7" s="68">
        <v>60</v>
      </c>
      <c r="F7" s="69">
        <v>67372.800000000003</v>
      </c>
      <c r="G7" s="69">
        <f t="shared" si="0"/>
        <v>4042368</v>
      </c>
      <c r="H7" s="145">
        <v>7</v>
      </c>
      <c r="I7" s="146">
        <v>67372.800000000003</v>
      </c>
      <c r="J7" s="146">
        <f t="shared" si="1"/>
        <v>471609.60000000003</v>
      </c>
      <c r="K7" s="278">
        <v>18</v>
      </c>
      <c r="L7" s="279">
        <v>67372.800000000003</v>
      </c>
      <c r="M7" s="279">
        <f t="shared" si="2"/>
        <v>1212710.4000000001</v>
      </c>
    </row>
    <row r="8" spans="1:13" ht="17" thickBot="1" x14ac:dyDescent="0.25">
      <c r="A8" s="68" t="s">
        <v>749</v>
      </c>
      <c r="B8" s="89" t="s">
        <v>896</v>
      </c>
      <c r="C8" s="68" t="s">
        <v>36</v>
      </c>
      <c r="D8" s="68"/>
      <c r="E8" s="68">
        <v>3</v>
      </c>
      <c r="F8" s="69">
        <v>7076</v>
      </c>
      <c r="G8" s="69">
        <f t="shared" si="0"/>
        <v>21228</v>
      </c>
      <c r="H8" s="145"/>
      <c r="I8" s="146">
        <v>7076</v>
      </c>
      <c r="J8" s="146">
        <f t="shared" si="1"/>
        <v>0</v>
      </c>
      <c r="K8" s="278"/>
      <c r="L8" s="279">
        <v>7076</v>
      </c>
      <c r="M8" s="279">
        <f t="shared" si="2"/>
        <v>0</v>
      </c>
    </row>
    <row r="9" spans="1:13" ht="17" thickBot="1" x14ac:dyDescent="0.25">
      <c r="A9" s="68" t="s">
        <v>750</v>
      </c>
      <c r="B9" s="89" t="s">
        <v>1764</v>
      </c>
      <c r="C9" s="68" t="s">
        <v>36</v>
      </c>
      <c r="D9" s="68"/>
      <c r="E9" s="68">
        <v>3</v>
      </c>
      <c r="F9" s="69">
        <v>3712</v>
      </c>
      <c r="G9" s="69">
        <f t="shared" si="0"/>
        <v>11136</v>
      </c>
      <c r="H9" s="145">
        <v>2</v>
      </c>
      <c r="I9" s="146">
        <v>3712</v>
      </c>
      <c r="J9" s="146">
        <f t="shared" si="1"/>
        <v>7424</v>
      </c>
      <c r="K9" s="278"/>
      <c r="L9" s="279">
        <v>3712</v>
      </c>
      <c r="M9" s="279">
        <f t="shared" si="2"/>
        <v>0</v>
      </c>
    </row>
    <row r="10" spans="1:13" ht="17" thickBot="1" x14ac:dyDescent="0.25">
      <c r="A10" s="68" t="s">
        <v>751</v>
      </c>
      <c r="B10" s="89" t="s">
        <v>880</v>
      </c>
      <c r="C10" s="68" t="s">
        <v>36</v>
      </c>
      <c r="D10" s="68"/>
      <c r="E10" s="68">
        <v>3</v>
      </c>
      <c r="F10" s="69">
        <v>11368</v>
      </c>
      <c r="G10" s="69">
        <f t="shared" si="0"/>
        <v>34104</v>
      </c>
      <c r="H10" s="145">
        <v>2</v>
      </c>
      <c r="I10" s="146">
        <v>11368</v>
      </c>
      <c r="J10" s="146">
        <f t="shared" si="1"/>
        <v>22736</v>
      </c>
      <c r="K10" s="278"/>
      <c r="L10" s="279">
        <v>11368</v>
      </c>
      <c r="M10" s="279">
        <f t="shared" si="2"/>
        <v>0</v>
      </c>
    </row>
    <row r="11" spans="1:13" ht="17" thickBot="1" x14ac:dyDescent="0.25">
      <c r="A11" s="68" t="s">
        <v>752</v>
      </c>
      <c r="B11" s="89" t="s">
        <v>974</v>
      </c>
      <c r="C11" s="68" t="s">
        <v>36</v>
      </c>
      <c r="D11" s="68"/>
      <c r="E11" s="68">
        <v>6</v>
      </c>
      <c r="F11" s="69">
        <v>9396</v>
      </c>
      <c r="G11" s="69">
        <f t="shared" si="0"/>
        <v>56376</v>
      </c>
      <c r="H11" s="145">
        <v>3</v>
      </c>
      <c r="I11" s="146">
        <v>9396</v>
      </c>
      <c r="J11" s="146">
        <f t="shared" si="1"/>
        <v>28188</v>
      </c>
      <c r="K11" s="278"/>
      <c r="L11" s="279">
        <v>9396</v>
      </c>
      <c r="M11" s="279">
        <f t="shared" si="2"/>
        <v>0</v>
      </c>
    </row>
    <row r="12" spans="1:13" ht="17" thickBot="1" x14ac:dyDescent="0.25">
      <c r="A12" s="68" t="s">
        <v>753</v>
      </c>
      <c r="B12" s="89" t="s">
        <v>896</v>
      </c>
      <c r="C12" s="68" t="s">
        <v>36</v>
      </c>
      <c r="D12" s="68"/>
      <c r="E12" s="68">
        <v>4</v>
      </c>
      <c r="F12" s="69">
        <v>10683.6</v>
      </c>
      <c r="G12" s="69">
        <f t="shared" si="0"/>
        <v>42734.400000000001</v>
      </c>
      <c r="H12" s="145">
        <v>2</v>
      </c>
      <c r="I12" s="146">
        <v>10683.6</v>
      </c>
      <c r="J12" s="146">
        <f t="shared" si="1"/>
        <v>21367.200000000001</v>
      </c>
      <c r="K12" s="278"/>
      <c r="L12" s="279">
        <v>10683.6</v>
      </c>
      <c r="M12" s="279">
        <f t="shared" si="2"/>
        <v>0</v>
      </c>
    </row>
    <row r="13" spans="1:13" ht="17" thickBot="1" x14ac:dyDescent="0.25">
      <c r="A13" s="68" t="s">
        <v>754</v>
      </c>
      <c r="B13" s="89" t="s">
        <v>833</v>
      </c>
      <c r="C13" s="68" t="s">
        <v>36</v>
      </c>
      <c r="D13" s="68"/>
      <c r="E13" s="68">
        <v>6</v>
      </c>
      <c r="F13" s="69">
        <v>1798</v>
      </c>
      <c r="G13" s="69">
        <f t="shared" si="0"/>
        <v>10788</v>
      </c>
      <c r="H13" s="145">
        <v>3</v>
      </c>
      <c r="I13" s="146">
        <v>1798</v>
      </c>
      <c r="J13" s="146">
        <f t="shared" si="1"/>
        <v>5394</v>
      </c>
      <c r="K13" s="278"/>
      <c r="L13" s="279">
        <v>1798</v>
      </c>
      <c r="M13" s="279">
        <f t="shared" si="2"/>
        <v>0</v>
      </c>
    </row>
    <row r="14" spans="1:13" ht="17" thickBot="1" x14ac:dyDescent="0.25">
      <c r="A14" s="68" t="s">
        <v>755</v>
      </c>
      <c r="B14" s="89" t="s">
        <v>1763</v>
      </c>
      <c r="C14" s="68" t="s">
        <v>36</v>
      </c>
      <c r="D14" s="68"/>
      <c r="E14" s="68">
        <v>5</v>
      </c>
      <c r="F14" s="69">
        <v>9651.2000000000007</v>
      </c>
      <c r="G14" s="69">
        <f t="shared" si="0"/>
        <v>48256</v>
      </c>
      <c r="H14" s="145">
        <v>2</v>
      </c>
      <c r="I14" s="146">
        <v>9651.2000000000007</v>
      </c>
      <c r="J14" s="146">
        <f t="shared" si="1"/>
        <v>19302.400000000001</v>
      </c>
      <c r="K14" s="278">
        <v>1</v>
      </c>
      <c r="L14" s="279">
        <v>9651.2000000000007</v>
      </c>
      <c r="M14" s="279">
        <f t="shared" si="2"/>
        <v>9651.2000000000007</v>
      </c>
    </row>
    <row r="15" spans="1:13" ht="17" thickBot="1" x14ac:dyDescent="0.25">
      <c r="A15" s="68" t="s">
        <v>756</v>
      </c>
      <c r="B15" s="89" t="s">
        <v>926</v>
      </c>
      <c r="C15" s="68" t="s">
        <v>36</v>
      </c>
      <c r="D15" s="68"/>
      <c r="E15" s="68">
        <v>6</v>
      </c>
      <c r="F15" s="69">
        <v>11020</v>
      </c>
      <c r="G15" s="69">
        <f t="shared" si="0"/>
        <v>66120</v>
      </c>
      <c r="H15" s="145">
        <v>3</v>
      </c>
      <c r="I15" s="146">
        <v>11020</v>
      </c>
      <c r="J15" s="146">
        <f t="shared" si="1"/>
        <v>33060</v>
      </c>
      <c r="K15" s="278"/>
      <c r="L15" s="279">
        <v>11020</v>
      </c>
      <c r="M15" s="279">
        <f t="shared" si="2"/>
        <v>0</v>
      </c>
    </row>
    <row r="16" spans="1:13" ht="17" thickBot="1" x14ac:dyDescent="0.25">
      <c r="A16" s="68" t="s">
        <v>757</v>
      </c>
      <c r="B16" s="89" t="s">
        <v>914</v>
      </c>
      <c r="C16" s="68" t="s">
        <v>36</v>
      </c>
      <c r="D16" s="68"/>
      <c r="E16" s="68">
        <v>6</v>
      </c>
      <c r="F16" s="69">
        <v>9048</v>
      </c>
      <c r="G16" s="69">
        <f t="shared" si="0"/>
        <v>54288</v>
      </c>
      <c r="H16" s="145">
        <v>3</v>
      </c>
      <c r="I16" s="146">
        <v>9048</v>
      </c>
      <c r="J16" s="146">
        <f t="shared" si="1"/>
        <v>27144</v>
      </c>
      <c r="K16" s="278"/>
      <c r="L16" s="279">
        <v>9048</v>
      </c>
      <c r="M16" s="279">
        <f t="shared" si="2"/>
        <v>0</v>
      </c>
    </row>
    <row r="17" spans="1:13" ht="17" thickBot="1" x14ac:dyDescent="0.25">
      <c r="A17" s="68" t="s">
        <v>758</v>
      </c>
      <c r="B17" s="89" t="s">
        <v>1764</v>
      </c>
      <c r="C17" s="68" t="s">
        <v>36</v>
      </c>
      <c r="D17" s="68"/>
      <c r="E17" s="68">
        <v>3</v>
      </c>
      <c r="F17" s="69">
        <v>7772</v>
      </c>
      <c r="G17" s="69">
        <f t="shared" si="0"/>
        <v>23316</v>
      </c>
      <c r="H17" s="145">
        <v>2</v>
      </c>
      <c r="I17" s="146">
        <v>7772</v>
      </c>
      <c r="J17" s="146">
        <f t="shared" si="1"/>
        <v>15544</v>
      </c>
      <c r="K17" s="278"/>
      <c r="L17" s="279">
        <v>7772</v>
      </c>
      <c r="M17" s="279">
        <f t="shared" si="2"/>
        <v>0</v>
      </c>
    </row>
    <row r="18" spans="1:13" ht="17" thickBot="1" x14ac:dyDescent="0.25">
      <c r="A18" s="68" t="s">
        <v>759</v>
      </c>
      <c r="B18" s="89" t="s">
        <v>833</v>
      </c>
      <c r="C18" s="68" t="s">
        <v>36</v>
      </c>
      <c r="D18" s="68"/>
      <c r="E18" s="68">
        <v>6</v>
      </c>
      <c r="F18" s="69">
        <v>2726</v>
      </c>
      <c r="G18" s="69">
        <f t="shared" si="0"/>
        <v>16356</v>
      </c>
      <c r="H18" s="145"/>
      <c r="I18" s="146">
        <v>2726</v>
      </c>
      <c r="J18" s="146">
        <f t="shared" si="1"/>
        <v>0</v>
      </c>
      <c r="K18" s="278">
        <v>3</v>
      </c>
      <c r="L18" s="279">
        <v>2726</v>
      </c>
      <c r="M18" s="279">
        <f t="shared" si="2"/>
        <v>8178</v>
      </c>
    </row>
    <row r="19" spans="1:13" ht="17" thickBot="1" x14ac:dyDescent="0.25">
      <c r="A19" s="68" t="s">
        <v>760</v>
      </c>
      <c r="B19" s="89" t="s">
        <v>860</v>
      </c>
      <c r="C19" s="68" t="s">
        <v>36</v>
      </c>
      <c r="D19" s="68"/>
      <c r="E19" s="68">
        <v>3</v>
      </c>
      <c r="F19" s="69">
        <v>8746.4</v>
      </c>
      <c r="G19" s="69">
        <f t="shared" si="0"/>
        <v>26239.199999999997</v>
      </c>
      <c r="H19" s="145">
        <v>2</v>
      </c>
      <c r="I19" s="146">
        <v>8746.4</v>
      </c>
      <c r="J19" s="146">
        <f t="shared" si="1"/>
        <v>17492.8</v>
      </c>
      <c r="K19" s="278"/>
      <c r="L19" s="279">
        <v>8746.4</v>
      </c>
      <c r="M19" s="279">
        <f t="shared" si="2"/>
        <v>0</v>
      </c>
    </row>
    <row r="20" spans="1:13" ht="17" thickBot="1" x14ac:dyDescent="0.25">
      <c r="A20" s="68" t="s">
        <v>761</v>
      </c>
      <c r="B20" s="89" t="s">
        <v>1565</v>
      </c>
      <c r="C20" s="68" t="s">
        <v>36</v>
      </c>
      <c r="D20" s="68"/>
      <c r="E20" s="68">
        <v>4</v>
      </c>
      <c r="F20" s="69">
        <v>17864</v>
      </c>
      <c r="G20" s="69">
        <f t="shared" si="0"/>
        <v>71456</v>
      </c>
      <c r="H20" s="145">
        <v>2</v>
      </c>
      <c r="I20" s="146">
        <v>17864</v>
      </c>
      <c r="J20" s="146">
        <f t="shared" si="1"/>
        <v>35728</v>
      </c>
      <c r="K20" s="278"/>
      <c r="L20" s="279">
        <v>17864</v>
      </c>
      <c r="M20" s="279">
        <f t="shared" si="2"/>
        <v>0</v>
      </c>
    </row>
    <row r="21" spans="1:13" ht="17" thickBot="1" x14ac:dyDescent="0.25">
      <c r="A21" s="68" t="s">
        <v>762</v>
      </c>
      <c r="B21" s="89" t="s">
        <v>835</v>
      </c>
      <c r="C21" s="68" t="s">
        <v>36</v>
      </c>
      <c r="D21" s="68"/>
      <c r="E21" s="68">
        <v>4</v>
      </c>
      <c r="F21" s="69">
        <v>3596</v>
      </c>
      <c r="G21" s="69">
        <f t="shared" si="0"/>
        <v>14384</v>
      </c>
      <c r="H21" s="145">
        <v>3</v>
      </c>
      <c r="I21" s="146">
        <v>3596</v>
      </c>
      <c r="J21" s="146">
        <f t="shared" si="1"/>
        <v>10788</v>
      </c>
      <c r="K21" s="278"/>
      <c r="L21" s="279">
        <v>3596</v>
      </c>
      <c r="M21" s="279">
        <f t="shared" si="2"/>
        <v>0</v>
      </c>
    </row>
    <row r="22" spans="1:13" ht="17" thickBot="1" x14ac:dyDescent="0.25">
      <c r="A22" s="68" t="s">
        <v>763</v>
      </c>
      <c r="B22" s="89" t="s">
        <v>839</v>
      </c>
      <c r="C22" s="68" t="s">
        <v>36</v>
      </c>
      <c r="D22" s="68"/>
      <c r="E22" s="68">
        <v>3</v>
      </c>
      <c r="F22" s="69">
        <v>4756</v>
      </c>
      <c r="G22" s="69">
        <f t="shared" si="0"/>
        <v>14268</v>
      </c>
      <c r="H22" s="145"/>
      <c r="I22" s="146">
        <v>4756</v>
      </c>
      <c r="J22" s="146">
        <f t="shared" si="1"/>
        <v>0</v>
      </c>
      <c r="K22" s="278">
        <v>2</v>
      </c>
      <c r="L22" s="279">
        <v>4756</v>
      </c>
      <c r="M22" s="279">
        <f t="shared" si="2"/>
        <v>9512</v>
      </c>
    </row>
    <row r="23" spans="1:13" ht="17" thickBot="1" x14ac:dyDescent="0.25">
      <c r="A23" s="68" t="s">
        <v>764</v>
      </c>
      <c r="B23" s="89" t="s">
        <v>974</v>
      </c>
      <c r="C23" s="68" t="s">
        <v>36</v>
      </c>
      <c r="D23" s="68"/>
      <c r="E23" s="68">
        <v>6</v>
      </c>
      <c r="F23" s="69">
        <v>9048</v>
      </c>
      <c r="G23" s="69">
        <f t="shared" si="0"/>
        <v>54288</v>
      </c>
      <c r="H23" s="145">
        <v>6</v>
      </c>
      <c r="I23" s="146">
        <v>9048</v>
      </c>
      <c r="J23" s="146">
        <f t="shared" si="1"/>
        <v>54288</v>
      </c>
      <c r="K23" s="278"/>
      <c r="L23" s="279">
        <v>9048</v>
      </c>
      <c r="M23" s="279">
        <f t="shared" si="2"/>
        <v>0</v>
      </c>
    </row>
    <row r="24" spans="1:13" ht="17" thickBot="1" x14ac:dyDescent="0.25">
      <c r="A24" s="68" t="s">
        <v>765</v>
      </c>
      <c r="B24" s="89" t="s">
        <v>979</v>
      </c>
      <c r="C24" s="68" t="s">
        <v>36</v>
      </c>
      <c r="D24" s="68"/>
      <c r="E24" s="68">
        <v>3</v>
      </c>
      <c r="F24" s="69">
        <v>4988</v>
      </c>
      <c r="G24" s="69">
        <f t="shared" si="0"/>
        <v>14964</v>
      </c>
      <c r="H24" s="145">
        <v>3</v>
      </c>
      <c r="I24" s="146">
        <v>4988</v>
      </c>
      <c r="J24" s="146">
        <f t="shared" si="1"/>
        <v>14964</v>
      </c>
      <c r="K24" s="278"/>
      <c r="L24" s="279">
        <v>4988</v>
      </c>
      <c r="M24" s="279">
        <f t="shared" si="2"/>
        <v>0</v>
      </c>
    </row>
    <row r="25" spans="1:13" ht="17" thickBot="1" x14ac:dyDescent="0.25">
      <c r="A25" s="68" t="s">
        <v>766</v>
      </c>
      <c r="B25" s="89" t="s">
        <v>832</v>
      </c>
      <c r="C25" s="68" t="s">
        <v>36</v>
      </c>
      <c r="D25" s="68"/>
      <c r="E25" s="68">
        <v>6</v>
      </c>
      <c r="F25" s="69">
        <v>696</v>
      </c>
      <c r="G25" s="69">
        <f t="shared" si="0"/>
        <v>4176</v>
      </c>
      <c r="H25" s="145">
        <v>3</v>
      </c>
      <c r="I25" s="146">
        <v>696</v>
      </c>
      <c r="J25" s="146">
        <f t="shared" si="1"/>
        <v>2088</v>
      </c>
      <c r="K25" s="278"/>
      <c r="L25" s="279">
        <v>696</v>
      </c>
      <c r="M25" s="279">
        <f t="shared" si="2"/>
        <v>0</v>
      </c>
    </row>
    <row r="26" spans="1:13" ht="17" thickBot="1" x14ac:dyDescent="0.25">
      <c r="A26" s="68" t="s">
        <v>767</v>
      </c>
      <c r="B26" s="89" t="s">
        <v>1885</v>
      </c>
      <c r="C26" s="68" t="s">
        <v>36</v>
      </c>
      <c r="D26" s="68"/>
      <c r="E26" s="68">
        <v>6</v>
      </c>
      <c r="F26" s="69">
        <v>8816</v>
      </c>
      <c r="G26" s="69">
        <f t="shared" si="0"/>
        <v>52896</v>
      </c>
      <c r="H26" s="145">
        <v>3</v>
      </c>
      <c r="I26" s="146">
        <v>8816</v>
      </c>
      <c r="J26" s="146">
        <f t="shared" si="1"/>
        <v>26448</v>
      </c>
      <c r="K26" s="278"/>
      <c r="L26" s="279">
        <v>8816</v>
      </c>
      <c r="M26" s="279">
        <f t="shared" si="2"/>
        <v>0</v>
      </c>
    </row>
    <row r="27" spans="1:13" ht="17" thickBot="1" x14ac:dyDescent="0.25">
      <c r="A27" s="68" t="s">
        <v>768</v>
      </c>
      <c r="B27" s="89" t="s">
        <v>975</v>
      </c>
      <c r="C27" s="68" t="s">
        <v>36</v>
      </c>
      <c r="D27" s="68"/>
      <c r="E27" s="68">
        <v>4</v>
      </c>
      <c r="F27" s="69">
        <v>4756</v>
      </c>
      <c r="G27" s="69">
        <f t="shared" si="0"/>
        <v>19024</v>
      </c>
      <c r="H27" s="145">
        <v>2</v>
      </c>
      <c r="I27" s="146">
        <v>4756</v>
      </c>
      <c r="J27" s="146">
        <f t="shared" si="1"/>
        <v>9512</v>
      </c>
      <c r="K27" s="278"/>
      <c r="L27" s="279">
        <v>4756</v>
      </c>
      <c r="M27" s="279">
        <f t="shared" si="2"/>
        <v>0</v>
      </c>
    </row>
    <row r="28" spans="1:13" ht="17" thickBot="1" x14ac:dyDescent="0.25">
      <c r="A28" s="68" t="s">
        <v>769</v>
      </c>
      <c r="B28" s="89" t="s">
        <v>910</v>
      </c>
      <c r="C28" s="68" t="s">
        <v>36</v>
      </c>
      <c r="D28" s="68"/>
      <c r="E28" s="68">
        <v>6</v>
      </c>
      <c r="F28" s="69">
        <v>10324</v>
      </c>
      <c r="G28" s="69">
        <f t="shared" si="0"/>
        <v>61944</v>
      </c>
      <c r="H28" s="145">
        <v>3</v>
      </c>
      <c r="I28" s="146">
        <v>10324</v>
      </c>
      <c r="J28" s="146">
        <f t="shared" si="1"/>
        <v>30972</v>
      </c>
      <c r="K28" s="278"/>
      <c r="L28" s="279">
        <v>10324</v>
      </c>
      <c r="M28" s="279">
        <f t="shared" si="2"/>
        <v>0</v>
      </c>
    </row>
    <row r="29" spans="1:13" ht="17" thickBot="1" x14ac:dyDescent="0.25">
      <c r="A29" s="68" t="s">
        <v>770</v>
      </c>
      <c r="B29" s="89" t="s">
        <v>883</v>
      </c>
      <c r="C29" s="68" t="s">
        <v>36</v>
      </c>
      <c r="D29" s="68"/>
      <c r="E29" s="68">
        <v>5</v>
      </c>
      <c r="F29" s="69">
        <v>4002</v>
      </c>
      <c r="G29" s="69">
        <f t="shared" si="0"/>
        <v>20010</v>
      </c>
      <c r="H29" s="145"/>
      <c r="I29" s="146">
        <v>4002</v>
      </c>
      <c r="J29" s="146">
        <f t="shared" si="1"/>
        <v>0</v>
      </c>
      <c r="K29" s="278">
        <v>2</v>
      </c>
      <c r="L29" s="279">
        <v>4002</v>
      </c>
      <c r="M29" s="279">
        <f t="shared" si="2"/>
        <v>8004</v>
      </c>
    </row>
    <row r="30" spans="1:13" ht="17" thickBot="1" x14ac:dyDescent="0.25">
      <c r="A30" s="68" t="s">
        <v>771</v>
      </c>
      <c r="B30" s="89" t="s">
        <v>889</v>
      </c>
      <c r="C30" s="68" t="s">
        <v>36</v>
      </c>
      <c r="D30" s="68"/>
      <c r="E30" s="68">
        <v>8</v>
      </c>
      <c r="F30" s="69">
        <v>6264</v>
      </c>
      <c r="G30" s="69">
        <f t="shared" si="0"/>
        <v>50112</v>
      </c>
      <c r="H30" s="145">
        <v>2</v>
      </c>
      <c r="I30" s="146">
        <v>6264</v>
      </c>
      <c r="J30" s="146">
        <f t="shared" si="1"/>
        <v>12528</v>
      </c>
      <c r="K30" s="278">
        <v>2</v>
      </c>
      <c r="L30" s="279">
        <v>6264</v>
      </c>
      <c r="M30" s="279">
        <f t="shared" si="2"/>
        <v>12528</v>
      </c>
    </row>
    <row r="31" spans="1:13" ht="17" thickBot="1" x14ac:dyDescent="0.25">
      <c r="A31" s="68" t="s">
        <v>772</v>
      </c>
      <c r="B31" s="89" t="s">
        <v>1334</v>
      </c>
      <c r="C31" s="68" t="s">
        <v>36</v>
      </c>
      <c r="D31" s="68"/>
      <c r="E31" s="68">
        <v>8</v>
      </c>
      <c r="F31" s="69">
        <v>11368</v>
      </c>
      <c r="G31" s="69">
        <f t="shared" si="0"/>
        <v>90944</v>
      </c>
      <c r="H31" s="145">
        <v>4</v>
      </c>
      <c r="I31" s="146">
        <v>11368</v>
      </c>
      <c r="J31" s="146">
        <f t="shared" si="1"/>
        <v>45472</v>
      </c>
      <c r="K31" s="278"/>
      <c r="L31" s="279">
        <v>11368</v>
      </c>
      <c r="M31" s="279">
        <f t="shared" si="2"/>
        <v>0</v>
      </c>
    </row>
    <row r="32" spans="1:13" ht="17" thickBot="1" x14ac:dyDescent="0.25">
      <c r="A32" s="68" t="s">
        <v>773</v>
      </c>
      <c r="B32" s="89" t="s">
        <v>913</v>
      </c>
      <c r="C32" s="68" t="s">
        <v>36</v>
      </c>
      <c r="D32" s="68"/>
      <c r="E32" s="68">
        <v>3</v>
      </c>
      <c r="F32" s="69">
        <v>12992</v>
      </c>
      <c r="G32" s="69">
        <f t="shared" si="0"/>
        <v>38976</v>
      </c>
      <c r="H32" s="145">
        <v>2</v>
      </c>
      <c r="I32" s="146">
        <v>12992</v>
      </c>
      <c r="J32" s="146">
        <f t="shared" si="1"/>
        <v>25984</v>
      </c>
      <c r="K32" s="278"/>
      <c r="L32" s="279">
        <v>12992</v>
      </c>
      <c r="M32" s="279">
        <f t="shared" si="2"/>
        <v>0</v>
      </c>
    </row>
    <row r="33" spans="1:13" ht="17" thickBot="1" x14ac:dyDescent="0.25">
      <c r="A33" s="68" t="s">
        <v>774</v>
      </c>
      <c r="B33" s="89" t="s">
        <v>1564</v>
      </c>
      <c r="C33" s="68" t="s">
        <v>36</v>
      </c>
      <c r="D33" s="68"/>
      <c r="E33" s="68">
        <v>6</v>
      </c>
      <c r="F33" s="69">
        <v>4408</v>
      </c>
      <c r="G33" s="69">
        <f t="shared" si="0"/>
        <v>26448</v>
      </c>
      <c r="H33" s="145"/>
      <c r="I33" s="146">
        <v>4408</v>
      </c>
      <c r="J33" s="146">
        <f t="shared" si="1"/>
        <v>0</v>
      </c>
      <c r="K33" s="278">
        <v>3</v>
      </c>
      <c r="L33" s="279">
        <v>4408</v>
      </c>
      <c r="M33" s="279">
        <f t="shared" si="2"/>
        <v>13224</v>
      </c>
    </row>
    <row r="34" spans="1:13" ht="17" thickBot="1" x14ac:dyDescent="0.25">
      <c r="A34" s="68" t="s">
        <v>775</v>
      </c>
      <c r="B34" s="89" t="s">
        <v>877</v>
      </c>
      <c r="C34" s="68" t="s">
        <v>36</v>
      </c>
      <c r="D34" s="68"/>
      <c r="E34" s="68">
        <v>6</v>
      </c>
      <c r="F34" s="69">
        <v>928</v>
      </c>
      <c r="G34" s="69">
        <f t="shared" si="0"/>
        <v>5568</v>
      </c>
      <c r="H34" s="145">
        <v>3</v>
      </c>
      <c r="I34" s="146">
        <v>928</v>
      </c>
      <c r="J34" s="146">
        <f t="shared" si="1"/>
        <v>2784</v>
      </c>
      <c r="K34" s="278">
        <v>3</v>
      </c>
      <c r="L34" s="279">
        <v>928</v>
      </c>
      <c r="M34" s="279">
        <f t="shared" si="2"/>
        <v>2784</v>
      </c>
    </row>
    <row r="35" spans="1:13" ht="17" thickBot="1" x14ac:dyDescent="0.25">
      <c r="A35" s="68" t="s">
        <v>776</v>
      </c>
      <c r="B35" s="89" t="s">
        <v>1886</v>
      </c>
      <c r="C35" s="68" t="s">
        <v>36</v>
      </c>
      <c r="D35" s="68"/>
      <c r="E35" s="68">
        <v>2</v>
      </c>
      <c r="F35" s="69">
        <v>4524</v>
      </c>
      <c r="G35" s="69">
        <f t="shared" si="0"/>
        <v>9048</v>
      </c>
      <c r="H35" s="145">
        <v>1</v>
      </c>
      <c r="I35" s="146">
        <v>4524</v>
      </c>
      <c r="J35" s="146">
        <f t="shared" si="1"/>
        <v>4524</v>
      </c>
      <c r="K35" s="278"/>
      <c r="L35" s="279">
        <v>4524</v>
      </c>
      <c r="M35" s="279">
        <f t="shared" si="2"/>
        <v>0</v>
      </c>
    </row>
    <row r="36" spans="1:13" ht="17" thickBot="1" x14ac:dyDescent="0.25">
      <c r="A36" s="67"/>
      <c r="B36" s="138"/>
      <c r="C36" s="67"/>
      <c r="D36" s="67"/>
      <c r="E36" s="67"/>
      <c r="F36" s="70"/>
      <c r="G36" s="72">
        <f>SUM(G3:G35)</f>
        <v>5200175.6000000006</v>
      </c>
      <c r="H36" s="67"/>
      <c r="I36" s="70"/>
      <c r="J36" s="144">
        <f>SUM(J3:J35)</f>
        <v>1007286.0000000001</v>
      </c>
      <c r="K36" s="67"/>
      <c r="L36" s="70"/>
      <c r="M36" s="277">
        <f>SUM(M3:M35)</f>
        <v>1311855.6000000001</v>
      </c>
    </row>
    <row r="40" spans="1:13" ht="17" thickBot="1" x14ac:dyDescent="0.25">
      <c r="A40" s="30" t="s">
        <v>1555</v>
      </c>
      <c r="B40" s="74"/>
      <c r="C40" s="2" t="s">
        <v>931</v>
      </c>
      <c r="D40" s="2" t="s">
        <v>1098</v>
      </c>
    </row>
    <row r="41" spans="1:13" ht="17" thickBot="1" x14ac:dyDescent="0.25">
      <c r="A41" s="9" t="s">
        <v>1099</v>
      </c>
      <c r="B41" s="76"/>
      <c r="C41" s="9" t="s">
        <v>36</v>
      </c>
      <c r="D41" s="9" t="s">
        <v>666</v>
      </c>
      <c r="E41" s="9">
        <v>40</v>
      </c>
      <c r="F41" s="65">
        <v>12528</v>
      </c>
      <c r="G41" s="65">
        <f>F41*E41</f>
        <v>501120</v>
      </c>
      <c r="H41" s="18">
        <v>16</v>
      </c>
      <c r="I41" s="116">
        <v>12528</v>
      </c>
      <c r="J41" s="116">
        <f>I41*H41</f>
        <v>200448</v>
      </c>
    </row>
    <row r="42" spans="1:13" ht="17" thickBot="1" x14ac:dyDescent="0.25">
      <c r="A42" s="9" t="s">
        <v>1099</v>
      </c>
      <c r="B42" s="76"/>
      <c r="C42" s="9" t="s">
        <v>36</v>
      </c>
      <c r="D42" s="9" t="s">
        <v>1100</v>
      </c>
      <c r="E42" s="9">
        <v>30</v>
      </c>
      <c r="F42" s="65">
        <v>8700</v>
      </c>
      <c r="G42" s="65">
        <f>F42*E42</f>
        <v>261000</v>
      </c>
      <c r="H42" s="18"/>
      <c r="I42" s="116">
        <v>8700</v>
      </c>
      <c r="J42" s="116">
        <f>I42*H42</f>
        <v>0</v>
      </c>
    </row>
    <row r="43" spans="1:13" ht="17" thickBot="1" x14ac:dyDescent="0.25">
      <c r="G43" s="66">
        <f>SUM(G41:G42)</f>
        <v>762120</v>
      </c>
      <c r="J43" s="115">
        <f>SUM(J41:J42)</f>
        <v>200448</v>
      </c>
    </row>
    <row r="45" spans="1:13" ht="17" thickBot="1" x14ac:dyDescent="0.25">
      <c r="A45" s="30" t="s">
        <v>1556</v>
      </c>
      <c r="B45" s="74"/>
      <c r="C45" s="2" t="s">
        <v>931</v>
      </c>
      <c r="D45" s="2" t="s">
        <v>1098</v>
      </c>
    </row>
    <row r="46" spans="1:13" ht="17" thickBot="1" x14ac:dyDescent="0.25">
      <c r="A46" s="9" t="s">
        <v>1101</v>
      </c>
      <c r="B46" s="76"/>
      <c r="C46" s="9" t="s">
        <v>36</v>
      </c>
      <c r="D46" s="9" t="s">
        <v>198</v>
      </c>
      <c r="E46" s="9">
        <v>30</v>
      </c>
      <c r="F46" s="10">
        <v>10672</v>
      </c>
      <c r="G46" s="10">
        <f>F46*E46</f>
        <v>320160</v>
      </c>
      <c r="H46" s="18">
        <v>6</v>
      </c>
      <c r="I46" s="19">
        <v>10672</v>
      </c>
      <c r="J46" s="19">
        <f>I46*H46</f>
        <v>64032</v>
      </c>
    </row>
    <row r="47" spans="1:13" ht="17" thickBot="1" x14ac:dyDescent="0.25">
      <c r="A47" s="9" t="s">
        <v>683</v>
      </c>
      <c r="B47" s="76"/>
      <c r="C47" s="9" t="s">
        <v>36</v>
      </c>
      <c r="D47" s="9" t="s">
        <v>337</v>
      </c>
      <c r="E47" s="9">
        <v>144</v>
      </c>
      <c r="F47" s="10">
        <v>3712</v>
      </c>
      <c r="G47" s="10">
        <f t="shared" ref="G47:G52" si="3">F47*E47</f>
        <v>534528</v>
      </c>
      <c r="H47" s="18">
        <v>40</v>
      </c>
      <c r="I47" s="19">
        <v>3712</v>
      </c>
      <c r="J47" s="19">
        <f t="shared" ref="J47:J52" si="4">I47*H47</f>
        <v>148480</v>
      </c>
    </row>
    <row r="48" spans="1:13" ht="17" thickBot="1" x14ac:dyDescent="0.25">
      <c r="A48" s="9" t="s">
        <v>683</v>
      </c>
      <c r="B48" s="76"/>
      <c r="C48" s="9" t="s">
        <v>36</v>
      </c>
      <c r="D48" s="9" t="s">
        <v>658</v>
      </c>
      <c r="E48" s="9">
        <v>80</v>
      </c>
      <c r="F48" s="10">
        <v>8816</v>
      </c>
      <c r="G48" s="10">
        <f t="shared" si="3"/>
        <v>705280</v>
      </c>
      <c r="H48" s="18">
        <v>20</v>
      </c>
      <c r="I48" s="19">
        <v>8816</v>
      </c>
      <c r="J48" s="19">
        <f t="shared" si="4"/>
        <v>176320</v>
      </c>
    </row>
    <row r="49" spans="1:13" ht="17" thickBot="1" x14ac:dyDescent="0.25">
      <c r="A49" s="9" t="s">
        <v>282</v>
      </c>
      <c r="B49" s="76"/>
      <c r="C49" s="9" t="s">
        <v>36</v>
      </c>
      <c r="D49" s="9" t="s">
        <v>110</v>
      </c>
      <c r="E49" s="9">
        <v>50</v>
      </c>
      <c r="F49" s="10">
        <v>9744</v>
      </c>
      <c r="G49" s="10">
        <f t="shared" si="3"/>
        <v>487200</v>
      </c>
      <c r="H49" s="18">
        <v>25</v>
      </c>
      <c r="I49" s="19">
        <v>9744</v>
      </c>
      <c r="J49" s="19">
        <f t="shared" si="4"/>
        <v>243600</v>
      </c>
    </row>
    <row r="50" spans="1:13" ht="17" thickBot="1" x14ac:dyDescent="0.25">
      <c r="A50" s="9" t="s">
        <v>285</v>
      </c>
      <c r="B50" s="76"/>
      <c r="C50" s="9" t="s">
        <v>36</v>
      </c>
      <c r="D50" s="9" t="s">
        <v>123</v>
      </c>
      <c r="E50" s="9">
        <v>70</v>
      </c>
      <c r="F50" s="10">
        <v>14152</v>
      </c>
      <c r="G50" s="10">
        <f t="shared" si="3"/>
        <v>990640</v>
      </c>
      <c r="H50" s="18">
        <v>35</v>
      </c>
      <c r="I50" s="19">
        <v>14152</v>
      </c>
      <c r="J50" s="19">
        <f t="shared" si="4"/>
        <v>495320</v>
      </c>
    </row>
    <row r="51" spans="1:13" ht="17" thickBot="1" x14ac:dyDescent="0.25">
      <c r="A51" s="9" t="s">
        <v>1102</v>
      </c>
      <c r="B51" s="76"/>
      <c r="C51" s="9" t="s">
        <v>36</v>
      </c>
      <c r="D51" s="9" t="s">
        <v>319</v>
      </c>
      <c r="E51" s="9">
        <v>32</v>
      </c>
      <c r="F51" s="10">
        <v>14732</v>
      </c>
      <c r="G51" s="10">
        <f t="shared" si="3"/>
        <v>471424</v>
      </c>
      <c r="H51" s="18"/>
      <c r="I51" s="19">
        <v>14732</v>
      </c>
      <c r="J51" s="19">
        <f t="shared" si="4"/>
        <v>0</v>
      </c>
    </row>
    <row r="52" spans="1:13" ht="17" thickBot="1" x14ac:dyDescent="0.25">
      <c r="A52" s="9" t="s">
        <v>683</v>
      </c>
      <c r="B52" s="76"/>
      <c r="C52" s="9" t="s">
        <v>36</v>
      </c>
      <c r="D52" s="9" t="s">
        <v>1103</v>
      </c>
      <c r="E52" s="9">
        <v>40</v>
      </c>
      <c r="F52" s="10">
        <v>2900</v>
      </c>
      <c r="G52" s="10">
        <f t="shared" si="3"/>
        <v>116000</v>
      </c>
      <c r="H52" s="18"/>
      <c r="I52" s="19">
        <v>2900</v>
      </c>
      <c r="J52" s="19">
        <f t="shared" si="4"/>
        <v>0</v>
      </c>
    </row>
    <row r="53" spans="1:13" ht="17" thickBot="1" x14ac:dyDescent="0.25">
      <c r="G53" s="103">
        <f>SUM(G46:G52)</f>
        <v>3625232</v>
      </c>
      <c r="J53" s="114">
        <f>SUM(J46:J52)</f>
        <v>1127752</v>
      </c>
    </row>
    <row r="54" spans="1:13" ht="17" thickBot="1" x14ac:dyDescent="0.25">
      <c r="A54" s="30" t="s">
        <v>1557</v>
      </c>
      <c r="B54" s="74"/>
      <c r="C54" s="2" t="s">
        <v>931</v>
      </c>
      <c r="D54" s="2" t="s">
        <v>1098</v>
      </c>
      <c r="F54" s="3"/>
      <c r="G54" s="3"/>
    </row>
    <row r="55" spans="1:13" ht="17" thickBot="1" x14ac:dyDescent="0.25">
      <c r="A55" s="55" t="s">
        <v>60</v>
      </c>
      <c r="B55" s="139"/>
      <c r="C55" s="55" t="s">
        <v>4</v>
      </c>
      <c r="D55" s="55" t="s">
        <v>264</v>
      </c>
      <c r="E55" s="55">
        <v>100</v>
      </c>
      <c r="F55" s="136">
        <v>162400</v>
      </c>
      <c r="G55" s="137">
        <f>E55*F55</f>
        <v>16240000</v>
      </c>
      <c r="H55" s="140">
        <v>54</v>
      </c>
      <c r="I55" s="141">
        <v>162400</v>
      </c>
      <c r="J55" s="142">
        <f>H55*I55</f>
        <v>8769600</v>
      </c>
      <c r="K55" s="111">
        <v>46</v>
      </c>
      <c r="L55" s="112">
        <v>162400</v>
      </c>
      <c r="M55" s="113">
        <f>K55*L55</f>
        <v>7470400</v>
      </c>
    </row>
    <row r="56" spans="1:13" x14ac:dyDescent="0.2">
      <c r="G56" s="107"/>
    </row>
    <row r="57" spans="1:13" ht="17" thickBot="1" x14ac:dyDescent="0.25">
      <c r="A57" s="30" t="s">
        <v>2303</v>
      </c>
      <c r="G57" s="107"/>
    </row>
    <row r="58" spans="1:13" ht="17" thickBot="1" x14ac:dyDescent="0.25">
      <c r="A58" s="9" t="s">
        <v>140</v>
      </c>
      <c r="B58" s="76"/>
      <c r="C58" s="9" t="s">
        <v>36</v>
      </c>
      <c r="D58" s="9" t="s">
        <v>335</v>
      </c>
      <c r="E58" s="9">
        <v>120</v>
      </c>
      <c r="F58" s="10">
        <v>15544</v>
      </c>
      <c r="G58" s="103">
        <f>F58*E58</f>
        <v>1865280</v>
      </c>
    </row>
    <row r="59" spans="1:13" x14ac:dyDescent="0.2">
      <c r="G59" s="107"/>
    </row>
    <row r="60" spans="1:13" x14ac:dyDescent="0.2">
      <c r="G60" s="107"/>
    </row>
    <row r="62" spans="1:13" ht="17" thickBot="1" x14ac:dyDescent="0.25">
      <c r="A62" s="30" t="s">
        <v>1784</v>
      </c>
      <c r="B62" s="74"/>
      <c r="C62" s="2" t="s">
        <v>1121</v>
      </c>
      <c r="D62" s="2" t="s">
        <v>1122</v>
      </c>
      <c r="K62" s="284">
        <v>46188</v>
      </c>
    </row>
    <row r="63" spans="1:13" ht="17" thickBot="1" x14ac:dyDescent="0.25">
      <c r="A63" s="9" t="s">
        <v>285</v>
      </c>
      <c r="B63" s="76" t="s">
        <v>887</v>
      </c>
      <c r="C63" s="9" t="s">
        <v>36</v>
      </c>
      <c r="D63" s="9" t="s">
        <v>302</v>
      </c>
      <c r="E63" s="9">
        <v>40</v>
      </c>
      <c r="F63" s="10">
        <v>14848</v>
      </c>
      <c r="G63" s="10">
        <f>F63*E63</f>
        <v>593920</v>
      </c>
      <c r="H63" s="18">
        <v>5</v>
      </c>
      <c r="I63" s="19">
        <v>14848</v>
      </c>
      <c r="J63" s="19">
        <f>I63*H63</f>
        <v>74240</v>
      </c>
      <c r="K63" s="92"/>
      <c r="L63" s="93">
        <v>14848</v>
      </c>
      <c r="M63" s="93">
        <f>L63*K63</f>
        <v>0</v>
      </c>
    </row>
    <row r="64" spans="1:13" ht="17" thickBot="1" x14ac:dyDescent="0.25">
      <c r="A64" s="9" t="s">
        <v>285</v>
      </c>
      <c r="B64" s="76" t="s">
        <v>885</v>
      </c>
      <c r="C64" s="9" t="s">
        <v>36</v>
      </c>
      <c r="D64" s="9" t="s">
        <v>53</v>
      </c>
      <c r="E64" s="9">
        <v>40</v>
      </c>
      <c r="F64" s="10">
        <v>8468</v>
      </c>
      <c r="G64" s="10">
        <f>F64*E64</f>
        <v>338720</v>
      </c>
      <c r="H64" s="18">
        <v>10</v>
      </c>
      <c r="I64" s="19">
        <v>8468</v>
      </c>
      <c r="J64" s="19">
        <f>I64*H64</f>
        <v>84680</v>
      </c>
      <c r="K64" s="92">
        <v>10</v>
      </c>
      <c r="L64" s="93">
        <v>8468</v>
      </c>
      <c r="M64" s="93">
        <f>L64*K64</f>
        <v>84680</v>
      </c>
    </row>
    <row r="65" spans="1:13" ht="17" thickBot="1" x14ac:dyDescent="0.25">
      <c r="A65" s="9" t="s">
        <v>285</v>
      </c>
      <c r="B65" s="76" t="s">
        <v>1340</v>
      </c>
      <c r="C65" s="9" t="s">
        <v>36</v>
      </c>
      <c r="D65" s="9" t="s">
        <v>123</v>
      </c>
      <c r="E65" s="9">
        <v>20</v>
      </c>
      <c r="F65" s="10">
        <v>13920</v>
      </c>
      <c r="G65" s="10">
        <f>F65*E65</f>
        <v>278400</v>
      </c>
      <c r="H65" s="18">
        <v>5</v>
      </c>
      <c r="I65" s="19">
        <v>13920</v>
      </c>
      <c r="J65" s="19">
        <f>I65*H65</f>
        <v>69600</v>
      </c>
      <c r="K65" s="92">
        <v>5</v>
      </c>
      <c r="L65" s="93">
        <v>13920</v>
      </c>
      <c r="M65" s="93">
        <f>L65*K65</f>
        <v>69600</v>
      </c>
    </row>
    <row r="66" spans="1:13" ht="17" thickBot="1" x14ac:dyDescent="0.25">
      <c r="A66" s="9" t="s">
        <v>140</v>
      </c>
      <c r="B66" s="76" t="s">
        <v>862</v>
      </c>
      <c r="C66" s="9" t="s">
        <v>36</v>
      </c>
      <c r="D66" s="9" t="s">
        <v>1251</v>
      </c>
      <c r="E66" s="9">
        <v>100</v>
      </c>
      <c r="F66" s="10">
        <v>8584</v>
      </c>
      <c r="G66" s="10">
        <f>F66*E66</f>
        <v>858400</v>
      </c>
      <c r="H66" s="18">
        <v>25</v>
      </c>
      <c r="I66" s="19">
        <v>8584</v>
      </c>
      <c r="J66" s="19">
        <f>I66*H66</f>
        <v>214600</v>
      </c>
      <c r="K66" s="92">
        <v>25</v>
      </c>
      <c r="L66" s="93">
        <v>8584</v>
      </c>
      <c r="M66" s="93">
        <f>L66*K66</f>
        <v>214600</v>
      </c>
    </row>
    <row r="67" spans="1:13" ht="17" thickBot="1" x14ac:dyDescent="0.25">
      <c r="A67" s="2" t="s">
        <v>1779</v>
      </c>
      <c r="G67" s="103">
        <f>SUM(G63:G66)</f>
        <v>2069440</v>
      </c>
      <c r="J67" s="114">
        <f>SUM(J63:J66)</f>
        <v>443120</v>
      </c>
      <c r="M67" s="170">
        <f>SUM(M63:M66)</f>
        <v>368880</v>
      </c>
    </row>
    <row r="70" spans="1:13" ht="17" thickBot="1" x14ac:dyDescent="0.25">
      <c r="A70" s="30" t="s">
        <v>1783</v>
      </c>
      <c r="B70" s="74"/>
      <c r="C70" s="2" t="s">
        <v>1121</v>
      </c>
      <c r="D70" s="2" t="s">
        <v>1122</v>
      </c>
      <c r="K70" s="284">
        <v>46188</v>
      </c>
    </row>
    <row r="71" spans="1:13" ht="17" thickBot="1" x14ac:dyDescent="0.25">
      <c r="A71" s="9" t="s">
        <v>242</v>
      </c>
      <c r="B71" s="76"/>
      <c r="C71" s="9" t="s">
        <v>36</v>
      </c>
      <c r="D71" s="9" t="s">
        <v>1123</v>
      </c>
      <c r="E71" s="9">
        <v>20</v>
      </c>
      <c r="F71" s="10">
        <v>1902.4</v>
      </c>
      <c r="G71" s="12">
        <f>F71*E71</f>
        <v>38048</v>
      </c>
      <c r="H71" s="18">
        <v>5</v>
      </c>
      <c r="I71" s="19">
        <v>1902.4</v>
      </c>
      <c r="J71" s="34">
        <f>I71*H71</f>
        <v>9512</v>
      </c>
      <c r="K71" s="92">
        <v>5</v>
      </c>
      <c r="L71" s="93">
        <v>1902.4</v>
      </c>
      <c r="M71" s="94">
        <f>L71*K71</f>
        <v>9512</v>
      </c>
    </row>
    <row r="73" spans="1:13" ht="17" thickBot="1" x14ac:dyDescent="0.25">
      <c r="A73" s="30" t="s">
        <v>1551</v>
      </c>
      <c r="B73" s="74"/>
      <c r="C73" s="121" t="s">
        <v>1121</v>
      </c>
      <c r="D73" s="2" t="s">
        <v>1122</v>
      </c>
      <c r="K73" s="284">
        <v>46188</v>
      </c>
    </row>
    <row r="74" spans="1:13" ht="17" thickBot="1" x14ac:dyDescent="0.25">
      <c r="A74" s="9" t="s">
        <v>58</v>
      </c>
      <c r="B74" s="76" t="s">
        <v>1552</v>
      </c>
      <c r="C74" s="122" t="s">
        <v>36</v>
      </c>
      <c r="D74" s="9" t="s">
        <v>1175</v>
      </c>
      <c r="E74" s="9">
        <v>145</v>
      </c>
      <c r="F74" s="10">
        <v>66120</v>
      </c>
      <c r="G74" s="12">
        <f>F74*E74</f>
        <v>9587400</v>
      </c>
      <c r="H74" s="18">
        <v>30</v>
      </c>
      <c r="I74" s="19">
        <v>66120</v>
      </c>
      <c r="J74" s="34">
        <f>I74*H74</f>
        <v>1983600</v>
      </c>
      <c r="K74" s="92">
        <v>12</v>
      </c>
      <c r="L74" s="93">
        <v>66120</v>
      </c>
      <c r="M74" s="94">
        <f>L74*K74</f>
        <v>793440</v>
      </c>
    </row>
    <row r="77" spans="1:13" ht="17" thickBot="1" x14ac:dyDescent="0.25">
      <c r="A77" s="30" t="s">
        <v>1139</v>
      </c>
      <c r="B77" s="74"/>
      <c r="C77" s="2" t="s">
        <v>1121</v>
      </c>
      <c r="D77" s="2" t="s">
        <v>1122</v>
      </c>
      <c r="K77" s="284">
        <v>46188</v>
      </c>
    </row>
    <row r="78" spans="1:13" ht="17" thickBot="1" x14ac:dyDescent="0.25">
      <c r="A78" s="9" t="s">
        <v>242</v>
      </c>
      <c r="B78" s="76" t="s">
        <v>926</v>
      </c>
      <c r="C78" s="9" t="s">
        <v>36</v>
      </c>
      <c r="D78" s="9" t="s">
        <v>1107</v>
      </c>
      <c r="E78" s="9">
        <v>20</v>
      </c>
      <c r="F78" s="10">
        <v>12006</v>
      </c>
      <c r="G78" s="10">
        <f>F78*E78</f>
        <v>240120</v>
      </c>
      <c r="H78" s="18">
        <v>5</v>
      </c>
      <c r="I78" s="19">
        <v>12006</v>
      </c>
      <c r="J78" s="19">
        <f>I78*H78</f>
        <v>60030</v>
      </c>
      <c r="K78" s="92">
        <v>5</v>
      </c>
      <c r="L78" s="93">
        <v>12006</v>
      </c>
      <c r="M78" s="93">
        <f>L78*K78</f>
        <v>60030</v>
      </c>
    </row>
    <row r="79" spans="1:13" ht="17" thickBot="1" x14ac:dyDescent="0.25">
      <c r="A79" s="9" t="s">
        <v>283</v>
      </c>
      <c r="B79" s="76"/>
      <c r="C79" s="9" t="s">
        <v>36</v>
      </c>
      <c r="D79" s="9" t="s">
        <v>1138</v>
      </c>
      <c r="E79" s="9">
        <v>40</v>
      </c>
      <c r="F79" s="10">
        <v>6356.8</v>
      </c>
      <c r="G79" s="10">
        <f>F79*E79</f>
        <v>254272</v>
      </c>
      <c r="H79" s="18"/>
      <c r="I79" s="19">
        <v>6356.8</v>
      </c>
      <c r="J79" s="19">
        <f>I79*H79</f>
        <v>0</v>
      </c>
      <c r="K79" s="92"/>
      <c r="L79" s="93">
        <v>6356.8</v>
      </c>
      <c r="M79" s="93">
        <f>L79*K79</f>
        <v>0</v>
      </c>
    </row>
    <row r="80" spans="1:13" ht="17" thickBot="1" x14ac:dyDescent="0.25">
      <c r="A80" s="9" t="s">
        <v>45</v>
      </c>
      <c r="B80" s="76"/>
      <c r="C80" s="9" t="s">
        <v>36</v>
      </c>
      <c r="D80" s="9" t="s">
        <v>339</v>
      </c>
      <c r="E80" s="9">
        <v>20</v>
      </c>
      <c r="F80" s="10">
        <v>11368</v>
      </c>
      <c r="G80" s="10">
        <f>F80*E80</f>
        <v>227360</v>
      </c>
      <c r="H80" s="18">
        <v>5</v>
      </c>
      <c r="I80" s="19">
        <v>11368</v>
      </c>
      <c r="J80" s="19">
        <f>I80*H80</f>
        <v>56840</v>
      </c>
      <c r="K80" s="92"/>
      <c r="L80" s="93">
        <v>11368</v>
      </c>
      <c r="M80" s="93">
        <f>L80*K80</f>
        <v>0</v>
      </c>
    </row>
    <row r="81" spans="1:16" ht="17" thickBot="1" x14ac:dyDescent="0.25">
      <c r="G81" s="103">
        <f>SUM(G78:G80)</f>
        <v>721752</v>
      </c>
      <c r="J81" s="114">
        <f>SUM(J78:J80)</f>
        <v>116870</v>
      </c>
      <c r="M81" s="170">
        <f>SUM(M78:M80)</f>
        <v>60030</v>
      </c>
    </row>
    <row r="82" spans="1:16" ht="17" thickBot="1" x14ac:dyDescent="0.25">
      <c r="A82" s="30" t="s">
        <v>1140</v>
      </c>
      <c r="B82" s="74"/>
      <c r="C82" s="2" t="s">
        <v>1121</v>
      </c>
      <c r="D82" s="2" t="s">
        <v>1122</v>
      </c>
    </row>
    <row r="83" spans="1:16" ht="17" thickBot="1" x14ac:dyDescent="0.25">
      <c r="A83" s="9" t="s">
        <v>242</v>
      </c>
      <c r="B83" s="76"/>
      <c r="C83" s="9" t="s">
        <v>36</v>
      </c>
      <c r="D83" s="9" t="s">
        <v>293</v>
      </c>
      <c r="E83" s="9">
        <v>40</v>
      </c>
      <c r="F83" s="10">
        <v>12400.4</v>
      </c>
      <c r="G83" s="12">
        <f>F83*E83</f>
        <v>496016</v>
      </c>
      <c r="H83" s="18">
        <v>10</v>
      </c>
      <c r="I83" s="19">
        <v>12400.4</v>
      </c>
      <c r="J83" s="34">
        <f>I83*H83</f>
        <v>124004</v>
      </c>
      <c r="K83" s="92">
        <v>10</v>
      </c>
      <c r="L83" s="93">
        <v>12400.4</v>
      </c>
      <c r="M83" s="94">
        <f>L83*K83</f>
        <v>124004</v>
      </c>
    </row>
    <row r="85" spans="1:16" ht="17" thickBot="1" x14ac:dyDescent="0.25">
      <c r="A85" s="30" t="s">
        <v>1148</v>
      </c>
      <c r="B85" s="74"/>
      <c r="C85" s="2" t="s">
        <v>1121</v>
      </c>
      <c r="D85" s="2" t="s">
        <v>1122</v>
      </c>
    </row>
    <row r="86" spans="1:16" ht="17" thickBot="1" x14ac:dyDescent="0.25">
      <c r="A86" s="9" t="s">
        <v>45</v>
      </c>
      <c r="B86" s="76" t="s">
        <v>876</v>
      </c>
      <c r="C86" s="9" t="s">
        <v>36</v>
      </c>
      <c r="D86" s="9" t="s">
        <v>39</v>
      </c>
      <c r="E86" s="9">
        <v>20</v>
      </c>
      <c r="F86" s="106">
        <v>15080</v>
      </c>
      <c r="G86" s="106">
        <f>F86*E86</f>
        <v>301600</v>
      </c>
      <c r="H86" s="18">
        <v>5</v>
      </c>
      <c r="I86" s="178">
        <v>15080</v>
      </c>
      <c r="J86" s="178">
        <f>I86*H86</f>
        <v>75400</v>
      </c>
      <c r="K86" s="92"/>
      <c r="L86" s="246">
        <v>15080</v>
      </c>
      <c r="M86" s="246">
        <f>L86*K86</f>
        <v>0</v>
      </c>
      <c r="N86" s="23">
        <v>5</v>
      </c>
      <c r="O86" s="241">
        <v>15080</v>
      </c>
      <c r="P86" s="241">
        <f>O86*N86</f>
        <v>75400</v>
      </c>
    </row>
    <row r="87" spans="1:16" ht="17" thickBot="1" x14ac:dyDescent="0.25">
      <c r="A87" s="9" t="s">
        <v>240</v>
      </c>
      <c r="B87" s="76" t="s">
        <v>845</v>
      </c>
      <c r="C87" s="9" t="s">
        <v>36</v>
      </c>
      <c r="D87" s="9" t="s">
        <v>205</v>
      </c>
      <c r="E87" s="9">
        <v>40</v>
      </c>
      <c r="F87" s="106">
        <v>11832</v>
      </c>
      <c r="G87" s="106">
        <f t="shared" ref="G87:G104" si="5">F87*E87</f>
        <v>473280</v>
      </c>
      <c r="H87" s="18"/>
      <c r="I87" s="178">
        <v>11832</v>
      </c>
      <c r="J87" s="178">
        <f t="shared" ref="J87:J104" si="6">I87*H87</f>
        <v>0</v>
      </c>
      <c r="K87" s="92">
        <v>12</v>
      </c>
      <c r="L87" s="246">
        <v>11832</v>
      </c>
      <c r="M87" s="246">
        <f t="shared" ref="M87:M104" si="7">L87*K87</f>
        <v>141984</v>
      </c>
      <c r="N87" s="23">
        <v>6</v>
      </c>
      <c r="O87" s="241">
        <v>11832</v>
      </c>
      <c r="P87" s="241">
        <f t="shared" ref="P87:P104" si="8">O87*N87</f>
        <v>70992</v>
      </c>
    </row>
    <row r="88" spans="1:16" ht="17" thickBot="1" x14ac:dyDescent="0.25">
      <c r="A88" s="9" t="s">
        <v>45</v>
      </c>
      <c r="B88" s="76" t="s">
        <v>841</v>
      </c>
      <c r="C88" s="9" t="s">
        <v>36</v>
      </c>
      <c r="D88" s="9" t="s">
        <v>295</v>
      </c>
      <c r="E88" s="9">
        <v>20</v>
      </c>
      <c r="F88" s="106">
        <v>11484</v>
      </c>
      <c r="G88" s="106">
        <f t="shared" si="5"/>
        <v>229680</v>
      </c>
      <c r="H88" s="18">
        <v>5</v>
      </c>
      <c r="I88" s="178">
        <v>11484</v>
      </c>
      <c r="J88" s="178">
        <f t="shared" si="6"/>
        <v>57420</v>
      </c>
      <c r="K88" s="92"/>
      <c r="L88" s="246">
        <v>11484</v>
      </c>
      <c r="M88" s="246">
        <f t="shared" si="7"/>
        <v>0</v>
      </c>
      <c r="N88" s="23">
        <v>5</v>
      </c>
      <c r="O88" s="241">
        <v>11484</v>
      </c>
      <c r="P88" s="241">
        <f t="shared" si="8"/>
        <v>57420</v>
      </c>
    </row>
    <row r="89" spans="1:16" ht="17" thickBot="1" x14ac:dyDescent="0.25">
      <c r="A89" s="9" t="s">
        <v>240</v>
      </c>
      <c r="B89" s="76" t="s">
        <v>889</v>
      </c>
      <c r="C89" s="9" t="s">
        <v>36</v>
      </c>
      <c r="D89" s="9" t="s">
        <v>303</v>
      </c>
      <c r="E89" s="9">
        <v>40</v>
      </c>
      <c r="F89" s="106">
        <v>6948.4</v>
      </c>
      <c r="G89" s="106">
        <f t="shared" si="5"/>
        <v>277936</v>
      </c>
      <c r="H89" s="18"/>
      <c r="I89" s="178">
        <v>6948.4</v>
      </c>
      <c r="J89" s="178">
        <f t="shared" si="6"/>
        <v>0</v>
      </c>
      <c r="K89" s="92">
        <v>12</v>
      </c>
      <c r="L89" s="246">
        <v>6948.4</v>
      </c>
      <c r="M89" s="246">
        <f t="shared" si="7"/>
        <v>83380.799999999988</v>
      </c>
      <c r="N89" s="23">
        <v>6</v>
      </c>
      <c r="O89" s="241">
        <v>6948.4</v>
      </c>
      <c r="P89" s="241">
        <f t="shared" si="8"/>
        <v>41690.399999999994</v>
      </c>
    </row>
    <row r="90" spans="1:16" ht="17" thickBot="1" x14ac:dyDescent="0.25">
      <c r="A90" s="9" t="s">
        <v>239</v>
      </c>
      <c r="B90" s="76" t="s">
        <v>892</v>
      </c>
      <c r="C90" s="9" t="s">
        <v>36</v>
      </c>
      <c r="D90" s="9" t="s">
        <v>393</v>
      </c>
      <c r="E90" s="9">
        <v>40</v>
      </c>
      <c r="F90" s="106">
        <v>4872</v>
      </c>
      <c r="G90" s="106">
        <f t="shared" si="5"/>
        <v>194880</v>
      </c>
      <c r="H90" s="18"/>
      <c r="I90" s="178">
        <v>4872</v>
      </c>
      <c r="J90" s="178">
        <f t="shared" si="6"/>
        <v>0</v>
      </c>
      <c r="K90" s="92"/>
      <c r="L90" s="246">
        <v>4872</v>
      </c>
      <c r="M90" s="246">
        <f t="shared" si="7"/>
        <v>0</v>
      </c>
      <c r="N90" s="23">
        <v>20</v>
      </c>
      <c r="O90" s="241">
        <v>4872</v>
      </c>
      <c r="P90" s="241">
        <f t="shared" si="8"/>
        <v>97440</v>
      </c>
    </row>
    <row r="91" spans="1:16" ht="17" thickBot="1" x14ac:dyDescent="0.25">
      <c r="A91" s="9" t="s">
        <v>240</v>
      </c>
      <c r="B91" s="76" t="s">
        <v>854</v>
      </c>
      <c r="C91" s="9" t="s">
        <v>36</v>
      </c>
      <c r="D91" s="9" t="s">
        <v>110</v>
      </c>
      <c r="E91" s="9">
        <v>20</v>
      </c>
      <c r="F91" s="106">
        <v>2987</v>
      </c>
      <c r="G91" s="106">
        <f t="shared" si="5"/>
        <v>59740</v>
      </c>
      <c r="H91" s="18">
        <v>5</v>
      </c>
      <c r="I91" s="178">
        <v>2987</v>
      </c>
      <c r="J91" s="178">
        <f t="shared" si="6"/>
        <v>14935</v>
      </c>
      <c r="K91" s="92"/>
      <c r="L91" s="246">
        <v>2987</v>
      </c>
      <c r="M91" s="246">
        <f t="shared" si="7"/>
        <v>0</v>
      </c>
      <c r="N91" s="23">
        <v>5</v>
      </c>
      <c r="O91" s="241">
        <v>2987</v>
      </c>
      <c r="P91" s="241">
        <f t="shared" si="8"/>
        <v>14935</v>
      </c>
    </row>
    <row r="92" spans="1:16" ht="17" thickBot="1" x14ac:dyDescent="0.25">
      <c r="A92" s="9" t="s">
        <v>58</v>
      </c>
      <c r="B92" s="76" t="s">
        <v>849</v>
      </c>
      <c r="C92" s="9" t="s">
        <v>36</v>
      </c>
      <c r="D92" s="9" t="s">
        <v>122</v>
      </c>
      <c r="E92" s="9">
        <v>100</v>
      </c>
      <c r="F92" s="106">
        <v>3700.4</v>
      </c>
      <c r="G92" s="106">
        <f t="shared" si="5"/>
        <v>370040</v>
      </c>
      <c r="H92" s="18">
        <v>25</v>
      </c>
      <c r="I92" s="178">
        <v>3700.4</v>
      </c>
      <c r="J92" s="178">
        <f t="shared" si="6"/>
        <v>92510</v>
      </c>
      <c r="K92" s="92"/>
      <c r="L92" s="246">
        <v>3700.4</v>
      </c>
      <c r="M92" s="246">
        <f t="shared" si="7"/>
        <v>0</v>
      </c>
      <c r="N92" s="23">
        <v>25</v>
      </c>
      <c r="O92" s="241">
        <v>3700.4</v>
      </c>
      <c r="P92" s="241">
        <f t="shared" si="8"/>
        <v>92510</v>
      </c>
    </row>
    <row r="93" spans="1:16" ht="17" thickBot="1" x14ac:dyDescent="0.25">
      <c r="A93" s="9" t="s">
        <v>290</v>
      </c>
      <c r="B93" s="76" t="s">
        <v>1564</v>
      </c>
      <c r="C93" s="9" t="s">
        <v>36</v>
      </c>
      <c r="D93" s="9" t="s">
        <v>1147</v>
      </c>
      <c r="E93" s="9">
        <v>100</v>
      </c>
      <c r="F93" s="106">
        <v>4872</v>
      </c>
      <c r="G93" s="106">
        <f t="shared" si="5"/>
        <v>487200</v>
      </c>
      <c r="H93" s="18"/>
      <c r="I93" s="178">
        <v>4872</v>
      </c>
      <c r="J93" s="178">
        <f t="shared" si="6"/>
        <v>0</v>
      </c>
      <c r="K93" s="92"/>
      <c r="L93" s="246">
        <v>4872</v>
      </c>
      <c r="M93" s="246">
        <f t="shared" si="7"/>
        <v>0</v>
      </c>
      <c r="N93" s="23">
        <v>24</v>
      </c>
      <c r="O93" s="241">
        <v>4872</v>
      </c>
      <c r="P93" s="241">
        <f t="shared" si="8"/>
        <v>116928</v>
      </c>
    </row>
    <row r="94" spans="1:16" ht="17" thickBot="1" x14ac:dyDescent="0.25">
      <c r="A94" s="9" t="s">
        <v>239</v>
      </c>
      <c r="B94" s="76" t="s">
        <v>857</v>
      </c>
      <c r="C94" s="9" t="s">
        <v>36</v>
      </c>
      <c r="D94" s="9" t="s">
        <v>163</v>
      </c>
      <c r="E94" s="9">
        <v>40</v>
      </c>
      <c r="F94" s="106">
        <v>5452</v>
      </c>
      <c r="G94" s="106">
        <f t="shared" si="5"/>
        <v>218080</v>
      </c>
      <c r="H94" s="18">
        <v>10</v>
      </c>
      <c r="I94" s="178">
        <v>5452</v>
      </c>
      <c r="J94" s="178">
        <f t="shared" si="6"/>
        <v>54520</v>
      </c>
      <c r="K94" s="92"/>
      <c r="L94" s="246">
        <v>5452</v>
      </c>
      <c r="M94" s="246">
        <f t="shared" si="7"/>
        <v>0</v>
      </c>
      <c r="N94" s="23">
        <v>10</v>
      </c>
      <c r="O94" s="241">
        <v>5452</v>
      </c>
      <c r="P94" s="241">
        <f t="shared" si="8"/>
        <v>54520</v>
      </c>
    </row>
    <row r="95" spans="1:16" ht="17" thickBot="1" x14ac:dyDescent="0.25">
      <c r="A95" s="9" t="s">
        <v>240</v>
      </c>
      <c r="B95" s="76" t="s">
        <v>1524</v>
      </c>
      <c r="C95" s="9" t="s">
        <v>36</v>
      </c>
      <c r="D95" s="9" t="s">
        <v>411</v>
      </c>
      <c r="E95" s="9">
        <v>40</v>
      </c>
      <c r="F95" s="106">
        <v>3103</v>
      </c>
      <c r="G95" s="106">
        <f t="shared" si="5"/>
        <v>124120</v>
      </c>
      <c r="H95" s="18"/>
      <c r="I95" s="178">
        <v>3103</v>
      </c>
      <c r="J95" s="178">
        <f t="shared" si="6"/>
        <v>0</v>
      </c>
      <c r="K95" s="92"/>
      <c r="L95" s="246">
        <v>3103</v>
      </c>
      <c r="M95" s="246">
        <f t="shared" si="7"/>
        <v>0</v>
      </c>
      <c r="N95" s="23"/>
      <c r="O95" s="241">
        <v>3103</v>
      </c>
      <c r="P95" s="241">
        <f t="shared" si="8"/>
        <v>0</v>
      </c>
    </row>
    <row r="96" spans="1:16" ht="17" thickBot="1" x14ac:dyDescent="0.25">
      <c r="A96" s="9" t="s">
        <v>45</v>
      </c>
      <c r="B96" s="76" t="s">
        <v>880</v>
      </c>
      <c r="C96" s="9" t="s">
        <v>36</v>
      </c>
      <c r="D96" s="9" t="s">
        <v>198</v>
      </c>
      <c r="E96" s="9">
        <v>20</v>
      </c>
      <c r="F96" s="106">
        <v>11484</v>
      </c>
      <c r="G96" s="106">
        <f t="shared" si="5"/>
        <v>229680</v>
      </c>
      <c r="H96" s="18"/>
      <c r="I96" s="178">
        <v>11484</v>
      </c>
      <c r="J96" s="178">
        <f t="shared" si="6"/>
        <v>0</v>
      </c>
      <c r="K96" s="92"/>
      <c r="L96" s="246">
        <v>11484</v>
      </c>
      <c r="M96" s="246">
        <f t="shared" si="7"/>
        <v>0</v>
      </c>
      <c r="N96" s="23">
        <v>10</v>
      </c>
      <c r="O96" s="241">
        <v>11484</v>
      </c>
      <c r="P96" s="241">
        <f t="shared" si="8"/>
        <v>114840</v>
      </c>
    </row>
    <row r="97" spans="1:16" ht="17" thickBot="1" x14ac:dyDescent="0.25">
      <c r="A97" s="9" t="s">
        <v>239</v>
      </c>
      <c r="B97" s="76" t="s">
        <v>854</v>
      </c>
      <c r="C97" s="9" t="s">
        <v>36</v>
      </c>
      <c r="D97" s="9" t="s">
        <v>110</v>
      </c>
      <c r="E97" s="9">
        <v>40</v>
      </c>
      <c r="F97" s="106">
        <v>5452</v>
      </c>
      <c r="G97" s="106">
        <f t="shared" si="5"/>
        <v>218080</v>
      </c>
      <c r="H97" s="18">
        <v>10</v>
      </c>
      <c r="I97" s="178">
        <v>5452</v>
      </c>
      <c r="J97" s="178">
        <f t="shared" si="6"/>
        <v>54520</v>
      </c>
      <c r="K97" s="92"/>
      <c r="L97" s="246">
        <v>5452</v>
      </c>
      <c r="M97" s="246">
        <f t="shared" si="7"/>
        <v>0</v>
      </c>
      <c r="N97" s="23">
        <v>10</v>
      </c>
      <c r="O97" s="241">
        <v>5452</v>
      </c>
      <c r="P97" s="241">
        <f t="shared" si="8"/>
        <v>54520</v>
      </c>
    </row>
    <row r="98" spans="1:16" ht="17" thickBot="1" x14ac:dyDescent="0.25">
      <c r="A98" s="9" t="s">
        <v>240</v>
      </c>
      <c r="B98" s="76" t="s">
        <v>881</v>
      </c>
      <c r="C98" s="9" t="s">
        <v>36</v>
      </c>
      <c r="D98" s="9" t="s">
        <v>169</v>
      </c>
      <c r="E98" s="9">
        <v>40</v>
      </c>
      <c r="F98" s="106">
        <v>10904</v>
      </c>
      <c r="G98" s="106">
        <f t="shared" si="5"/>
        <v>436160</v>
      </c>
      <c r="H98" s="18"/>
      <c r="I98" s="178">
        <v>10904</v>
      </c>
      <c r="J98" s="178">
        <f t="shared" si="6"/>
        <v>0</v>
      </c>
      <c r="K98" s="92">
        <v>18</v>
      </c>
      <c r="L98" s="246">
        <v>10904</v>
      </c>
      <c r="M98" s="246">
        <f t="shared" si="7"/>
        <v>196272</v>
      </c>
      <c r="N98" s="23"/>
      <c r="O98" s="241">
        <v>10904</v>
      </c>
      <c r="P98" s="241">
        <f t="shared" si="8"/>
        <v>0</v>
      </c>
    </row>
    <row r="99" spans="1:16" ht="17" thickBot="1" x14ac:dyDescent="0.25">
      <c r="A99" s="9" t="s">
        <v>285</v>
      </c>
      <c r="B99" s="76" t="s">
        <v>1362</v>
      </c>
      <c r="C99" s="9" t="s">
        <v>36</v>
      </c>
      <c r="D99" s="9" t="s">
        <v>298</v>
      </c>
      <c r="E99" s="9">
        <v>40</v>
      </c>
      <c r="F99" s="106">
        <v>14848</v>
      </c>
      <c r="G99" s="106">
        <f t="shared" si="5"/>
        <v>593920</v>
      </c>
      <c r="H99" s="18">
        <v>10</v>
      </c>
      <c r="I99" s="178">
        <v>14848</v>
      </c>
      <c r="J99" s="178">
        <f t="shared" si="6"/>
        <v>148480</v>
      </c>
      <c r="K99" s="92"/>
      <c r="L99" s="246">
        <v>14848</v>
      </c>
      <c r="M99" s="246">
        <f t="shared" si="7"/>
        <v>0</v>
      </c>
      <c r="N99" s="23">
        <v>10</v>
      </c>
      <c r="O99" s="241">
        <v>14848</v>
      </c>
      <c r="P99" s="241">
        <f t="shared" si="8"/>
        <v>148480</v>
      </c>
    </row>
    <row r="100" spans="1:16" ht="17" thickBot="1" x14ac:dyDescent="0.25">
      <c r="A100" s="9" t="s">
        <v>243</v>
      </c>
      <c r="B100" s="76" t="s">
        <v>884</v>
      </c>
      <c r="C100" s="9" t="s">
        <v>36</v>
      </c>
      <c r="D100" s="9" t="s">
        <v>125</v>
      </c>
      <c r="E100" s="9">
        <v>20</v>
      </c>
      <c r="F100" s="106">
        <v>7772</v>
      </c>
      <c r="G100" s="106">
        <f t="shared" si="5"/>
        <v>155440</v>
      </c>
      <c r="H100" s="18">
        <v>5</v>
      </c>
      <c r="I100" s="178">
        <v>7772</v>
      </c>
      <c r="J100" s="178">
        <f t="shared" si="6"/>
        <v>38860</v>
      </c>
      <c r="K100" s="92"/>
      <c r="L100" s="246">
        <v>7772</v>
      </c>
      <c r="M100" s="246">
        <f t="shared" si="7"/>
        <v>0</v>
      </c>
      <c r="N100" s="23">
        <v>6</v>
      </c>
      <c r="O100" s="241">
        <v>7772</v>
      </c>
      <c r="P100" s="241">
        <f t="shared" si="8"/>
        <v>46632</v>
      </c>
    </row>
    <row r="101" spans="1:16" ht="17" thickBot="1" x14ac:dyDescent="0.25">
      <c r="A101" s="9" t="s">
        <v>1146</v>
      </c>
      <c r="B101" s="76" t="s">
        <v>878</v>
      </c>
      <c r="C101" s="9" t="s">
        <v>36</v>
      </c>
      <c r="D101" s="9" t="s">
        <v>244</v>
      </c>
      <c r="E101" s="9">
        <v>20</v>
      </c>
      <c r="F101" s="106">
        <v>17400</v>
      </c>
      <c r="G101" s="106">
        <f t="shared" si="5"/>
        <v>348000</v>
      </c>
      <c r="H101" s="18"/>
      <c r="I101" s="178">
        <v>17400</v>
      </c>
      <c r="J101" s="178">
        <f t="shared" si="6"/>
        <v>0</v>
      </c>
      <c r="K101" s="92"/>
      <c r="L101" s="246">
        <v>17400</v>
      </c>
      <c r="M101" s="246">
        <f t="shared" si="7"/>
        <v>0</v>
      </c>
      <c r="N101" s="23">
        <v>6</v>
      </c>
      <c r="O101" s="241">
        <v>17400</v>
      </c>
      <c r="P101" s="241">
        <f t="shared" si="8"/>
        <v>104400</v>
      </c>
    </row>
    <row r="102" spans="1:16" ht="17" thickBot="1" x14ac:dyDescent="0.25">
      <c r="A102" s="9" t="s">
        <v>1145</v>
      </c>
      <c r="B102" s="76" t="s">
        <v>846</v>
      </c>
      <c r="C102" s="9" t="s">
        <v>36</v>
      </c>
      <c r="D102" s="9" t="s">
        <v>41</v>
      </c>
      <c r="E102" s="9">
        <v>20</v>
      </c>
      <c r="F102" s="106">
        <v>17400</v>
      </c>
      <c r="G102" s="106">
        <f t="shared" si="5"/>
        <v>348000</v>
      </c>
      <c r="H102" s="18"/>
      <c r="I102" s="178">
        <v>17400</v>
      </c>
      <c r="J102" s="178">
        <f t="shared" si="6"/>
        <v>0</v>
      </c>
      <c r="K102" s="92"/>
      <c r="L102" s="246">
        <v>17400</v>
      </c>
      <c r="M102" s="246">
        <f t="shared" si="7"/>
        <v>0</v>
      </c>
      <c r="N102" s="23">
        <v>6</v>
      </c>
      <c r="O102" s="241">
        <v>17400</v>
      </c>
      <c r="P102" s="241">
        <f t="shared" si="8"/>
        <v>104400</v>
      </c>
    </row>
    <row r="103" spans="1:16" ht="17" thickBot="1" x14ac:dyDescent="0.25">
      <c r="A103" s="9" t="s">
        <v>1144</v>
      </c>
      <c r="B103" s="76" t="s">
        <v>835</v>
      </c>
      <c r="C103" s="9" t="s">
        <v>36</v>
      </c>
      <c r="D103" s="9" t="s">
        <v>297</v>
      </c>
      <c r="E103" s="9">
        <v>100</v>
      </c>
      <c r="F103" s="106">
        <v>3323.4</v>
      </c>
      <c r="G103" s="106">
        <f t="shared" si="5"/>
        <v>332340</v>
      </c>
      <c r="H103" s="18"/>
      <c r="I103" s="178">
        <v>3323.4</v>
      </c>
      <c r="J103" s="178">
        <f t="shared" si="6"/>
        <v>0</v>
      </c>
      <c r="K103" s="92"/>
      <c r="L103" s="246">
        <v>3323.4</v>
      </c>
      <c r="M103" s="246">
        <f t="shared" si="7"/>
        <v>0</v>
      </c>
      <c r="N103" s="23">
        <v>24</v>
      </c>
      <c r="O103" s="241">
        <v>3323.4</v>
      </c>
      <c r="P103" s="241">
        <f t="shared" si="8"/>
        <v>79761.600000000006</v>
      </c>
    </row>
    <row r="104" spans="1:16" ht="17" thickBot="1" x14ac:dyDescent="0.25">
      <c r="A104" s="9" t="s">
        <v>1099</v>
      </c>
      <c r="B104" s="76" t="s">
        <v>849</v>
      </c>
      <c r="C104" s="9" t="s">
        <v>36</v>
      </c>
      <c r="D104" s="9" t="s">
        <v>122</v>
      </c>
      <c r="E104" s="9">
        <v>40</v>
      </c>
      <c r="F104" s="106">
        <v>3700.4</v>
      </c>
      <c r="G104" s="106">
        <f t="shared" si="5"/>
        <v>148016</v>
      </c>
      <c r="H104" s="18">
        <v>10</v>
      </c>
      <c r="I104" s="178">
        <v>3700.4</v>
      </c>
      <c r="J104" s="178">
        <f t="shared" si="6"/>
        <v>37004</v>
      </c>
      <c r="K104" s="92"/>
      <c r="L104" s="246">
        <v>3700.4</v>
      </c>
      <c r="M104" s="246">
        <f t="shared" si="7"/>
        <v>0</v>
      </c>
      <c r="N104" s="23">
        <v>10</v>
      </c>
      <c r="O104" s="241">
        <v>3700.4</v>
      </c>
      <c r="P104" s="241">
        <f t="shared" si="8"/>
        <v>37004</v>
      </c>
    </row>
    <row r="105" spans="1:16" ht="17" thickBot="1" x14ac:dyDescent="0.25">
      <c r="G105" s="103">
        <f>SUM(G86:G104)</f>
        <v>5546192</v>
      </c>
      <c r="J105" s="114">
        <f>SUM(J86:J104)</f>
        <v>573649</v>
      </c>
      <c r="M105" s="170">
        <f>SUM(M86:M104)</f>
        <v>421636.8</v>
      </c>
      <c r="P105" s="244">
        <f>SUM(P86:P104)</f>
        <v>1311873</v>
      </c>
    </row>
    <row r="107" spans="1:16" ht="17" thickBot="1" x14ac:dyDescent="0.25">
      <c r="A107" s="30" t="s">
        <v>1179</v>
      </c>
      <c r="B107" s="74"/>
      <c r="C107" s="2" t="s">
        <v>1178</v>
      </c>
      <c r="D107" s="2" t="s">
        <v>1177</v>
      </c>
    </row>
    <row r="108" spans="1:16" ht="17" thickBot="1" x14ac:dyDescent="0.25">
      <c r="A108" s="9" t="s">
        <v>1176</v>
      </c>
      <c r="B108" s="76" t="s">
        <v>1552</v>
      </c>
      <c r="C108" s="9" t="s">
        <v>36</v>
      </c>
      <c r="D108" s="9" t="s">
        <v>1175</v>
      </c>
      <c r="E108" s="9">
        <v>130</v>
      </c>
      <c r="F108" s="10">
        <v>126440</v>
      </c>
      <c r="G108" s="12">
        <f>F108*E108</f>
        <v>16437200</v>
      </c>
    </row>
    <row r="110" spans="1:16" ht="17" thickBot="1" x14ac:dyDescent="0.25">
      <c r="A110" s="30" t="s">
        <v>1547</v>
      </c>
      <c r="B110" s="74"/>
      <c r="F110" s="3"/>
      <c r="G110" s="3"/>
    </row>
    <row r="111" spans="1:16" ht="17" thickBot="1" x14ac:dyDescent="0.25">
      <c r="A111" s="9" t="s">
        <v>642</v>
      </c>
      <c r="B111" s="76" t="s">
        <v>1564</v>
      </c>
      <c r="C111" s="9" t="s">
        <v>4</v>
      </c>
      <c r="D111" s="9" t="s">
        <v>1147</v>
      </c>
      <c r="E111" s="9">
        <v>150</v>
      </c>
      <c r="F111" s="20">
        <v>5914.84</v>
      </c>
      <c r="G111" s="20">
        <f>E111*F111</f>
        <v>887226</v>
      </c>
      <c r="H111" s="18">
        <v>12</v>
      </c>
      <c r="I111" s="19">
        <v>5914.84</v>
      </c>
      <c r="J111" s="19">
        <f>H111*I111</f>
        <v>70978.080000000002</v>
      </c>
      <c r="K111" s="92">
        <v>48</v>
      </c>
      <c r="L111" s="93">
        <v>5914.84</v>
      </c>
      <c r="M111" s="93">
        <f>K111*L111</f>
        <v>283912.32000000001</v>
      </c>
    </row>
    <row r="112" spans="1:16" ht="17" thickBot="1" x14ac:dyDescent="0.25">
      <c r="A112" s="9" t="s">
        <v>1548</v>
      </c>
      <c r="B112" s="76" t="s">
        <v>840</v>
      </c>
      <c r="C112" s="9" t="s">
        <v>4</v>
      </c>
      <c r="D112" s="9" t="s">
        <v>305</v>
      </c>
      <c r="E112" s="9">
        <v>36</v>
      </c>
      <c r="F112" s="20">
        <v>11356.4</v>
      </c>
      <c r="G112" s="20">
        <f t="shared" ref="G112:G129" si="9">E112*F112</f>
        <v>408830.39999999997</v>
      </c>
      <c r="H112" s="18"/>
      <c r="I112" s="19">
        <v>11356.4</v>
      </c>
      <c r="J112" s="19">
        <f t="shared" ref="J112:J129" si="10">H112*I112</f>
        <v>0</v>
      </c>
      <c r="K112" s="92">
        <v>9</v>
      </c>
      <c r="L112" s="93">
        <v>11356.4</v>
      </c>
      <c r="M112" s="93">
        <f t="shared" ref="M112:M129" si="11">K112*L112</f>
        <v>102207.59999999999</v>
      </c>
    </row>
    <row r="113" spans="1:13" ht="17" thickBot="1" x14ac:dyDescent="0.25">
      <c r="A113" s="9" t="s">
        <v>1548</v>
      </c>
      <c r="B113" s="76" t="s">
        <v>881</v>
      </c>
      <c r="C113" s="9" t="s">
        <v>36</v>
      </c>
      <c r="D113" s="9" t="s">
        <v>169</v>
      </c>
      <c r="E113" s="9">
        <v>180</v>
      </c>
      <c r="F113" s="20">
        <v>11368</v>
      </c>
      <c r="G113" s="20">
        <f t="shared" si="9"/>
        <v>2046240</v>
      </c>
      <c r="H113" s="18">
        <v>12</v>
      </c>
      <c r="I113" s="19">
        <v>11368</v>
      </c>
      <c r="J113" s="19">
        <f t="shared" si="10"/>
        <v>136416</v>
      </c>
      <c r="K113" s="92">
        <v>30</v>
      </c>
      <c r="L113" s="93">
        <v>11368</v>
      </c>
      <c r="M113" s="93">
        <f t="shared" si="11"/>
        <v>341040</v>
      </c>
    </row>
    <row r="114" spans="1:13" ht="17" thickBot="1" x14ac:dyDescent="0.25">
      <c r="A114" s="9" t="s">
        <v>63</v>
      </c>
      <c r="B114" s="76" t="s">
        <v>832</v>
      </c>
      <c r="C114" s="9" t="s">
        <v>36</v>
      </c>
      <c r="D114" s="9" t="s">
        <v>40</v>
      </c>
      <c r="E114" s="9">
        <v>180</v>
      </c>
      <c r="F114" s="20">
        <v>858.4</v>
      </c>
      <c r="G114" s="20">
        <f t="shared" si="9"/>
        <v>154512</v>
      </c>
      <c r="H114" s="18">
        <v>48</v>
      </c>
      <c r="I114" s="19">
        <v>858.4</v>
      </c>
      <c r="J114" s="19">
        <f t="shared" si="10"/>
        <v>41203.199999999997</v>
      </c>
      <c r="K114" s="92">
        <v>48</v>
      </c>
      <c r="L114" s="93">
        <v>858.4</v>
      </c>
      <c r="M114" s="93">
        <f t="shared" si="11"/>
        <v>41203.199999999997</v>
      </c>
    </row>
    <row r="115" spans="1:13" ht="17" thickBot="1" x14ac:dyDescent="0.25">
      <c r="A115" s="9" t="s">
        <v>161</v>
      </c>
      <c r="B115" s="76" t="s">
        <v>910</v>
      </c>
      <c r="C115" s="9" t="s">
        <v>36</v>
      </c>
      <c r="D115" s="9" t="s">
        <v>116</v>
      </c>
      <c r="E115" s="9">
        <v>90</v>
      </c>
      <c r="F115" s="20">
        <v>20764</v>
      </c>
      <c r="G115" s="20">
        <f t="shared" si="9"/>
        <v>1868760</v>
      </c>
      <c r="H115" s="18">
        <v>7</v>
      </c>
      <c r="I115" s="19">
        <v>20764</v>
      </c>
      <c r="J115" s="19">
        <f t="shared" si="10"/>
        <v>145348</v>
      </c>
      <c r="K115" s="92"/>
      <c r="L115" s="93">
        <v>20764</v>
      </c>
      <c r="M115" s="93">
        <f t="shared" si="11"/>
        <v>0</v>
      </c>
    </row>
    <row r="116" spans="1:13" ht="17" thickBot="1" x14ac:dyDescent="0.25">
      <c r="A116" s="9" t="s">
        <v>1383</v>
      </c>
      <c r="B116" s="76" t="s">
        <v>835</v>
      </c>
      <c r="C116" s="9" t="s">
        <v>36</v>
      </c>
      <c r="D116" s="9" t="s">
        <v>297</v>
      </c>
      <c r="E116" s="9">
        <v>36</v>
      </c>
      <c r="F116" s="20">
        <v>3317.6</v>
      </c>
      <c r="G116" s="20">
        <f t="shared" si="9"/>
        <v>119433.59999999999</v>
      </c>
      <c r="H116" s="18"/>
      <c r="I116" s="19">
        <v>3317.6</v>
      </c>
      <c r="J116" s="19">
        <f t="shared" si="10"/>
        <v>0</v>
      </c>
      <c r="K116" s="92">
        <v>12</v>
      </c>
      <c r="L116" s="93">
        <v>3317.6</v>
      </c>
      <c r="M116" s="93">
        <f t="shared" si="11"/>
        <v>39811.199999999997</v>
      </c>
    </row>
    <row r="117" spans="1:13" ht="17" thickBot="1" x14ac:dyDescent="0.25">
      <c r="A117" s="9" t="s">
        <v>617</v>
      </c>
      <c r="B117" s="76" t="s">
        <v>862</v>
      </c>
      <c r="C117" s="9" t="s">
        <v>36</v>
      </c>
      <c r="D117" s="9" t="s">
        <v>296</v>
      </c>
      <c r="E117" s="9">
        <v>90</v>
      </c>
      <c r="F117" s="20">
        <v>8050.4</v>
      </c>
      <c r="G117" s="20">
        <f t="shared" si="9"/>
        <v>724536</v>
      </c>
      <c r="H117" s="18">
        <v>30</v>
      </c>
      <c r="I117" s="19">
        <v>8050.4</v>
      </c>
      <c r="J117" s="19">
        <f t="shared" si="10"/>
        <v>241512</v>
      </c>
      <c r="K117" s="92">
        <v>30</v>
      </c>
      <c r="L117" s="93">
        <v>8050.4</v>
      </c>
      <c r="M117" s="93">
        <f t="shared" si="11"/>
        <v>241512</v>
      </c>
    </row>
    <row r="118" spans="1:13" ht="17" thickBot="1" x14ac:dyDescent="0.25">
      <c r="A118" s="9" t="s">
        <v>61</v>
      </c>
      <c r="B118" s="76" t="s">
        <v>883</v>
      </c>
      <c r="C118" s="9" t="s">
        <v>36</v>
      </c>
      <c r="D118" s="9" t="s">
        <v>303</v>
      </c>
      <c r="E118" s="9">
        <v>90</v>
      </c>
      <c r="F118" s="20">
        <v>6496</v>
      </c>
      <c r="G118" s="20">
        <f t="shared" si="9"/>
        <v>584640</v>
      </c>
      <c r="H118" s="18"/>
      <c r="I118" s="19">
        <v>6496</v>
      </c>
      <c r="J118" s="19">
        <f t="shared" si="10"/>
        <v>0</v>
      </c>
      <c r="K118" s="92">
        <v>15</v>
      </c>
      <c r="L118" s="93">
        <v>6496</v>
      </c>
      <c r="M118" s="93">
        <f t="shared" si="11"/>
        <v>97440</v>
      </c>
    </row>
    <row r="119" spans="1:13" ht="17" thickBot="1" x14ac:dyDescent="0.25">
      <c r="A119" s="9" t="s">
        <v>48</v>
      </c>
      <c r="B119" s="76" t="s">
        <v>2037</v>
      </c>
      <c r="C119" s="9" t="s">
        <v>4</v>
      </c>
      <c r="D119" s="9" t="s">
        <v>404</v>
      </c>
      <c r="E119" s="9">
        <v>36</v>
      </c>
      <c r="F119" s="20">
        <v>14836.4</v>
      </c>
      <c r="G119" s="20">
        <f t="shared" si="9"/>
        <v>534110.4</v>
      </c>
      <c r="H119" s="18">
        <v>12</v>
      </c>
      <c r="I119" s="19">
        <v>14836.4</v>
      </c>
      <c r="J119" s="19">
        <f t="shared" si="10"/>
        <v>178036.8</v>
      </c>
      <c r="K119" s="92">
        <v>12</v>
      </c>
      <c r="L119" s="93">
        <v>14836.4</v>
      </c>
      <c r="M119" s="93">
        <f t="shared" si="11"/>
        <v>178036.8</v>
      </c>
    </row>
    <row r="120" spans="1:13" ht="17" thickBot="1" x14ac:dyDescent="0.25">
      <c r="A120" s="9" t="s">
        <v>1549</v>
      </c>
      <c r="B120" s="76" t="s">
        <v>1960</v>
      </c>
      <c r="C120" s="9" t="s">
        <v>4</v>
      </c>
      <c r="D120" s="9" t="s">
        <v>309</v>
      </c>
      <c r="E120" s="9">
        <v>60</v>
      </c>
      <c r="F120" s="20">
        <v>3700.4</v>
      </c>
      <c r="G120" s="20">
        <f t="shared" si="9"/>
        <v>222024</v>
      </c>
      <c r="H120" s="18">
        <v>18</v>
      </c>
      <c r="I120" s="19">
        <v>3700.4</v>
      </c>
      <c r="J120" s="19">
        <f t="shared" si="10"/>
        <v>66607.199999999997</v>
      </c>
      <c r="K120" s="92"/>
      <c r="L120" s="93">
        <v>3700.4</v>
      </c>
      <c r="M120" s="93">
        <f t="shared" si="11"/>
        <v>0</v>
      </c>
    </row>
    <row r="121" spans="1:13" ht="17" thickBot="1" x14ac:dyDescent="0.25">
      <c r="A121" s="9" t="s">
        <v>161</v>
      </c>
      <c r="B121" s="76" t="s">
        <v>1334</v>
      </c>
      <c r="C121" s="9" t="s">
        <v>36</v>
      </c>
      <c r="D121" s="9" t="s">
        <v>120</v>
      </c>
      <c r="E121" s="9">
        <v>90</v>
      </c>
      <c r="F121" s="20">
        <v>15428</v>
      </c>
      <c r="G121" s="20">
        <f t="shared" si="9"/>
        <v>1388520</v>
      </c>
      <c r="H121" s="18">
        <v>6</v>
      </c>
      <c r="I121" s="19">
        <v>15428</v>
      </c>
      <c r="J121" s="19">
        <f t="shared" si="10"/>
        <v>92568</v>
      </c>
      <c r="K121" s="92"/>
      <c r="L121" s="93">
        <v>15428</v>
      </c>
      <c r="M121" s="93">
        <f t="shared" si="11"/>
        <v>0</v>
      </c>
    </row>
    <row r="122" spans="1:13" ht="17" thickBot="1" x14ac:dyDescent="0.25">
      <c r="A122" s="9" t="s">
        <v>740</v>
      </c>
      <c r="B122" s="76" t="s">
        <v>920</v>
      </c>
      <c r="C122" s="9" t="s">
        <v>4</v>
      </c>
      <c r="D122" s="9" t="s">
        <v>204</v>
      </c>
      <c r="E122" s="9">
        <v>72</v>
      </c>
      <c r="F122" s="20">
        <v>12690.4</v>
      </c>
      <c r="G122" s="20">
        <f t="shared" si="9"/>
        <v>913708.79999999993</v>
      </c>
      <c r="H122" s="18">
        <v>18</v>
      </c>
      <c r="I122" s="19">
        <v>12690.4</v>
      </c>
      <c r="J122" s="19">
        <f t="shared" si="10"/>
        <v>228427.19999999998</v>
      </c>
      <c r="K122" s="92"/>
      <c r="L122" s="93">
        <v>12690.4</v>
      </c>
      <c r="M122" s="93">
        <f t="shared" si="11"/>
        <v>0</v>
      </c>
    </row>
    <row r="123" spans="1:13" ht="17" thickBot="1" x14ac:dyDescent="0.25">
      <c r="A123" s="9" t="s">
        <v>63</v>
      </c>
      <c r="B123" s="76" t="s">
        <v>832</v>
      </c>
      <c r="C123" s="9" t="s">
        <v>36</v>
      </c>
      <c r="D123" s="9" t="s">
        <v>327</v>
      </c>
      <c r="E123" s="9">
        <v>300</v>
      </c>
      <c r="F123" s="20">
        <v>800.4</v>
      </c>
      <c r="G123" s="20">
        <f t="shared" si="9"/>
        <v>240120</v>
      </c>
      <c r="H123" s="18"/>
      <c r="I123" s="19">
        <v>800.4</v>
      </c>
      <c r="J123" s="19">
        <f t="shared" si="10"/>
        <v>0</v>
      </c>
      <c r="K123" s="92">
        <v>100</v>
      </c>
      <c r="L123" s="93">
        <v>800.4</v>
      </c>
      <c r="M123" s="93">
        <f t="shared" si="11"/>
        <v>80040</v>
      </c>
    </row>
    <row r="124" spans="1:13" ht="17" thickBot="1" x14ac:dyDescent="0.25">
      <c r="A124" s="9" t="s">
        <v>156</v>
      </c>
      <c r="B124" s="76" t="s">
        <v>857</v>
      </c>
      <c r="C124" s="9" t="s">
        <v>4</v>
      </c>
      <c r="D124" s="9" t="s">
        <v>338</v>
      </c>
      <c r="E124" s="9">
        <v>34</v>
      </c>
      <c r="F124" s="20">
        <v>16704</v>
      </c>
      <c r="G124" s="20">
        <f t="shared" si="9"/>
        <v>567936</v>
      </c>
      <c r="H124" s="18">
        <v>10</v>
      </c>
      <c r="I124" s="19">
        <v>16704</v>
      </c>
      <c r="J124" s="19">
        <f t="shared" si="10"/>
        <v>167040</v>
      </c>
      <c r="K124" s="92">
        <v>18</v>
      </c>
      <c r="L124" s="93">
        <v>16704</v>
      </c>
      <c r="M124" s="93">
        <f t="shared" si="11"/>
        <v>300672</v>
      </c>
    </row>
    <row r="125" spans="1:13" ht="17" thickBot="1" x14ac:dyDescent="0.25">
      <c r="A125" s="9" t="s">
        <v>617</v>
      </c>
      <c r="B125" s="76" t="s">
        <v>2142</v>
      </c>
      <c r="C125" s="9" t="s">
        <v>4</v>
      </c>
      <c r="D125" s="9" t="s">
        <v>1160</v>
      </c>
      <c r="E125" s="9">
        <v>36</v>
      </c>
      <c r="F125" s="20">
        <v>11716</v>
      </c>
      <c r="G125" s="20">
        <f t="shared" si="9"/>
        <v>421776</v>
      </c>
      <c r="H125" s="18">
        <v>9</v>
      </c>
      <c r="I125" s="19">
        <v>11716</v>
      </c>
      <c r="J125" s="19">
        <f t="shared" si="10"/>
        <v>105444</v>
      </c>
      <c r="K125" s="92">
        <v>20</v>
      </c>
      <c r="L125" s="93">
        <v>11716</v>
      </c>
      <c r="M125" s="93">
        <f t="shared" si="11"/>
        <v>234320</v>
      </c>
    </row>
    <row r="126" spans="1:13" ht="17" thickBot="1" x14ac:dyDescent="0.25">
      <c r="A126" s="9" t="s">
        <v>1538</v>
      </c>
      <c r="B126" s="76" t="s">
        <v>887</v>
      </c>
      <c r="C126" s="9" t="s">
        <v>36</v>
      </c>
      <c r="D126" s="9" t="s">
        <v>302</v>
      </c>
      <c r="E126" s="9">
        <v>84</v>
      </c>
      <c r="F126" s="20">
        <v>15538.2</v>
      </c>
      <c r="G126" s="20">
        <f t="shared" si="9"/>
        <v>1305208.8</v>
      </c>
      <c r="H126" s="18">
        <v>22</v>
      </c>
      <c r="I126" s="19">
        <v>15538.2</v>
      </c>
      <c r="J126" s="19">
        <f t="shared" si="10"/>
        <v>341840.4</v>
      </c>
      <c r="K126" s="92"/>
      <c r="L126" s="93">
        <v>15538.2</v>
      </c>
      <c r="M126" s="93">
        <f t="shared" si="11"/>
        <v>0</v>
      </c>
    </row>
    <row r="127" spans="1:13" ht="17" thickBot="1" x14ac:dyDescent="0.25">
      <c r="A127" s="9" t="s">
        <v>161</v>
      </c>
      <c r="B127" s="76" t="s">
        <v>1339</v>
      </c>
      <c r="C127" s="9" t="s">
        <v>36</v>
      </c>
      <c r="D127" s="9" t="s">
        <v>112</v>
      </c>
      <c r="E127" s="9">
        <v>72</v>
      </c>
      <c r="F127" s="20">
        <v>15776</v>
      </c>
      <c r="G127" s="20">
        <f t="shared" si="9"/>
        <v>1135872</v>
      </c>
      <c r="H127" s="18">
        <v>12</v>
      </c>
      <c r="I127" s="19">
        <v>15776</v>
      </c>
      <c r="J127" s="19">
        <f t="shared" si="10"/>
        <v>189312</v>
      </c>
      <c r="K127" s="92"/>
      <c r="L127" s="93">
        <v>15776</v>
      </c>
      <c r="M127" s="93">
        <f t="shared" si="11"/>
        <v>0</v>
      </c>
    </row>
    <row r="128" spans="1:13" ht="17" thickBot="1" x14ac:dyDescent="0.25">
      <c r="A128" s="9" t="s">
        <v>1550</v>
      </c>
      <c r="B128" s="76" t="s">
        <v>1361</v>
      </c>
      <c r="C128" s="9" t="s">
        <v>4</v>
      </c>
      <c r="D128" s="133" t="s">
        <v>312</v>
      </c>
      <c r="E128" s="9">
        <v>30</v>
      </c>
      <c r="F128" s="20">
        <v>21634</v>
      </c>
      <c r="G128" s="20">
        <f t="shared" si="9"/>
        <v>649020</v>
      </c>
      <c r="H128" s="18">
        <v>12</v>
      </c>
      <c r="I128" s="19">
        <v>21634</v>
      </c>
      <c r="J128" s="19">
        <f t="shared" si="10"/>
        <v>259608</v>
      </c>
      <c r="K128" s="92">
        <v>18</v>
      </c>
      <c r="L128" s="93">
        <v>21634</v>
      </c>
      <c r="M128" s="93">
        <f t="shared" si="11"/>
        <v>389412</v>
      </c>
    </row>
    <row r="129" spans="1:13" ht="17" thickBot="1" x14ac:dyDescent="0.25">
      <c r="A129" s="9" t="s">
        <v>435</v>
      </c>
      <c r="B129" s="76" t="s">
        <v>947</v>
      </c>
      <c r="C129" s="9" t="s">
        <v>4</v>
      </c>
      <c r="D129" s="9" t="s">
        <v>994</v>
      </c>
      <c r="E129" s="9">
        <v>36</v>
      </c>
      <c r="F129" s="20">
        <v>6971.6</v>
      </c>
      <c r="G129" s="20">
        <f t="shared" si="9"/>
        <v>250977.6</v>
      </c>
      <c r="H129" s="18"/>
      <c r="I129" s="19">
        <v>6971.6</v>
      </c>
      <c r="J129" s="19">
        <f t="shared" si="10"/>
        <v>0</v>
      </c>
      <c r="K129" s="92">
        <v>9</v>
      </c>
      <c r="L129" s="93">
        <v>6971.6</v>
      </c>
      <c r="M129" s="93">
        <f t="shared" si="11"/>
        <v>62744.4</v>
      </c>
    </row>
    <row r="130" spans="1:13" ht="17" thickBot="1" x14ac:dyDescent="0.25">
      <c r="F130" s="3"/>
      <c r="G130" s="58">
        <f>SUM(G111:G129)</f>
        <v>14423451.600000001</v>
      </c>
      <c r="J130" s="114">
        <f>SUM(J111:J129)</f>
        <v>2264340.88</v>
      </c>
      <c r="L130" s="3"/>
      <c r="M130" s="94">
        <f>SUM(M111:M129)</f>
        <v>2392351.52</v>
      </c>
    </row>
    <row r="140" spans="1:13" ht="17" thickBot="1" x14ac:dyDescent="0.25">
      <c r="A140" s="30" t="s">
        <v>1777</v>
      </c>
      <c r="B140" s="74"/>
      <c r="C140" s="2" t="s">
        <v>1196</v>
      </c>
      <c r="D140" s="2" t="s">
        <v>1197</v>
      </c>
    </row>
    <row r="141" spans="1:13" ht="17" thickBot="1" x14ac:dyDescent="0.25">
      <c r="A141" s="9" t="s">
        <v>1198</v>
      </c>
      <c r="B141" s="76"/>
      <c r="C141" s="9" t="s">
        <v>36</v>
      </c>
      <c r="D141" s="9"/>
      <c r="E141" s="9">
        <v>12</v>
      </c>
      <c r="F141" s="10">
        <v>6264</v>
      </c>
      <c r="G141" s="10">
        <f>F141*E141</f>
        <v>75168</v>
      </c>
      <c r="H141" s="92">
        <v>12</v>
      </c>
      <c r="I141" s="93">
        <v>6264</v>
      </c>
      <c r="J141" s="93">
        <f>I141*H141</f>
        <v>75168</v>
      </c>
      <c r="K141" s="18"/>
      <c r="L141" s="19">
        <v>6264</v>
      </c>
      <c r="M141" s="19">
        <f>L141*K141</f>
        <v>0</v>
      </c>
    </row>
    <row r="142" spans="1:13" ht="17" thickBot="1" x14ac:dyDescent="0.25">
      <c r="A142" s="9" t="s">
        <v>1199</v>
      </c>
      <c r="B142" s="76"/>
      <c r="C142" s="9" t="s">
        <v>36</v>
      </c>
      <c r="D142" s="9"/>
      <c r="E142" s="9">
        <v>12</v>
      </c>
      <c r="F142" s="10">
        <v>5452</v>
      </c>
      <c r="G142" s="10">
        <f t="shared" ref="G142:G149" si="12">F142*E142</f>
        <v>65424</v>
      </c>
      <c r="H142" s="92">
        <v>12</v>
      </c>
      <c r="I142" s="93">
        <v>5452</v>
      </c>
      <c r="J142" s="93">
        <f t="shared" ref="J142:J149" si="13">I142*H142</f>
        <v>65424</v>
      </c>
      <c r="K142" s="18"/>
      <c r="L142" s="19">
        <v>5452</v>
      </c>
      <c r="M142" s="19">
        <f t="shared" ref="M142:M149" si="14">L142*K142</f>
        <v>0</v>
      </c>
    </row>
    <row r="143" spans="1:13" ht="17" thickBot="1" x14ac:dyDescent="0.25">
      <c r="A143" s="9" t="s">
        <v>1200</v>
      </c>
      <c r="B143" s="76"/>
      <c r="C143" s="9" t="s">
        <v>36</v>
      </c>
      <c r="D143" s="9"/>
      <c r="E143" s="9">
        <v>10</v>
      </c>
      <c r="F143" s="10">
        <v>54752</v>
      </c>
      <c r="G143" s="10">
        <f t="shared" si="12"/>
        <v>547520</v>
      </c>
      <c r="H143" s="92">
        <v>10</v>
      </c>
      <c r="I143" s="93">
        <v>54752</v>
      </c>
      <c r="J143" s="93">
        <f t="shared" si="13"/>
        <v>547520</v>
      </c>
      <c r="K143" s="18"/>
      <c r="L143" s="19">
        <v>54752</v>
      </c>
      <c r="M143" s="19">
        <f t="shared" si="14"/>
        <v>0</v>
      </c>
    </row>
    <row r="144" spans="1:13" ht="17" thickBot="1" x14ac:dyDescent="0.25">
      <c r="A144" s="9" t="s">
        <v>1201</v>
      </c>
      <c r="B144" s="76"/>
      <c r="C144" s="9" t="s">
        <v>36</v>
      </c>
      <c r="D144" s="9"/>
      <c r="E144" s="9">
        <v>24</v>
      </c>
      <c r="F144" s="10">
        <v>8236</v>
      </c>
      <c r="G144" s="10">
        <f t="shared" si="12"/>
        <v>197664</v>
      </c>
      <c r="H144" s="92">
        <v>24</v>
      </c>
      <c r="I144" s="93">
        <v>8236</v>
      </c>
      <c r="J144" s="93">
        <f t="shared" si="13"/>
        <v>197664</v>
      </c>
      <c r="K144" s="18"/>
      <c r="L144" s="19">
        <v>8236</v>
      </c>
      <c r="M144" s="19">
        <f t="shared" si="14"/>
        <v>0</v>
      </c>
    </row>
    <row r="145" spans="1:19" ht="17" thickBot="1" x14ac:dyDescent="0.25">
      <c r="A145" s="9" t="s">
        <v>1202</v>
      </c>
      <c r="B145" s="76"/>
      <c r="C145" s="9" t="s">
        <v>36</v>
      </c>
      <c r="D145" s="9"/>
      <c r="E145" s="9">
        <v>12</v>
      </c>
      <c r="F145" s="10">
        <v>10092</v>
      </c>
      <c r="G145" s="10">
        <f t="shared" si="12"/>
        <v>121104</v>
      </c>
      <c r="H145" s="92"/>
      <c r="I145" s="93">
        <v>10092</v>
      </c>
      <c r="J145" s="93">
        <f t="shared" si="13"/>
        <v>0</v>
      </c>
      <c r="K145" s="18">
        <v>12</v>
      </c>
      <c r="L145" s="19">
        <v>10092</v>
      </c>
      <c r="M145" s="19">
        <f t="shared" si="14"/>
        <v>121104</v>
      </c>
    </row>
    <row r="146" spans="1:19" ht="17" thickBot="1" x14ac:dyDescent="0.25">
      <c r="A146" s="9" t="s">
        <v>1203</v>
      </c>
      <c r="B146" s="76"/>
      <c r="C146" s="9" t="s">
        <v>36</v>
      </c>
      <c r="D146" s="9"/>
      <c r="E146" s="9">
        <v>24</v>
      </c>
      <c r="F146" s="10">
        <v>2320</v>
      </c>
      <c r="G146" s="10">
        <f t="shared" si="12"/>
        <v>55680</v>
      </c>
      <c r="H146" s="92">
        <v>24</v>
      </c>
      <c r="I146" s="93">
        <v>2320</v>
      </c>
      <c r="J146" s="93">
        <f t="shared" si="13"/>
        <v>55680</v>
      </c>
      <c r="K146" s="18"/>
      <c r="L146" s="19">
        <v>2320</v>
      </c>
      <c r="M146" s="19">
        <f t="shared" si="14"/>
        <v>0</v>
      </c>
    </row>
    <row r="147" spans="1:19" ht="17" thickBot="1" x14ac:dyDescent="0.25">
      <c r="A147" s="9" t="s">
        <v>1204</v>
      </c>
      <c r="B147" s="76"/>
      <c r="C147" s="9" t="s">
        <v>36</v>
      </c>
      <c r="D147" s="9"/>
      <c r="E147" s="9">
        <v>12</v>
      </c>
      <c r="F147" s="10">
        <v>2320</v>
      </c>
      <c r="G147" s="10">
        <f t="shared" si="12"/>
        <v>27840</v>
      </c>
      <c r="H147" s="92">
        <v>12</v>
      </c>
      <c r="I147" s="93">
        <v>2320</v>
      </c>
      <c r="J147" s="93">
        <f t="shared" si="13"/>
        <v>27840</v>
      </c>
      <c r="K147" s="18"/>
      <c r="L147" s="19">
        <v>2320</v>
      </c>
      <c r="M147" s="19">
        <f t="shared" si="14"/>
        <v>0</v>
      </c>
    </row>
    <row r="148" spans="1:19" ht="17" thickBot="1" x14ac:dyDescent="0.25">
      <c r="A148" s="9" t="s">
        <v>428</v>
      </c>
      <c r="B148" s="76"/>
      <c r="C148" s="9" t="s">
        <v>36</v>
      </c>
      <c r="D148" s="9"/>
      <c r="E148" s="9">
        <v>12</v>
      </c>
      <c r="F148" s="10">
        <v>3712</v>
      </c>
      <c r="G148" s="10">
        <f t="shared" si="12"/>
        <v>44544</v>
      </c>
      <c r="H148" s="92">
        <v>12</v>
      </c>
      <c r="I148" s="93">
        <v>3712</v>
      </c>
      <c r="J148" s="93">
        <f t="shared" si="13"/>
        <v>44544</v>
      </c>
      <c r="K148" s="18"/>
      <c r="L148" s="19">
        <v>3712</v>
      </c>
      <c r="M148" s="19">
        <f t="shared" si="14"/>
        <v>0</v>
      </c>
    </row>
    <row r="149" spans="1:19" ht="17" thickBot="1" x14ac:dyDescent="0.25">
      <c r="A149" s="9" t="s">
        <v>1205</v>
      </c>
      <c r="B149" s="76"/>
      <c r="C149" s="9" t="s">
        <v>36</v>
      </c>
      <c r="D149" s="9"/>
      <c r="E149" s="9">
        <v>10</v>
      </c>
      <c r="F149" s="10">
        <v>10092</v>
      </c>
      <c r="G149" s="10">
        <f t="shared" si="12"/>
        <v>100920</v>
      </c>
      <c r="H149" s="92"/>
      <c r="I149" s="93">
        <v>10092</v>
      </c>
      <c r="J149" s="93">
        <f t="shared" si="13"/>
        <v>0</v>
      </c>
      <c r="K149" s="18">
        <v>10</v>
      </c>
      <c r="L149" s="19">
        <v>10092</v>
      </c>
      <c r="M149" s="19">
        <f t="shared" si="14"/>
        <v>100920</v>
      </c>
    </row>
    <row r="150" spans="1:19" ht="17" thickBot="1" x14ac:dyDescent="0.25">
      <c r="G150" s="103">
        <f>SUM(G141:G149)</f>
        <v>1235864</v>
      </c>
      <c r="J150" s="170">
        <f>SUM(J141:J149)</f>
        <v>1013840</v>
      </c>
      <c r="M150" s="114">
        <f>SUM(M141:M149)</f>
        <v>222024</v>
      </c>
    </row>
    <row r="152" spans="1:19" ht="17" thickBot="1" x14ac:dyDescent="0.25">
      <c r="A152" s="30" t="s">
        <v>1781</v>
      </c>
      <c r="B152" s="74"/>
      <c r="C152" s="2" t="s">
        <v>1196</v>
      </c>
      <c r="D152" s="2" t="s">
        <v>1197</v>
      </c>
    </row>
    <row r="153" spans="1:19" ht="17" thickBot="1" x14ac:dyDescent="0.25">
      <c r="A153" s="9" t="s">
        <v>1242</v>
      </c>
      <c r="B153" s="76"/>
      <c r="C153" s="9" t="s">
        <v>36</v>
      </c>
      <c r="D153" s="9"/>
      <c r="E153" s="9">
        <v>10</v>
      </c>
      <c r="F153" s="10">
        <v>10092</v>
      </c>
      <c r="G153" s="10">
        <f>F153*E153</f>
        <v>100920</v>
      </c>
      <c r="H153" s="92">
        <v>10</v>
      </c>
      <c r="I153" s="93">
        <v>10092</v>
      </c>
      <c r="J153" s="93">
        <f>I153*H153</f>
        <v>100920</v>
      </c>
      <c r="K153" s="18"/>
      <c r="L153" s="19">
        <v>10092</v>
      </c>
      <c r="M153" s="19">
        <f>L153*K153</f>
        <v>0</v>
      </c>
      <c r="N153" s="27"/>
      <c r="O153" s="28">
        <v>10092</v>
      </c>
      <c r="P153" s="28">
        <f>O153*N153</f>
        <v>0</v>
      </c>
      <c r="Q153" s="18">
        <f>E153-H153-K153-N153</f>
        <v>0</v>
      </c>
      <c r="R153" s="19">
        <v>10092</v>
      </c>
      <c r="S153" s="19">
        <f>R153*Q153</f>
        <v>0</v>
      </c>
    </row>
    <row r="154" spans="1:19" ht="17" thickBot="1" x14ac:dyDescent="0.25">
      <c r="A154" s="9" t="s">
        <v>1241</v>
      </c>
      <c r="B154" s="76"/>
      <c r="C154" s="9" t="s">
        <v>36</v>
      </c>
      <c r="D154" s="9"/>
      <c r="E154" s="9">
        <v>24</v>
      </c>
      <c r="F154" s="10">
        <v>8236</v>
      </c>
      <c r="G154" s="10">
        <f t="shared" ref="G154:G164" si="15">F154*E154</f>
        <v>197664</v>
      </c>
      <c r="H154" s="92"/>
      <c r="I154" s="93">
        <v>8236</v>
      </c>
      <c r="J154" s="93">
        <f t="shared" ref="J154:J164" si="16">I154*H154</f>
        <v>0</v>
      </c>
      <c r="K154" s="18"/>
      <c r="L154" s="19">
        <v>8236</v>
      </c>
      <c r="M154" s="19">
        <f t="shared" ref="M154:M164" si="17">L154*K154</f>
        <v>0</v>
      </c>
      <c r="N154" s="27"/>
      <c r="O154" s="28">
        <v>8236</v>
      </c>
      <c r="P154" s="28">
        <f t="shared" ref="P154:P164" si="18">O154*N154</f>
        <v>0</v>
      </c>
      <c r="Q154" s="18">
        <f t="shared" ref="Q154:Q164" si="19">E154-H154-K154-N154</f>
        <v>24</v>
      </c>
      <c r="R154" s="19">
        <v>8236</v>
      </c>
      <c r="S154" s="19">
        <f t="shared" ref="S154:S164" si="20">R154*Q154</f>
        <v>197664</v>
      </c>
    </row>
    <row r="155" spans="1:19" ht="17" thickBot="1" x14ac:dyDescent="0.25">
      <c r="A155" s="9" t="s">
        <v>1240</v>
      </c>
      <c r="B155" s="76"/>
      <c r="C155" s="9" t="s">
        <v>36</v>
      </c>
      <c r="D155" s="9"/>
      <c r="E155" s="9">
        <v>10</v>
      </c>
      <c r="F155" s="10">
        <v>3712</v>
      </c>
      <c r="G155" s="10">
        <f t="shared" si="15"/>
        <v>37120</v>
      </c>
      <c r="H155" s="92">
        <v>10</v>
      </c>
      <c r="I155" s="93">
        <v>3712</v>
      </c>
      <c r="J155" s="93">
        <f t="shared" si="16"/>
        <v>37120</v>
      </c>
      <c r="K155" s="18"/>
      <c r="L155" s="19">
        <v>3712</v>
      </c>
      <c r="M155" s="19">
        <f t="shared" si="17"/>
        <v>0</v>
      </c>
      <c r="N155" s="27"/>
      <c r="O155" s="28">
        <v>3712</v>
      </c>
      <c r="P155" s="28">
        <f t="shared" si="18"/>
        <v>0</v>
      </c>
      <c r="Q155" s="18">
        <f t="shared" si="19"/>
        <v>0</v>
      </c>
      <c r="R155" s="19">
        <v>3712</v>
      </c>
      <c r="S155" s="19">
        <f t="shared" si="20"/>
        <v>0</v>
      </c>
    </row>
    <row r="156" spans="1:19" ht="17" thickBot="1" x14ac:dyDescent="0.25">
      <c r="A156" s="9" t="s">
        <v>1239</v>
      </c>
      <c r="B156" s="76"/>
      <c r="C156" s="9" t="s">
        <v>36</v>
      </c>
      <c r="D156" s="9"/>
      <c r="E156" s="9">
        <v>5</v>
      </c>
      <c r="F156" s="10">
        <v>12992</v>
      </c>
      <c r="G156" s="10">
        <f t="shared" si="15"/>
        <v>64960</v>
      </c>
      <c r="H156" s="92">
        <v>5</v>
      </c>
      <c r="I156" s="93">
        <v>12992</v>
      </c>
      <c r="J156" s="93">
        <f t="shared" si="16"/>
        <v>64960</v>
      </c>
      <c r="K156" s="18"/>
      <c r="L156" s="19">
        <v>12992</v>
      </c>
      <c r="M156" s="19">
        <f t="shared" si="17"/>
        <v>0</v>
      </c>
      <c r="N156" s="27"/>
      <c r="O156" s="28">
        <v>12992</v>
      </c>
      <c r="P156" s="28">
        <f t="shared" si="18"/>
        <v>0</v>
      </c>
      <c r="Q156" s="18">
        <f t="shared" si="19"/>
        <v>0</v>
      </c>
      <c r="R156" s="19">
        <v>12992</v>
      </c>
      <c r="S156" s="19">
        <f t="shared" si="20"/>
        <v>0</v>
      </c>
    </row>
    <row r="157" spans="1:19" ht="17" thickBot="1" x14ac:dyDescent="0.25">
      <c r="A157" s="9" t="s">
        <v>1238</v>
      </c>
      <c r="B157" s="76"/>
      <c r="C157" s="9" t="s">
        <v>36</v>
      </c>
      <c r="D157" s="9"/>
      <c r="E157" s="9">
        <v>12</v>
      </c>
      <c r="F157" s="10">
        <v>8236</v>
      </c>
      <c r="G157" s="10">
        <f t="shared" si="15"/>
        <v>98832</v>
      </c>
      <c r="H157" s="92">
        <v>12</v>
      </c>
      <c r="I157" s="93">
        <v>8236</v>
      </c>
      <c r="J157" s="93">
        <f t="shared" si="16"/>
        <v>98832</v>
      </c>
      <c r="K157" s="18"/>
      <c r="L157" s="19">
        <v>8236</v>
      </c>
      <c r="M157" s="19">
        <f t="shared" si="17"/>
        <v>0</v>
      </c>
      <c r="N157" s="27"/>
      <c r="O157" s="28">
        <v>8236</v>
      </c>
      <c r="P157" s="28">
        <f t="shared" si="18"/>
        <v>0</v>
      </c>
      <c r="Q157" s="18">
        <f t="shared" si="19"/>
        <v>0</v>
      </c>
      <c r="R157" s="19">
        <v>8236</v>
      </c>
      <c r="S157" s="19">
        <f t="shared" si="20"/>
        <v>0</v>
      </c>
    </row>
    <row r="158" spans="1:19" ht="17" thickBot="1" x14ac:dyDescent="0.25">
      <c r="A158" s="9" t="s">
        <v>1237</v>
      </c>
      <c r="B158" s="76"/>
      <c r="C158" s="9" t="s">
        <v>36</v>
      </c>
      <c r="D158" s="9"/>
      <c r="E158" s="9">
        <v>6</v>
      </c>
      <c r="F158" s="10">
        <v>3596</v>
      </c>
      <c r="G158" s="10">
        <f t="shared" si="15"/>
        <v>21576</v>
      </c>
      <c r="H158" s="92"/>
      <c r="I158" s="93">
        <v>3596</v>
      </c>
      <c r="J158" s="93">
        <f t="shared" si="16"/>
        <v>0</v>
      </c>
      <c r="K158" s="18">
        <v>6</v>
      </c>
      <c r="L158" s="19">
        <v>3596</v>
      </c>
      <c r="M158" s="19">
        <f t="shared" si="17"/>
        <v>21576</v>
      </c>
      <c r="N158" s="27"/>
      <c r="O158" s="28">
        <v>3596</v>
      </c>
      <c r="P158" s="28">
        <f t="shared" si="18"/>
        <v>0</v>
      </c>
      <c r="Q158" s="18">
        <f t="shared" si="19"/>
        <v>0</v>
      </c>
      <c r="R158" s="19">
        <v>3596</v>
      </c>
      <c r="S158" s="19">
        <f t="shared" si="20"/>
        <v>0</v>
      </c>
    </row>
    <row r="159" spans="1:19" ht="17" thickBot="1" x14ac:dyDescent="0.25">
      <c r="A159" s="9" t="s">
        <v>1236</v>
      </c>
      <c r="B159" s="76"/>
      <c r="C159" s="9" t="s">
        <v>36</v>
      </c>
      <c r="D159" s="9"/>
      <c r="E159" s="9">
        <v>12</v>
      </c>
      <c r="F159" s="10">
        <v>4756</v>
      </c>
      <c r="G159" s="10">
        <f t="shared" si="15"/>
        <v>57072</v>
      </c>
      <c r="H159" s="92">
        <v>12</v>
      </c>
      <c r="I159" s="93">
        <v>4756</v>
      </c>
      <c r="J159" s="93">
        <f t="shared" si="16"/>
        <v>57072</v>
      </c>
      <c r="K159" s="18"/>
      <c r="L159" s="19">
        <v>4756</v>
      </c>
      <c r="M159" s="19">
        <f t="shared" si="17"/>
        <v>0</v>
      </c>
      <c r="N159" s="27"/>
      <c r="O159" s="28">
        <v>4756</v>
      </c>
      <c r="P159" s="28">
        <f t="shared" si="18"/>
        <v>0</v>
      </c>
      <c r="Q159" s="18">
        <f t="shared" si="19"/>
        <v>0</v>
      </c>
      <c r="R159" s="19">
        <v>4756</v>
      </c>
      <c r="S159" s="19">
        <f t="shared" si="20"/>
        <v>0</v>
      </c>
    </row>
    <row r="160" spans="1:19" ht="17" thickBot="1" x14ac:dyDescent="0.25">
      <c r="A160" s="9" t="s">
        <v>1235</v>
      </c>
      <c r="B160" s="76" t="s">
        <v>999</v>
      </c>
      <c r="C160" s="9" t="s">
        <v>36</v>
      </c>
      <c r="D160" s="9"/>
      <c r="E160" s="9">
        <v>40</v>
      </c>
      <c r="F160" s="10">
        <v>47792</v>
      </c>
      <c r="G160" s="10">
        <f t="shared" si="15"/>
        <v>1911680</v>
      </c>
      <c r="H160" s="92">
        <v>22</v>
      </c>
      <c r="I160" s="93">
        <v>47792</v>
      </c>
      <c r="J160" s="93">
        <f t="shared" si="16"/>
        <v>1051424</v>
      </c>
      <c r="K160" s="18"/>
      <c r="L160" s="19">
        <v>47792</v>
      </c>
      <c r="M160" s="19">
        <f t="shared" si="17"/>
        <v>0</v>
      </c>
      <c r="N160" s="27">
        <v>18</v>
      </c>
      <c r="O160" s="28">
        <v>47792</v>
      </c>
      <c r="P160" s="28">
        <f t="shared" si="18"/>
        <v>860256</v>
      </c>
      <c r="Q160" s="18">
        <f t="shared" si="19"/>
        <v>0</v>
      </c>
      <c r="R160" s="19">
        <v>47792</v>
      </c>
      <c r="S160" s="19">
        <f t="shared" si="20"/>
        <v>0</v>
      </c>
    </row>
    <row r="161" spans="1:19" ht="17" thickBot="1" x14ac:dyDescent="0.25">
      <c r="A161" s="9" t="s">
        <v>1234</v>
      </c>
      <c r="B161" s="76" t="s">
        <v>858</v>
      </c>
      <c r="C161" s="9" t="s">
        <v>36</v>
      </c>
      <c r="D161" s="9"/>
      <c r="E161" s="9">
        <v>10</v>
      </c>
      <c r="F161" s="10">
        <v>3596</v>
      </c>
      <c r="G161" s="10">
        <f t="shared" si="15"/>
        <v>35960</v>
      </c>
      <c r="H161" s="92">
        <v>3</v>
      </c>
      <c r="I161" s="93">
        <v>3596</v>
      </c>
      <c r="J161" s="93">
        <f t="shared" si="16"/>
        <v>10788</v>
      </c>
      <c r="K161" s="18">
        <v>7</v>
      </c>
      <c r="L161" s="19">
        <v>3596</v>
      </c>
      <c r="M161" s="19">
        <f t="shared" si="17"/>
        <v>25172</v>
      </c>
      <c r="N161" s="27"/>
      <c r="O161" s="28">
        <v>3596</v>
      </c>
      <c r="P161" s="28">
        <f t="shared" si="18"/>
        <v>0</v>
      </c>
      <c r="Q161" s="18">
        <f t="shared" si="19"/>
        <v>0</v>
      </c>
      <c r="R161" s="19">
        <v>3596</v>
      </c>
      <c r="S161" s="19">
        <f t="shared" si="20"/>
        <v>0</v>
      </c>
    </row>
    <row r="162" spans="1:19" ht="17" thickBot="1" x14ac:dyDescent="0.25">
      <c r="A162" s="9" t="s">
        <v>1233</v>
      </c>
      <c r="B162" s="76" t="s">
        <v>979</v>
      </c>
      <c r="C162" s="9" t="s">
        <v>36</v>
      </c>
      <c r="D162" s="9"/>
      <c r="E162" s="9">
        <v>24</v>
      </c>
      <c r="F162" s="10">
        <v>8584</v>
      </c>
      <c r="G162" s="10">
        <f t="shared" si="15"/>
        <v>206016</v>
      </c>
      <c r="H162" s="92">
        <v>20</v>
      </c>
      <c r="I162" s="93">
        <v>8584</v>
      </c>
      <c r="J162" s="93">
        <f t="shared" si="16"/>
        <v>171680</v>
      </c>
      <c r="K162" s="18">
        <v>4</v>
      </c>
      <c r="L162" s="19">
        <v>8584</v>
      </c>
      <c r="M162" s="19">
        <f t="shared" si="17"/>
        <v>34336</v>
      </c>
      <c r="N162" s="27"/>
      <c r="O162" s="28">
        <v>8584</v>
      </c>
      <c r="P162" s="28">
        <f t="shared" si="18"/>
        <v>0</v>
      </c>
      <c r="Q162" s="18">
        <f t="shared" si="19"/>
        <v>0</v>
      </c>
      <c r="R162" s="19">
        <v>8584</v>
      </c>
      <c r="S162" s="19">
        <f t="shared" si="20"/>
        <v>0</v>
      </c>
    </row>
    <row r="163" spans="1:19" ht="17" thickBot="1" x14ac:dyDescent="0.25">
      <c r="A163" s="9" t="s">
        <v>1203</v>
      </c>
      <c r="B163" s="76" t="s">
        <v>1559</v>
      </c>
      <c r="C163" s="9" t="s">
        <v>36</v>
      </c>
      <c r="D163" s="9"/>
      <c r="E163" s="9">
        <v>24</v>
      </c>
      <c r="F163" s="10">
        <v>1647.2</v>
      </c>
      <c r="G163" s="10">
        <f t="shared" si="15"/>
        <v>39532.800000000003</v>
      </c>
      <c r="H163" s="92">
        <v>9</v>
      </c>
      <c r="I163" s="93">
        <v>1647.2</v>
      </c>
      <c r="J163" s="93">
        <f t="shared" si="16"/>
        <v>14824.800000000001</v>
      </c>
      <c r="K163" s="18">
        <v>15</v>
      </c>
      <c r="L163" s="19">
        <v>1647.2</v>
      </c>
      <c r="M163" s="19">
        <f t="shared" si="17"/>
        <v>24708</v>
      </c>
      <c r="N163" s="27"/>
      <c r="O163" s="28">
        <v>1647.2</v>
      </c>
      <c r="P163" s="28">
        <f t="shared" si="18"/>
        <v>0</v>
      </c>
      <c r="Q163" s="18">
        <f t="shared" si="19"/>
        <v>0</v>
      </c>
      <c r="R163" s="19">
        <v>1647.2</v>
      </c>
      <c r="S163" s="19">
        <f t="shared" si="20"/>
        <v>0</v>
      </c>
    </row>
    <row r="164" spans="1:19" ht="17" thickBot="1" x14ac:dyDescent="0.25">
      <c r="A164" s="9" t="s">
        <v>1232</v>
      </c>
      <c r="B164" s="76"/>
      <c r="C164" s="9" t="s">
        <v>36</v>
      </c>
      <c r="D164" s="9"/>
      <c r="E164" s="9">
        <v>24</v>
      </c>
      <c r="F164" s="10">
        <v>6264</v>
      </c>
      <c r="G164" s="10">
        <f t="shared" si="15"/>
        <v>150336</v>
      </c>
      <c r="H164" s="92"/>
      <c r="I164" s="93">
        <v>6264</v>
      </c>
      <c r="J164" s="93">
        <f t="shared" si="16"/>
        <v>0</v>
      </c>
      <c r="K164" s="18">
        <v>24</v>
      </c>
      <c r="L164" s="19">
        <v>6264</v>
      </c>
      <c r="M164" s="19">
        <f t="shared" si="17"/>
        <v>150336</v>
      </c>
      <c r="N164" s="27"/>
      <c r="O164" s="28">
        <v>6264</v>
      </c>
      <c r="P164" s="28">
        <f t="shared" si="18"/>
        <v>0</v>
      </c>
      <c r="Q164" s="18">
        <f t="shared" si="19"/>
        <v>0</v>
      </c>
      <c r="R164" s="19">
        <v>6264</v>
      </c>
      <c r="S164" s="19">
        <f t="shared" si="20"/>
        <v>0</v>
      </c>
    </row>
    <row r="165" spans="1:19" ht="17" thickBot="1" x14ac:dyDescent="0.25">
      <c r="A165"/>
      <c r="B165" s="78"/>
      <c r="C165"/>
      <c r="D165"/>
      <c r="E165"/>
      <c r="F165"/>
      <c r="G165" s="12">
        <f>SUM(G153:G164)</f>
        <v>2921668.8</v>
      </c>
      <c r="H165"/>
      <c r="I165"/>
      <c r="J165" s="94">
        <f>SUM(J153:J164)</f>
        <v>1607620.8</v>
      </c>
      <c r="K165"/>
      <c r="L165"/>
      <c r="M165" s="34">
        <f>SUM(M153:M164)</f>
        <v>256128</v>
      </c>
      <c r="N165"/>
      <c r="O165"/>
      <c r="P165" s="148">
        <f>SUM(P153:P164)</f>
        <v>860256</v>
      </c>
      <c r="Q165"/>
      <c r="R165"/>
      <c r="S165" s="34">
        <f>SUM(S153:S164)</f>
        <v>197664</v>
      </c>
    </row>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D4A94-CB4C-6C49-8FEC-F7C0CFE266ED}">
  <dimension ref="A2:AF340"/>
  <sheetViews>
    <sheetView tabSelected="1" topLeftCell="A8" zoomScale="120" zoomScaleNormal="120" workbookViewId="0">
      <selection activeCell="B30" sqref="B30"/>
    </sheetView>
  </sheetViews>
  <sheetFormatPr baseColWidth="10" defaultRowHeight="16" x14ac:dyDescent="0.2"/>
  <cols>
    <col min="1" max="1" width="71" style="2" customWidth="1"/>
    <col min="2" max="2" width="20.33203125" style="2" customWidth="1"/>
    <col min="3" max="3" width="10.83203125" style="2"/>
    <col min="4" max="4" width="19" style="2" customWidth="1"/>
    <col min="5" max="5" width="11.5" style="2" bestFit="1" customWidth="1"/>
    <col min="6" max="6" width="14.1640625" style="2" bestFit="1" customWidth="1"/>
    <col min="7" max="7" width="15" style="2" customWidth="1"/>
    <col min="8" max="8" width="10.83203125" style="2"/>
    <col min="9" max="9" width="13.5" style="2" customWidth="1"/>
    <col min="10" max="10" width="14.83203125" style="2" customWidth="1"/>
    <col min="11" max="11" width="13" style="2" bestFit="1" customWidth="1"/>
    <col min="12" max="12" width="11.1640625" style="2" customWidth="1"/>
    <col min="13" max="13" width="15.1640625" style="2" customWidth="1"/>
    <col min="14" max="14" width="10.83203125" style="2"/>
    <col min="15" max="15" width="12.33203125" style="2" customWidth="1"/>
    <col min="16" max="16" width="12" style="2" customWidth="1"/>
    <col min="17" max="17" width="10.83203125" style="2"/>
    <col min="18" max="18" width="11.83203125" style="2" customWidth="1"/>
    <col min="19" max="19" width="14" style="2" customWidth="1"/>
    <col min="20" max="32" width="10.83203125" style="2"/>
  </cols>
  <sheetData>
    <row r="2" spans="1:13" ht="17" thickBot="1" x14ac:dyDescent="0.25">
      <c r="A2" s="30" t="s">
        <v>1040</v>
      </c>
      <c r="B2" s="30"/>
      <c r="C2" s="2" t="s">
        <v>734</v>
      </c>
      <c r="D2" s="2" t="s">
        <v>735</v>
      </c>
      <c r="M2" s="284">
        <v>46203</v>
      </c>
    </row>
    <row r="3" spans="1:13" ht="17" thickBot="1" x14ac:dyDescent="0.25">
      <c r="A3" s="9" t="s">
        <v>114</v>
      </c>
      <c r="B3" s="76" t="s">
        <v>846</v>
      </c>
      <c r="C3" s="9" t="s">
        <v>36</v>
      </c>
      <c r="D3" s="9" t="s">
        <v>709</v>
      </c>
      <c r="E3" s="9">
        <v>48</v>
      </c>
      <c r="F3" s="65">
        <v>17400</v>
      </c>
      <c r="G3" s="65">
        <f>F3*E3</f>
        <v>835200</v>
      </c>
      <c r="H3" s="18"/>
      <c r="I3" s="116">
        <v>17400</v>
      </c>
      <c r="J3" s="116">
        <f>I3*H3</f>
        <v>0</v>
      </c>
      <c r="K3" s="92">
        <v>12</v>
      </c>
      <c r="L3" s="309">
        <v>17400</v>
      </c>
      <c r="M3" s="309">
        <f>L3*K3</f>
        <v>208800</v>
      </c>
    </row>
    <row r="4" spans="1:13" ht="17" thickBot="1" x14ac:dyDescent="0.25">
      <c r="A4" s="9" t="s">
        <v>736</v>
      </c>
      <c r="B4" s="76" t="s">
        <v>1564</v>
      </c>
      <c r="C4" s="9" t="s">
        <v>36</v>
      </c>
      <c r="D4" s="18" t="s">
        <v>1281</v>
      </c>
      <c r="E4" s="9">
        <v>48</v>
      </c>
      <c r="F4" s="65">
        <v>4988</v>
      </c>
      <c r="G4" s="65">
        <f t="shared" ref="G4:G29" si="0">F4*E4</f>
        <v>239424</v>
      </c>
      <c r="H4" s="18">
        <v>12</v>
      </c>
      <c r="I4" s="116">
        <v>4988</v>
      </c>
      <c r="J4" s="116">
        <f t="shared" ref="J4:J29" si="1">I4*H4</f>
        <v>59856</v>
      </c>
      <c r="K4" s="92">
        <v>12</v>
      </c>
      <c r="L4" s="309">
        <v>4988</v>
      </c>
      <c r="M4" s="309">
        <f t="shared" ref="M4:M29" si="2">L4*K4</f>
        <v>59856</v>
      </c>
    </row>
    <row r="5" spans="1:13" ht="17" thickBot="1" x14ac:dyDescent="0.25">
      <c r="A5" s="9" t="s">
        <v>159</v>
      </c>
      <c r="B5" s="76" t="s">
        <v>904</v>
      </c>
      <c r="C5" s="9" t="s">
        <v>36</v>
      </c>
      <c r="D5" s="18" t="s">
        <v>1282</v>
      </c>
      <c r="E5" s="9">
        <v>72</v>
      </c>
      <c r="F5" s="65">
        <v>13920</v>
      </c>
      <c r="G5" s="65">
        <f t="shared" si="0"/>
        <v>1002240</v>
      </c>
      <c r="H5" s="18">
        <v>18</v>
      </c>
      <c r="I5" s="116">
        <v>13920</v>
      </c>
      <c r="J5" s="116">
        <f t="shared" si="1"/>
        <v>250560</v>
      </c>
      <c r="K5" s="92">
        <v>24</v>
      </c>
      <c r="L5" s="309">
        <v>13920</v>
      </c>
      <c r="M5" s="309">
        <f t="shared" si="2"/>
        <v>334080</v>
      </c>
    </row>
    <row r="6" spans="1:13" ht="17" thickBot="1" x14ac:dyDescent="0.25">
      <c r="A6" s="9" t="s">
        <v>47</v>
      </c>
      <c r="B6" s="76" t="s">
        <v>905</v>
      </c>
      <c r="C6" s="9" t="s">
        <v>36</v>
      </c>
      <c r="D6" s="9" t="s">
        <v>2372</v>
      </c>
      <c r="E6" s="9">
        <v>18</v>
      </c>
      <c r="F6" s="65">
        <v>11600</v>
      </c>
      <c r="G6" s="65">
        <f t="shared" si="0"/>
        <v>208800</v>
      </c>
      <c r="H6" s="18"/>
      <c r="I6" s="116">
        <v>11600</v>
      </c>
      <c r="J6" s="116">
        <f t="shared" si="1"/>
        <v>0</v>
      </c>
      <c r="K6" s="92">
        <v>12</v>
      </c>
      <c r="L6" s="309">
        <v>11600</v>
      </c>
      <c r="M6" s="309">
        <f t="shared" si="2"/>
        <v>139200</v>
      </c>
    </row>
    <row r="7" spans="1:13" ht="17" thickBot="1" x14ac:dyDescent="0.25">
      <c r="A7" s="9" t="s">
        <v>737</v>
      </c>
      <c r="B7" s="76" t="s">
        <v>1345</v>
      </c>
      <c r="C7" s="9" t="s">
        <v>36</v>
      </c>
      <c r="D7" s="18" t="s">
        <v>1283</v>
      </c>
      <c r="E7" s="9">
        <v>60</v>
      </c>
      <c r="F7" s="65">
        <v>8932</v>
      </c>
      <c r="G7" s="65">
        <f t="shared" si="0"/>
        <v>535920</v>
      </c>
      <c r="H7" s="18">
        <v>6</v>
      </c>
      <c r="I7" s="116">
        <v>8932</v>
      </c>
      <c r="J7" s="116">
        <f t="shared" si="1"/>
        <v>53592</v>
      </c>
      <c r="K7" s="92">
        <v>24</v>
      </c>
      <c r="L7" s="309">
        <v>8932</v>
      </c>
      <c r="M7" s="309">
        <f t="shared" si="2"/>
        <v>214368</v>
      </c>
    </row>
    <row r="8" spans="1:13" ht="17" thickBot="1" x14ac:dyDescent="0.25">
      <c r="A8" s="9" t="s">
        <v>738</v>
      </c>
      <c r="B8" s="76" t="s">
        <v>885</v>
      </c>
      <c r="C8" s="9" t="s">
        <v>36</v>
      </c>
      <c r="D8" s="18" t="s">
        <v>1046</v>
      </c>
      <c r="E8" s="9">
        <v>24</v>
      </c>
      <c r="F8" s="65">
        <v>9744</v>
      </c>
      <c r="G8" s="65">
        <f t="shared" si="0"/>
        <v>233856</v>
      </c>
      <c r="H8" s="18">
        <v>6</v>
      </c>
      <c r="I8" s="116">
        <v>9744</v>
      </c>
      <c r="J8" s="116">
        <f t="shared" si="1"/>
        <v>58464</v>
      </c>
      <c r="K8" s="92">
        <v>12</v>
      </c>
      <c r="L8" s="309">
        <v>9744</v>
      </c>
      <c r="M8" s="309">
        <f t="shared" si="2"/>
        <v>116928</v>
      </c>
    </row>
    <row r="9" spans="1:13" ht="17" thickBot="1" x14ac:dyDescent="0.25">
      <c r="A9" s="9" t="s">
        <v>63</v>
      </c>
      <c r="B9" s="76" t="s">
        <v>886</v>
      </c>
      <c r="C9" s="9" t="s">
        <v>36</v>
      </c>
      <c r="D9" s="18" t="s">
        <v>1284</v>
      </c>
      <c r="E9" s="9">
        <v>48</v>
      </c>
      <c r="F9" s="65">
        <v>696</v>
      </c>
      <c r="G9" s="65">
        <f t="shared" si="0"/>
        <v>33408</v>
      </c>
      <c r="H9" s="18">
        <v>12</v>
      </c>
      <c r="I9" s="116">
        <v>696</v>
      </c>
      <c r="J9" s="116">
        <f t="shared" si="1"/>
        <v>8352</v>
      </c>
      <c r="K9" s="92">
        <v>36</v>
      </c>
      <c r="L9" s="309">
        <v>696</v>
      </c>
      <c r="M9" s="309">
        <f t="shared" si="2"/>
        <v>25056</v>
      </c>
    </row>
    <row r="10" spans="1:13" ht="17" thickBot="1" x14ac:dyDescent="0.25">
      <c r="A10" s="9" t="s">
        <v>61</v>
      </c>
      <c r="B10" s="76" t="s">
        <v>903</v>
      </c>
      <c r="C10" s="9" t="s">
        <v>36</v>
      </c>
      <c r="D10" s="18" t="s">
        <v>1285</v>
      </c>
      <c r="E10" s="9">
        <v>48</v>
      </c>
      <c r="F10" s="65">
        <v>6960</v>
      </c>
      <c r="G10" s="65">
        <f t="shared" si="0"/>
        <v>334080</v>
      </c>
      <c r="H10" s="18">
        <v>12</v>
      </c>
      <c r="I10" s="116">
        <v>6960</v>
      </c>
      <c r="J10" s="116">
        <f t="shared" si="1"/>
        <v>83520</v>
      </c>
      <c r="K10" s="92">
        <v>12</v>
      </c>
      <c r="L10" s="309">
        <v>6960</v>
      </c>
      <c r="M10" s="309">
        <f t="shared" si="2"/>
        <v>83520</v>
      </c>
    </row>
    <row r="11" spans="1:13" ht="17" thickBot="1" x14ac:dyDescent="0.25">
      <c r="A11" s="9" t="s">
        <v>139</v>
      </c>
      <c r="B11" s="76" t="s">
        <v>878</v>
      </c>
      <c r="C11" s="9" t="s">
        <v>36</v>
      </c>
      <c r="D11" s="18" t="s">
        <v>1286</v>
      </c>
      <c r="E11" s="9">
        <v>48</v>
      </c>
      <c r="F11" s="65">
        <v>17400</v>
      </c>
      <c r="G11" s="65">
        <f t="shared" si="0"/>
        <v>835200</v>
      </c>
      <c r="H11" s="18">
        <v>12</v>
      </c>
      <c r="I11" s="116">
        <v>17400</v>
      </c>
      <c r="J11" s="116">
        <f t="shared" si="1"/>
        <v>208800</v>
      </c>
      <c r="K11" s="92">
        <v>36</v>
      </c>
      <c r="L11" s="309">
        <v>17400</v>
      </c>
      <c r="M11" s="309">
        <f t="shared" si="2"/>
        <v>626400</v>
      </c>
    </row>
    <row r="12" spans="1:13" ht="17" thickBot="1" x14ac:dyDescent="0.25">
      <c r="A12" s="9" t="s">
        <v>61</v>
      </c>
      <c r="B12" s="76" t="s">
        <v>889</v>
      </c>
      <c r="C12" s="9" t="s">
        <v>36</v>
      </c>
      <c r="D12" s="18" t="s">
        <v>1287</v>
      </c>
      <c r="E12" s="9">
        <v>48</v>
      </c>
      <c r="F12" s="65">
        <v>5220</v>
      </c>
      <c r="G12" s="65">
        <f t="shared" si="0"/>
        <v>250560</v>
      </c>
      <c r="H12" s="18">
        <v>6</v>
      </c>
      <c r="I12" s="116">
        <v>5220</v>
      </c>
      <c r="J12" s="116">
        <f t="shared" si="1"/>
        <v>31320</v>
      </c>
      <c r="K12" s="92">
        <v>18</v>
      </c>
      <c r="L12" s="309">
        <v>5220</v>
      </c>
      <c r="M12" s="309">
        <f t="shared" si="2"/>
        <v>93960</v>
      </c>
    </row>
    <row r="13" spans="1:13" ht="17" thickBot="1" x14ac:dyDescent="0.25">
      <c r="A13" s="9" t="s">
        <v>739</v>
      </c>
      <c r="B13" s="76" t="s">
        <v>829</v>
      </c>
      <c r="C13" s="9" t="s">
        <v>36</v>
      </c>
      <c r="D13" s="18" t="s">
        <v>1299</v>
      </c>
      <c r="E13" s="9">
        <v>384</v>
      </c>
      <c r="F13" s="65">
        <v>66120</v>
      </c>
      <c r="G13" s="65">
        <f t="shared" si="0"/>
        <v>25390080</v>
      </c>
      <c r="H13" s="18">
        <v>72</v>
      </c>
      <c r="I13" s="116">
        <v>66120</v>
      </c>
      <c r="J13" s="116">
        <f t="shared" si="1"/>
        <v>4760640</v>
      </c>
      <c r="K13" s="92"/>
      <c r="L13" s="309">
        <v>66120</v>
      </c>
      <c r="M13" s="309">
        <f t="shared" si="2"/>
        <v>0</v>
      </c>
    </row>
    <row r="14" spans="1:13" ht="17" thickBot="1" x14ac:dyDescent="0.25">
      <c r="A14" s="9" t="s">
        <v>75</v>
      </c>
      <c r="B14" s="76" t="s">
        <v>848</v>
      </c>
      <c r="C14" s="9" t="s">
        <v>36</v>
      </c>
      <c r="D14" s="18" t="s">
        <v>1288</v>
      </c>
      <c r="E14" s="9">
        <v>48</v>
      </c>
      <c r="F14" s="65">
        <v>9744</v>
      </c>
      <c r="G14" s="65">
        <f t="shared" si="0"/>
        <v>467712</v>
      </c>
      <c r="H14" s="18">
        <v>12</v>
      </c>
      <c r="I14" s="116">
        <v>9744</v>
      </c>
      <c r="J14" s="116">
        <f t="shared" si="1"/>
        <v>116928</v>
      </c>
      <c r="K14" s="92">
        <v>8</v>
      </c>
      <c r="L14" s="309">
        <v>9744</v>
      </c>
      <c r="M14" s="309">
        <f t="shared" si="2"/>
        <v>77952</v>
      </c>
    </row>
    <row r="15" spans="1:13" ht="17" thickBot="1" x14ac:dyDescent="0.25">
      <c r="A15" s="9" t="s">
        <v>63</v>
      </c>
      <c r="B15" s="76" t="s">
        <v>832</v>
      </c>
      <c r="C15" s="9" t="s">
        <v>36</v>
      </c>
      <c r="D15" s="18" t="s">
        <v>1289</v>
      </c>
      <c r="E15" s="9">
        <v>48</v>
      </c>
      <c r="F15" s="65">
        <v>812</v>
      </c>
      <c r="G15" s="65">
        <f t="shared" si="0"/>
        <v>38976</v>
      </c>
      <c r="H15" s="18">
        <v>12</v>
      </c>
      <c r="I15" s="116">
        <v>812</v>
      </c>
      <c r="J15" s="116">
        <f t="shared" si="1"/>
        <v>9744</v>
      </c>
      <c r="K15" s="92">
        <v>36</v>
      </c>
      <c r="L15" s="309">
        <v>812</v>
      </c>
      <c r="M15" s="309">
        <f t="shared" si="2"/>
        <v>29232</v>
      </c>
    </row>
    <row r="16" spans="1:13" ht="17" thickBot="1" x14ac:dyDescent="0.25">
      <c r="A16" s="9" t="s">
        <v>731</v>
      </c>
      <c r="B16" s="76" t="s">
        <v>1346</v>
      </c>
      <c r="C16" s="9" t="s">
        <v>36</v>
      </c>
      <c r="D16" s="18" t="s">
        <v>393</v>
      </c>
      <c r="E16" s="9">
        <v>72</v>
      </c>
      <c r="F16" s="65">
        <v>4640</v>
      </c>
      <c r="G16" s="65">
        <f t="shared" si="0"/>
        <v>334080</v>
      </c>
      <c r="H16" s="18">
        <v>18</v>
      </c>
      <c r="I16" s="116">
        <v>4640</v>
      </c>
      <c r="J16" s="116">
        <f t="shared" si="1"/>
        <v>83520</v>
      </c>
      <c r="K16" s="92">
        <v>36</v>
      </c>
      <c r="L16" s="309">
        <v>4640</v>
      </c>
      <c r="M16" s="309">
        <f t="shared" si="2"/>
        <v>167040</v>
      </c>
    </row>
    <row r="17" spans="1:13" ht="17" thickBot="1" x14ac:dyDescent="0.25">
      <c r="A17" s="9" t="s">
        <v>736</v>
      </c>
      <c r="B17" s="76" t="s">
        <v>2375</v>
      </c>
      <c r="C17" s="9" t="s">
        <v>36</v>
      </c>
      <c r="D17" s="9" t="s">
        <v>1807</v>
      </c>
      <c r="E17" s="9">
        <v>60</v>
      </c>
      <c r="F17" s="65">
        <v>2668</v>
      </c>
      <c r="G17" s="65">
        <f t="shared" si="0"/>
        <v>160080</v>
      </c>
      <c r="H17" s="18"/>
      <c r="I17" s="116">
        <v>2668</v>
      </c>
      <c r="J17" s="116">
        <f t="shared" si="1"/>
        <v>0</v>
      </c>
      <c r="K17" s="92">
        <v>10</v>
      </c>
      <c r="L17" s="309">
        <v>2668</v>
      </c>
      <c r="M17" s="309">
        <f t="shared" si="2"/>
        <v>26680</v>
      </c>
    </row>
    <row r="18" spans="1:13" ht="17" thickBot="1" x14ac:dyDescent="0.25">
      <c r="A18" s="9" t="s">
        <v>63</v>
      </c>
      <c r="B18" s="76" t="s">
        <v>973</v>
      </c>
      <c r="C18" s="9" t="s">
        <v>36</v>
      </c>
      <c r="D18" s="18" t="s">
        <v>1290</v>
      </c>
      <c r="E18" s="9">
        <v>48</v>
      </c>
      <c r="F18" s="65">
        <v>17400</v>
      </c>
      <c r="G18" s="65">
        <f t="shared" si="0"/>
        <v>835200</v>
      </c>
      <c r="H18" s="18">
        <v>12</v>
      </c>
      <c r="I18" s="116">
        <v>17400</v>
      </c>
      <c r="J18" s="116">
        <f t="shared" si="1"/>
        <v>208800</v>
      </c>
      <c r="K18" s="92">
        <v>24</v>
      </c>
      <c r="L18" s="309">
        <v>17400</v>
      </c>
      <c r="M18" s="309">
        <f t="shared" si="2"/>
        <v>417600</v>
      </c>
    </row>
    <row r="19" spans="1:13" ht="17" thickBot="1" x14ac:dyDescent="0.25">
      <c r="A19" s="9" t="s">
        <v>740</v>
      </c>
      <c r="B19" s="76" t="s">
        <v>920</v>
      </c>
      <c r="C19" s="9" t="s">
        <v>36</v>
      </c>
      <c r="D19" s="18" t="s">
        <v>1291</v>
      </c>
      <c r="E19" s="9">
        <v>72</v>
      </c>
      <c r="F19" s="65">
        <v>17400</v>
      </c>
      <c r="G19" s="65">
        <f t="shared" si="0"/>
        <v>1252800</v>
      </c>
      <c r="H19" s="18">
        <v>18</v>
      </c>
      <c r="I19" s="116">
        <v>17400</v>
      </c>
      <c r="J19" s="116">
        <f t="shared" si="1"/>
        <v>313200</v>
      </c>
      <c r="K19" s="92">
        <v>18</v>
      </c>
      <c r="L19" s="309">
        <v>17400</v>
      </c>
      <c r="M19" s="309">
        <f t="shared" si="2"/>
        <v>313200</v>
      </c>
    </row>
    <row r="20" spans="1:13" ht="17" thickBot="1" x14ac:dyDescent="0.25">
      <c r="A20" s="9" t="s">
        <v>114</v>
      </c>
      <c r="B20" s="76" t="s">
        <v>846</v>
      </c>
      <c r="C20" s="9" t="s">
        <v>36</v>
      </c>
      <c r="D20" s="18" t="s">
        <v>1292</v>
      </c>
      <c r="E20" s="9">
        <v>48</v>
      </c>
      <c r="F20" s="65">
        <v>17400</v>
      </c>
      <c r="G20" s="65">
        <f t="shared" si="0"/>
        <v>835200</v>
      </c>
      <c r="H20" s="18">
        <v>12</v>
      </c>
      <c r="I20" s="116">
        <v>17400</v>
      </c>
      <c r="J20" s="116">
        <f t="shared" si="1"/>
        <v>208800</v>
      </c>
      <c r="K20" s="92">
        <v>12</v>
      </c>
      <c r="L20" s="309">
        <v>17400</v>
      </c>
      <c r="M20" s="309">
        <f t="shared" si="2"/>
        <v>208800</v>
      </c>
    </row>
    <row r="21" spans="1:13" ht="17" thickBot="1" x14ac:dyDescent="0.25">
      <c r="A21" s="9" t="s">
        <v>741</v>
      </c>
      <c r="B21" s="76" t="s">
        <v>862</v>
      </c>
      <c r="C21" s="9" t="s">
        <v>36</v>
      </c>
      <c r="D21" s="18" t="s">
        <v>713</v>
      </c>
      <c r="E21" s="9">
        <v>48</v>
      </c>
      <c r="F21" s="65">
        <v>6960</v>
      </c>
      <c r="G21" s="65">
        <f t="shared" si="0"/>
        <v>334080</v>
      </c>
      <c r="H21" s="18">
        <v>12</v>
      </c>
      <c r="I21" s="116">
        <v>6960</v>
      </c>
      <c r="J21" s="116">
        <f t="shared" si="1"/>
        <v>83520</v>
      </c>
      <c r="K21" s="92">
        <v>12</v>
      </c>
      <c r="L21" s="309">
        <v>6960</v>
      </c>
      <c r="M21" s="309">
        <f t="shared" si="2"/>
        <v>83520</v>
      </c>
    </row>
    <row r="22" spans="1:13" ht="17" thickBot="1" x14ac:dyDescent="0.25">
      <c r="A22" s="9" t="s">
        <v>114</v>
      </c>
      <c r="B22" s="76" t="s">
        <v>1339</v>
      </c>
      <c r="C22" s="9" t="s">
        <v>36</v>
      </c>
      <c r="D22" s="9" t="s">
        <v>1293</v>
      </c>
      <c r="E22" s="9">
        <v>48</v>
      </c>
      <c r="F22" s="65">
        <v>18560</v>
      </c>
      <c r="G22" s="65">
        <f t="shared" si="0"/>
        <v>890880</v>
      </c>
      <c r="H22" s="18">
        <v>12</v>
      </c>
      <c r="I22" s="116">
        <v>18560</v>
      </c>
      <c r="J22" s="116">
        <f t="shared" si="1"/>
        <v>222720</v>
      </c>
      <c r="K22" s="92"/>
      <c r="L22" s="309">
        <v>18560</v>
      </c>
      <c r="M22" s="309">
        <f t="shared" si="2"/>
        <v>0</v>
      </c>
    </row>
    <row r="23" spans="1:13" ht="17" thickBot="1" x14ac:dyDescent="0.25">
      <c r="A23" s="9" t="s">
        <v>114</v>
      </c>
      <c r="B23" s="76" t="s">
        <v>910</v>
      </c>
      <c r="C23" s="9" t="s">
        <v>36</v>
      </c>
      <c r="D23" s="9" t="s">
        <v>1294</v>
      </c>
      <c r="E23" s="9">
        <v>48</v>
      </c>
      <c r="F23" s="65">
        <v>17400</v>
      </c>
      <c r="G23" s="65">
        <f t="shared" si="0"/>
        <v>835200</v>
      </c>
      <c r="H23" s="18">
        <v>12</v>
      </c>
      <c r="I23" s="116">
        <v>17400</v>
      </c>
      <c r="J23" s="116">
        <f t="shared" si="1"/>
        <v>208800</v>
      </c>
      <c r="K23" s="92"/>
      <c r="L23" s="309">
        <v>17400</v>
      </c>
      <c r="M23" s="309">
        <f t="shared" si="2"/>
        <v>0</v>
      </c>
    </row>
    <row r="24" spans="1:13" ht="17" thickBot="1" x14ac:dyDescent="0.25">
      <c r="A24" s="9" t="s">
        <v>62</v>
      </c>
      <c r="B24" s="76" t="s">
        <v>914</v>
      </c>
      <c r="C24" s="9" t="s">
        <v>36</v>
      </c>
      <c r="D24" s="18" t="s">
        <v>1295</v>
      </c>
      <c r="E24" s="9">
        <v>36</v>
      </c>
      <c r="F24" s="65">
        <v>8584</v>
      </c>
      <c r="G24" s="65">
        <f t="shared" si="0"/>
        <v>309024</v>
      </c>
      <c r="H24" s="18">
        <v>4</v>
      </c>
      <c r="I24" s="116">
        <v>8584</v>
      </c>
      <c r="J24" s="116">
        <f t="shared" si="1"/>
        <v>34336</v>
      </c>
      <c r="K24" s="92"/>
      <c r="L24" s="309">
        <v>8584</v>
      </c>
      <c r="M24" s="309">
        <f t="shared" si="2"/>
        <v>0</v>
      </c>
    </row>
    <row r="25" spans="1:13" ht="17" thickBot="1" x14ac:dyDescent="0.25">
      <c r="A25" s="9" t="s">
        <v>114</v>
      </c>
      <c r="B25" s="76" t="s">
        <v>890</v>
      </c>
      <c r="C25" s="9" t="s">
        <v>36</v>
      </c>
      <c r="D25" s="18" t="s">
        <v>1296</v>
      </c>
      <c r="E25" s="9">
        <v>48</v>
      </c>
      <c r="F25" s="65">
        <v>17400</v>
      </c>
      <c r="G25" s="65">
        <f t="shared" si="0"/>
        <v>835200</v>
      </c>
      <c r="H25" s="18">
        <v>12</v>
      </c>
      <c r="I25" s="116">
        <v>17400</v>
      </c>
      <c r="J25" s="116">
        <f t="shared" si="1"/>
        <v>208800</v>
      </c>
      <c r="K25" s="92"/>
      <c r="L25" s="309">
        <v>17400</v>
      </c>
      <c r="M25" s="309">
        <f t="shared" si="2"/>
        <v>0</v>
      </c>
    </row>
    <row r="26" spans="1:13" ht="17" thickBot="1" x14ac:dyDescent="0.25">
      <c r="A26" s="9" t="s">
        <v>47</v>
      </c>
      <c r="B26" s="76" t="s">
        <v>876</v>
      </c>
      <c r="C26" s="9" t="s">
        <v>36</v>
      </c>
      <c r="D26" s="18" t="s">
        <v>1297</v>
      </c>
      <c r="E26" s="9">
        <v>48</v>
      </c>
      <c r="F26" s="65">
        <v>11600</v>
      </c>
      <c r="G26" s="65">
        <f t="shared" si="0"/>
        <v>556800</v>
      </c>
      <c r="H26" s="18">
        <v>12</v>
      </c>
      <c r="I26" s="116">
        <v>11600</v>
      </c>
      <c r="J26" s="116">
        <f t="shared" si="1"/>
        <v>139200</v>
      </c>
      <c r="K26" s="92">
        <v>20</v>
      </c>
      <c r="L26" s="309">
        <v>11600</v>
      </c>
      <c r="M26" s="309">
        <f t="shared" si="2"/>
        <v>232000</v>
      </c>
    </row>
    <row r="27" spans="1:13" ht="17" thickBot="1" x14ac:dyDescent="0.25">
      <c r="A27" s="9" t="s">
        <v>139</v>
      </c>
      <c r="B27" s="76" t="s">
        <v>884</v>
      </c>
      <c r="C27" s="9" t="s">
        <v>36</v>
      </c>
      <c r="D27" s="9" t="s">
        <v>2373</v>
      </c>
      <c r="E27" s="9">
        <v>36</v>
      </c>
      <c r="F27" s="65">
        <v>7888</v>
      </c>
      <c r="G27" s="65">
        <f t="shared" si="0"/>
        <v>283968</v>
      </c>
      <c r="H27" s="18"/>
      <c r="I27" s="116">
        <v>7888</v>
      </c>
      <c r="J27" s="116">
        <f t="shared" si="1"/>
        <v>0</v>
      </c>
      <c r="K27" s="92">
        <v>24</v>
      </c>
      <c r="L27" s="309">
        <v>7888</v>
      </c>
      <c r="M27" s="309">
        <f t="shared" si="2"/>
        <v>189312</v>
      </c>
    </row>
    <row r="28" spans="1:13" ht="17" thickBot="1" x14ac:dyDescent="0.25">
      <c r="A28" s="9" t="s">
        <v>63</v>
      </c>
      <c r="B28" s="76" t="s">
        <v>877</v>
      </c>
      <c r="C28" s="9" t="s">
        <v>36</v>
      </c>
      <c r="D28" s="9" t="s">
        <v>1298</v>
      </c>
      <c r="E28" s="9">
        <v>60</v>
      </c>
      <c r="F28" s="65">
        <v>928</v>
      </c>
      <c r="G28" s="65">
        <f t="shared" si="0"/>
        <v>55680</v>
      </c>
      <c r="H28" s="18">
        <v>16</v>
      </c>
      <c r="I28" s="116">
        <v>928</v>
      </c>
      <c r="J28" s="116">
        <f t="shared" si="1"/>
        <v>14848</v>
      </c>
      <c r="K28" s="92">
        <v>14</v>
      </c>
      <c r="L28" s="309">
        <v>928</v>
      </c>
      <c r="M28" s="309">
        <f t="shared" si="2"/>
        <v>12992</v>
      </c>
    </row>
    <row r="29" spans="1:13" ht="17" thickBot="1" x14ac:dyDescent="0.25">
      <c r="A29" s="9" t="s">
        <v>61</v>
      </c>
      <c r="B29" s="76" t="s">
        <v>881</v>
      </c>
      <c r="C29" s="9" t="s">
        <v>36</v>
      </c>
      <c r="D29" s="9" t="s">
        <v>2374</v>
      </c>
      <c r="E29" s="9">
        <v>36</v>
      </c>
      <c r="F29" s="65">
        <v>11600</v>
      </c>
      <c r="G29" s="65">
        <f t="shared" si="0"/>
        <v>417600</v>
      </c>
      <c r="H29" s="18"/>
      <c r="I29" s="116">
        <v>11600</v>
      </c>
      <c r="J29" s="116">
        <f t="shared" si="1"/>
        <v>0</v>
      </c>
      <c r="K29" s="92">
        <v>18</v>
      </c>
      <c r="L29" s="309">
        <v>11600</v>
      </c>
      <c r="M29" s="309">
        <f t="shared" si="2"/>
        <v>208800</v>
      </c>
    </row>
    <row r="30" spans="1:13" ht="17" thickBot="1" x14ac:dyDescent="0.25">
      <c r="G30" s="66">
        <f>SUM(G3:G29)</f>
        <v>38341248</v>
      </c>
      <c r="J30" s="115">
        <f>SUM(J3:J29)</f>
        <v>7368320</v>
      </c>
      <c r="M30" s="308">
        <f>SUM(M3:M29)</f>
        <v>3869296</v>
      </c>
    </row>
    <row r="32" spans="1:13" ht="17" thickBot="1" x14ac:dyDescent="0.25">
      <c r="A32" s="30" t="s">
        <v>1039</v>
      </c>
      <c r="B32" s="30"/>
      <c r="C32" s="98" t="s">
        <v>1000</v>
      </c>
      <c r="D32" s="2" t="s">
        <v>1001</v>
      </c>
    </row>
    <row r="33" spans="1:13" ht="17" thickBot="1" x14ac:dyDescent="0.25">
      <c r="A33" s="9" t="s">
        <v>1002</v>
      </c>
      <c r="B33" s="76" t="s">
        <v>960</v>
      </c>
      <c r="C33" s="100" t="s">
        <v>36</v>
      </c>
      <c r="D33" s="9"/>
      <c r="E33" s="9">
        <v>29</v>
      </c>
      <c r="F33" s="101">
        <v>3248</v>
      </c>
      <c r="G33" s="102">
        <f>F33*E33</f>
        <v>94192</v>
      </c>
      <c r="H33" s="18">
        <v>14</v>
      </c>
      <c r="I33" s="117">
        <v>3248</v>
      </c>
      <c r="J33" s="118">
        <f>I33*H33</f>
        <v>45472</v>
      </c>
      <c r="K33" s="9">
        <f>E33-H33</f>
        <v>15</v>
      </c>
      <c r="L33" s="101">
        <v>3248</v>
      </c>
      <c r="M33" s="102">
        <f>L33*K33</f>
        <v>48720</v>
      </c>
    </row>
    <row r="34" spans="1:13" ht="17" thickBot="1" x14ac:dyDescent="0.25">
      <c r="A34" s="9" t="s">
        <v>1003</v>
      </c>
      <c r="B34" s="76"/>
      <c r="C34" s="100" t="s">
        <v>36</v>
      </c>
      <c r="D34" s="9"/>
      <c r="E34" s="9">
        <v>41</v>
      </c>
      <c r="F34" s="101">
        <v>9280</v>
      </c>
      <c r="G34" s="102">
        <f t="shared" ref="G34:G72" si="3">F34*E34</f>
        <v>380480</v>
      </c>
      <c r="H34" s="18"/>
      <c r="I34" s="117">
        <v>9280</v>
      </c>
      <c r="J34" s="118">
        <f t="shared" ref="J34:J72" si="4">I34*H34</f>
        <v>0</v>
      </c>
      <c r="K34" s="9">
        <f t="shared" ref="K34:K72" si="5">E34-H34</f>
        <v>41</v>
      </c>
      <c r="L34" s="101">
        <v>9280</v>
      </c>
      <c r="M34" s="102">
        <f t="shared" ref="M34:M72" si="6">L34*K34</f>
        <v>380480</v>
      </c>
    </row>
    <row r="35" spans="1:13" ht="17" thickBot="1" x14ac:dyDescent="0.25">
      <c r="A35" s="9" t="s">
        <v>1004</v>
      </c>
      <c r="B35" s="76" t="s">
        <v>1332</v>
      </c>
      <c r="C35" s="100" t="s">
        <v>36</v>
      </c>
      <c r="D35" s="9" t="s">
        <v>1328</v>
      </c>
      <c r="E35" s="9">
        <v>41</v>
      </c>
      <c r="F35" s="101">
        <v>2900</v>
      </c>
      <c r="G35" s="102">
        <f t="shared" si="3"/>
        <v>118900</v>
      </c>
      <c r="H35" s="18">
        <v>20</v>
      </c>
      <c r="I35" s="117">
        <v>2900</v>
      </c>
      <c r="J35" s="118">
        <f t="shared" si="4"/>
        <v>58000</v>
      </c>
      <c r="K35" s="9">
        <f t="shared" si="5"/>
        <v>21</v>
      </c>
      <c r="L35" s="101">
        <v>2900</v>
      </c>
      <c r="M35" s="102">
        <f t="shared" si="6"/>
        <v>60900</v>
      </c>
    </row>
    <row r="36" spans="1:13" ht="17" thickBot="1" x14ac:dyDescent="0.25">
      <c r="A36" s="9" t="s">
        <v>1005</v>
      </c>
      <c r="B36" s="76"/>
      <c r="C36" s="100" t="s">
        <v>36</v>
      </c>
      <c r="D36" s="9"/>
      <c r="E36" s="9">
        <v>41</v>
      </c>
      <c r="F36" s="101">
        <v>9280</v>
      </c>
      <c r="G36" s="102">
        <f t="shared" si="3"/>
        <v>380480</v>
      </c>
      <c r="H36" s="18"/>
      <c r="I36" s="117">
        <v>9280</v>
      </c>
      <c r="J36" s="118">
        <f t="shared" si="4"/>
        <v>0</v>
      </c>
      <c r="K36" s="9">
        <f t="shared" si="5"/>
        <v>41</v>
      </c>
      <c r="L36" s="101">
        <v>9280</v>
      </c>
      <c r="M36" s="102">
        <f t="shared" si="6"/>
        <v>380480</v>
      </c>
    </row>
    <row r="37" spans="1:13" ht="17" thickBot="1" x14ac:dyDescent="0.25">
      <c r="A37" s="9" t="s">
        <v>1006</v>
      </c>
      <c r="B37" s="76" t="s">
        <v>836</v>
      </c>
      <c r="C37" s="100" t="s">
        <v>36</v>
      </c>
      <c r="D37" s="9" t="s">
        <v>1327</v>
      </c>
      <c r="E37" s="9">
        <v>89</v>
      </c>
      <c r="F37" s="101">
        <v>2320</v>
      </c>
      <c r="G37" s="102">
        <f t="shared" si="3"/>
        <v>206480</v>
      </c>
      <c r="H37" s="18">
        <v>9</v>
      </c>
      <c r="I37" s="117">
        <v>2320</v>
      </c>
      <c r="J37" s="118">
        <f t="shared" si="4"/>
        <v>20880</v>
      </c>
      <c r="K37" s="9">
        <f t="shared" si="5"/>
        <v>80</v>
      </c>
      <c r="L37" s="101">
        <v>2320</v>
      </c>
      <c r="M37" s="102">
        <f t="shared" si="6"/>
        <v>185600</v>
      </c>
    </row>
    <row r="38" spans="1:13" ht="17" thickBot="1" x14ac:dyDescent="0.25">
      <c r="A38" s="9" t="s">
        <v>1007</v>
      </c>
      <c r="B38" s="76" t="s">
        <v>1333</v>
      </c>
      <c r="C38" s="100" t="s">
        <v>36</v>
      </c>
      <c r="D38" s="9" t="s">
        <v>1326</v>
      </c>
      <c r="E38" s="9">
        <v>41</v>
      </c>
      <c r="F38" s="101">
        <v>6960</v>
      </c>
      <c r="G38" s="102">
        <f t="shared" si="3"/>
        <v>285360</v>
      </c>
      <c r="H38" s="18">
        <v>18</v>
      </c>
      <c r="I38" s="117">
        <v>6960</v>
      </c>
      <c r="J38" s="118">
        <f t="shared" si="4"/>
        <v>125280</v>
      </c>
      <c r="K38" s="9">
        <f t="shared" si="5"/>
        <v>23</v>
      </c>
      <c r="L38" s="101">
        <v>6960</v>
      </c>
      <c r="M38" s="102">
        <f t="shared" si="6"/>
        <v>160080</v>
      </c>
    </row>
    <row r="39" spans="1:13" ht="17" thickBot="1" x14ac:dyDescent="0.25">
      <c r="A39" s="9" t="s">
        <v>1008</v>
      </c>
      <c r="B39" s="76" t="s">
        <v>860</v>
      </c>
      <c r="C39" s="100" t="s">
        <v>36</v>
      </c>
      <c r="D39" s="9" t="s">
        <v>1325</v>
      </c>
      <c r="E39" s="9">
        <v>65</v>
      </c>
      <c r="F39" s="101">
        <v>2900</v>
      </c>
      <c r="G39" s="102">
        <f t="shared" si="3"/>
        <v>188500</v>
      </c>
      <c r="H39" s="18">
        <v>28</v>
      </c>
      <c r="I39" s="117">
        <v>2900</v>
      </c>
      <c r="J39" s="118">
        <f t="shared" si="4"/>
        <v>81200</v>
      </c>
      <c r="K39" s="9">
        <f t="shared" si="5"/>
        <v>37</v>
      </c>
      <c r="L39" s="101">
        <v>2900</v>
      </c>
      <c r="M39" s="102">
        <f t="shared" si="6"/>
        <v>107300</v>
      </c>
    </row>
    <row r="40" spans="1:13" ht="17" thickBot="1" x14ac:dyDescent="0.25">
      <c r="A40" s="9" t="s">
        <v>1009</v>
      </c>
      <c r="B40" s="76" t="s">
        <v>1334</v>
      </c>
      <c r="C40" s="100" t="s">
        <v>36</v>
      </c>
      <c r="D40" s="9" t="s">
        <v>1324</v>
      </c>
      <c r="E40" s="9">
        <v>29</v>
      </c>
      <c r="F40" s="101">
        <v>9280</v>
      </c>
      <c r="G40" s="102">
        <f t="shared" si="3"/>
        <v>269120</v>
      </c>
      <c r="H40" s="18">
        <v>7</v>
      </c>
      <c r="I40" s="117">
        <v>9280</v>
      </c>
      <c r="J40" s="118">
        <f t="shared" si="4"/>
        <v>64960</v>
      </c>
      <c r="K40" s="9">
        <f t="shared" si="5"/>
        <v>22</v>
      </c>
      <c r="L40" s="101">
        <v>9280</v>
      </c>
      <c r="M40" s="102">
        <f t="shared" si="6"/>
        <v>204160</v>
      </c>
    </row>
    <row r="41" spans="1:13" ht="17" thickBot="1" x14ac:dyDescent="0.25">
      <c r="A41" s="9" t="s">
        <v>1010</v>
      </c>
      <c r="B41" s="76" t="s">
        <v>882</v>
      </c>
      <c r="C41" s="100" t="s">
        <v>36</v>
      </c>
      <c r="D41" s="9" t="s">
        <v>1323</v>
      </c>
      <c r="E41" s="9">
        <v>41</v>
      </c>
      <c r="F41" s="101">
        <v>9860</v>
      </c>
      <c r="G41" s="102">
        <f t="shared" si="3"/>
        <v>404260</v>
      </c>
      <c r="H41" s="18">
        <v>18</v>
      </c>
      <c r="I41" s="117">
        <v>9860</v>
      </c>
      <c r="J41" s="118">
        <f t="shared" si="4"/>
        <v>177480</v>
      </c>
      <c r="K41" s="9">
        <f t="shared" si="5"/>
        <v>23</v>
      </c>
      <c r="L41" s="101">
        <v>9860</v>
      </c>
      <c r="M41" s="102">
        <f t="shared" si="6"/>
        <v>226780</v>
      </c>
    </row>
    <row r="42" spans="1:13" ht="17" thickBot="1" x14ac:dyDescent="0.25">
      <c r="A42" s="9" t="s">
        <v>1011</v>
      </c>
      <c r="B42" s="76" t="s">
        <v>1335</v>
      </c>
      <c r="C42" s="100" t="s">
        <v>36</v>
      </c>
      <c r="D42" s="9" t="s">
        <v>1322</v>
      </c>
      <c r="E42" s="9">
        <v>41</v>
      </c>
      <c r="F42" s="101">
        <v>7308</v>
      </c>
      <c r="G42" s="102">
        <f t="shared" si="3"/>
        <v>299628</v>
      </c>
      <c r="H42" s="18">
        <v>18</v>
      </c>
      <c r="I42" s="117">
        <v>7308</v>
      </c>
      <c r="J42" s="118">
        <f t="shared" si="4"/>
        <v>131544</v>
      </c>
      <c r="K42" s="9">
        <f t="shared" si="5"/>
        <v>23</v>
      </c>
      <c r="L42" s="101">
        <v>7308</v>
      </c>
      <c r="M42" s="102">
        <f t="shared" si="6"/>
        <v>168084</v>
      </c>
    </row>
    <row r="43" spans="1:13" ht="17" thickBot="1" x14ac:dyDescent="0.25">
      <c r="A43" s="9" t="s">
        <v>1012</v>
      </c>
      <c r="B43" s="76" t="s">
        <v>916</v>
      </c>
      <c r="C43" s="100" t="s">
        <v>36</v>
      </c>
      <c r="D43" s="9" t="s">
        <v>1321</v>
      </c>
      <c r="E43" s="9">
        <v>65</v>
      </c>
      <c r="F43" s="101">
        <v>8700</v>
      </c>
      <c r="G43" s="102">
        <f t="shared" si="3"/>
        <v>565500</v>
      </c>
      <c r="H43" s="18">
        <v>12</v>
      </c>
      <c r="I43" s="117">
        <v>8700</v>
      </c>
      <c r="J43" s="118">
        <f t="shared" si="4"/>
        <v>104400</v>
      </c>
      <c r="K43" s="9">
        <f t="shared" si="5"/>
        <v>53</v>
      </c>
      <c r="L43" s="101">
        <v>8700</v>
      </c>
      <c r="M43" s="102">
        <f t="shared" si="6"/>
        <v>461100</v>
      </c>
    </row>
    <row r="44" spans="1:13" ht="17" thickBot="1" x14ac:dyDescent="0.25">
      <c r="A44" s="9" t="s">
        <v>1013</v>
      </c>
      <c r="B44" s="76"/>
      <c r="C44" s="100" t="s">
        <v>36</v>
      </c>
      <c r="D44" s="9"/>
      <c r="E44" s="9">
        <v>29</v>
      </c>
      <c r="F44" s="101">
        <v>5800</v>
      </c>
      <c r="G44" s="102">
        <f t="shared" si="3"/>
        <v>168200</v>
      </c>
      <c r="H44" s="18"/>
      <c r="I44" s="117">
        <v>5800</v>
      </c>
      <c r="J44" s="118">
        <f t="shared" si="4"/>
        <v>0</v>
      </c>
      <c r="K44" s="9">
        <f t="shared" si="5"/>
        <v>29</v>
      </c>
      <c r="L44" s="101">
        <v>5800</v>
      </c>
      <c r="M44" s="102">
        <f t="shared" si="6"/>
        <v>168200</v>
      </c>
    </row>
    <row r="45" spans="1:13" ht="17" thickBot="1" x14ac:dyDescent="0.25">
      <c r="A45" s="9" t="s">
        <v>1014</v>
      </c>
      <c r="B45" s="76" t="s">
        <v>892</v>
      </c>
      <c r="C45" s="100" t="s">
        <v>36</v>
      </c>
      <c r="D45" s="9" t="s">
        <v>1320</v>
      </c>
      <c r="E45" s="9">
        <v>65</v>
      </c>
      <c r="F45" s="101">
        <v>5220</v>
      </c>
      <c r="G45" s="102">
        <f t="shared" si="3"/>
        <v>339300</v>
      </c>
      <c r="H45" s="18">
        <v>16</v>
      </c>
      <c r="I45" s="117">
        <v>5220</v>
      </c>
      <c r="J45" s="118">
        <f t="shared" si="4"/>
        <v>83520</v>
      </c>
      <c r="K45" s="9">
        <f t="shared" si="5"/>
        <v>49</v>
      </c>
      <c r="L45" s="101">
        <v>5220</v>
      </c>
      <c r="M45" s="102">
        <f t="shared" si="6"/>
        <v>255780</v>
      </c>
    </row>
    <row r="46" spans="1:13" ht="17" thickBot="1" x14ac:dyDescent="0.25">
      <c r="A46" s="9" t="s">
        <v>1015</v>
      </c>
      <c r="B46" s="76"/>
      <c r="C46" s="100" t="s">
        <v>36</v>
      </c>
      <c r="D46" s="9"/>
      <c r="E46" s="9">
        <v>125</v>
      </c>
      <c r="F46" s="101">
        <v>5800</v>
      </c>
      <c r="G46" s="102">
        <f t="shared" si="3"/>
        <v>725000</v>
      </c>
      <c r="H46" s="18"/>
      <c r="I46" s="117">
        <v>5800</v>
      </c>
      <c r="J46" s="118">
        <f t="shared" si="4"/>
        <v>0</v>
      </c>
      <c r="K46" s="9">
        <f t="shared" si="5"/>
        <v>125</v>
      </c>
      <c r="L46" s="101">
        <v>5800</v>
      </c>
      <c r="M46" s="102">
        <f t="shared" si="6"/>
        <v>725000</v>
      </c>
    </row>
    <row r="47" spans="1:13" ht="17" thickBot="1" x14ac:dyDescent="0.25">
      <c r="A47" s="9" t="s">
        <v>1016</v>
      </c>
      <c r="B47" s="76" t="s">
        <v>971</v>
      </c>
      <c r="C47" s="100" t="s">
        <v>36</v>
      </c>
      <c r="D47" s="18" t="s">
        <v>1319</v>
      </c>
      <c r="E47" s="9">
        <v>125</v>
      </c>
      <c r="F47" s="101">
        <v>8120</v>
      </c>
      <c r="G47" s="102">
        <f t="shared" si="3"/>
        <v>1015000</v>
      </c>
      <c r="H47" s="18">
        <v>30</v>
      </c>
      <c r="I47" s="117">
        <v>8120</v>
      </c>
      <c r="J47" s="118">
        <f t="shared" si="4"/>
        <v>243600</v>
      </c>
      <c r="K47" s="9">
        <f t="shared" si="5"/>
        <v>95</v>
      </c>
      <c r="L47" s="101">
        <v>8120</v>
      </c>
      <c r="M47" s="102">
        <f t="shared" si="6"/>
        <v>771400</v>
      </c>
    </row>
    <row r="48" spans="1:13" ht="17" thickBot="1" x14ac:dyDescent="0.25">
      <c r="A48" s="9" t="s">
        <v>1017</v>
      </c>
      <c r="B48" s="76" t="s">
        <v>1336</v>
      </c>
      <c r="C48" s="100" t="s">
        <v>36</v>
      </c>
      <c r="D48" s="9" t="s">
        <v>1315</v>
      </c>
      <c r="E48" s="9">
        <v>29</v>
      </c>
      <c r="F48" s="101">
        <v>5220</v>
      </c>
      <c r="G48" s="102">
        <f t="shared" si="3"/>
        <v>151380</v>
      </c>
      <c r="H48" s="18">
        <v>15</v>
      </c>
      <c r="I48" s="117">
        <v>5220</v>
      </c>
      <c r="J48" s="118">
        <f t="shared" si="4"/>
        <v>78300</v>
      </c>
      <c r="K48" s="9">
        <f t="shared" si="5"/>
        <v>14</v>
      </c>
      <c r="L48" s="101">
        <v>5220</v>
      </c>
      <c r="M48" s="102">
        <f t="shared" si="6"/>
        <v>73080</v>
      </c>
    </row>
    <row r="49" spans="1:13" ht="17" thickBot="1" x14ac:dyDescent="0.25">
      <c r="A49" s="9" t="s">
        <v>1018</v>
      </c>
      <c r="B49" s="76"/>
      <c r="C49" s="100" t="s">
        <v>36</v>
      </c>
      <c r="D49" s="9"/>
      <c r="E49" s="9">
        <v>65</v>
      </c>
      <c r="F49" s="101">
        <v>8120</v>
      </c>
      <c r="G49" s="102">
        <f t="shared" si="3"/>
        <v>527800</v>
      </c>
      <c r="H49" s="18"/>
      <c r="I49" s="117">
        <v>8120</v>
      </c>
      <c r="J49" s="118">
        <f t="shared" si="4"/>
        <v>0</v>
      </c>
      <c r="K49" s="9">
        <f t="shared" si="5"/>
        <v>65</v>
      </c>
      <c r="L49" s="101">
        <v>8120</v>
      </c>
      <c r="M49" s="102">
        <f t="shared" si="6"/>
        <v>527800</v>
      </c>
    </row>
    <row r="50" spans="1:13" ht="17" thickBot="1" x14ac:dyDescent="0.25">
      <c r="A50" s="9" t="s">
        <v>1019</v>
      </c>
      <c r="B50" s="76" t="s">
        <v>1337</v>
      </c>
      <c r="C50" s="100" t="s">
        <v>36</v>
      </c>
      <c r="D50" s="9" t="s">
        <v>1317</v>
      </c>
      <c r="E50" s="9">
        <v>65</v>
      </c>
      <c r="F50" s="101">
        <v>8120</v>
      </c>
      <c r="G50" s="102">
        <f t="shared" si="3"/>
        <v>527800</v>
      </c>
      <c r="H50" s="18">
        <v>12</v>
      </c>
      <c r="I50" s="117">
        <v>8120</v>
      </c>
      <c r="J50" s="118">
        <f t="shared" si="4"/>
        <v>97440</v>
      </c>
      <c r="K50" s="9">
        <f t="shared" si="5"/>
        <v>53</v>
      </c>
      <c r="L50" s="101">
        <v>8120</v>
      </c>
      <c r="M50" s="102">
        <f t="shared" si="6"/>
        <v>430360</v>
      </c>
    </row>
    <row r="51" spans="1:13" ht="17" thickBot="1" x14ac:dyDescent="0.25">
      <c r="A51" s="9" t="s">
        <v>1020</v>
      </c>
      <c r="B51" s="76" t="s">
        <v>848</v>
      </c>
      <c r="C51" s="100" t="s">
        <v>36</v>
      </c>
      <c r="D51" s="9" t="s">
        <v>1318</v>
      </c>
      <c r="E51" s="9">
        <v>53</v>
      </c>
      <c r="F51" s="101">
        <v>6148</v>
      </c>
      <c r="G51" s="102">
        <f t="shared" si="3"/>
        <v>325844</v>
      </c>
      <c r="H51" s="18">
        <v>6</v>
      </c>
      <c r="I51" s="117">
        <v>6148</v>
      </c>
      <c r="J51" s="118">
        <f t="shared" si="4"/>
        <v>36888</v>
      </c>
      <c r="K51" s="9">
        <f t="shared" si="5"/>
        <v>47</v>
      </c>
      <c r="L51" s="101">
        <v>6148</v>
      </c>
      <c r="M51" s="102">
        <f t="shared" si="6"/>
        <v>288956</v>
      </c>
    </row>
    <row r="52" spans="1:13" ht="17" thickBot="1" x14ac:dyDescent="0.25">
      <c r="A52" s="9" t="s">
        <v>1021</v>
      </c>
      <c r="B52" s="76"/>
      <c r="C52" s="100" t="s">
        <v>36</v>
      </c>
      <c r="D52" s="9"/>
      <c r="E52" s="9">
        <v>41</v>
      </c>
      <c r="F52" s="101">
        <v>6960</v>
      </c>
      <c r="G52" s="102">
        <f t="shared" si="3"/>
        <v>285360</v>
      </c>
      <c r="H52" s="18"/>
      <c r="I52" s="117">
        <v>6960</v>
      </c>
      <c r="J52" s="118">
        <f t="shared" si="4"/>
        <v>0</v>
      </c>
      <c r="K52" s="9">
        <f t="shared" si="5"/>
        <v>41</v>
      </c>
      <c r="L52" s="101">
        <v>6960</v>
      </c>
      <c r="M52" s="102">
        <f t="shared" si="6"/>
        <v>285360</v>
      </c>
    </row>
    <row r="53" spans="1:13" ht="17" thickBot="1" x14ac:dyDescent="0.25">
      <c r="A53" s="9" t="s">
        <v>1022</v>
      </c>
      <c r="B53" s="76"/>
      <c r="C53" s="100" t="s">
        <v>36</v>
      </c>
      <c r="D53" s="9"/>
      <c r="E53" s="9">
        <v>65</v>
      </c>
      <c r="F53" s="101">
        <v>5800</v>
      </c>
      <c r="G53" s="102">
        <f t="shared" si="3"/>
        <v>377000</v>
      </c>
      <c r="H53" s="18"/>
      <c r="I53" s="117">
        <v>5800</v>
      </c>
      <c r="J53" s="118">
        <f t="shared" si="4"/>
        <v>0</v>
      </c>
      <c r="K53" s="9">
        <f t="shared" si="5"/>
        <v>65</v>
      </c>
      <c r="L53" s="101">
        <v>5800</v>
      </c>
      <c r="M53" s="102">
        <f t="shared" si="6"/>
        <v>377000</v>
      </c>
    </row>
    <row r="54" spans="1:13" ht="17" thickBot="1" x14ac:dyDescent="0.25">
      <c r="A54" s="9" t="s">
        <v>1023</v>
      </c>
      <c r="B54" s="76" t="s">
        <v>890</v>
      </c>
      <c r="C54" s="100" t="s">
        <v>36</v>
      </c>
      <c r="D54" s="18" t="s">
        <v>1316</v>
      </c>
      <c r="E54" s="9">
        <v>41</v>
      </c>
      <c r="F54" s="101">
        <v>9048</v>
      </c>
      <c r="G54" s="102">
        <f t="shared" si="3"/>
        <v>370968</v>
      </c>
      <c r="H54" s="18">
        <v>20</v>
      </c>
      <c r="I54" s="117">
        <v>9048</v>
      </c>
      <c r="J54" s="118">
        <f t="shared" si="4"/>
        <v>180960</v>
      </c>
      <c r="K54" s="9">
        <f t="shared" si="5"/>
        <v>21</v>
      </c>
      <c r="L54" s="101">
        <v>9048</v>
      </c>
      <c r="M54" s="102">
        <f t="shared" si="6"/>
        <v>190008</v>
      </c>
    </row>
    <row r="55" spans="1:13" ht="17" thickBot="1" x14ac:dyDescent="0.25">
      <c r="A55" s="9" t="s">
        <v>1024</v>
      </c>
      <c r="B55" s="76" t="s">
        <v>888</v>
      </c>
      <c r="C55" s="100" t="s">
        <v>36</v>
      </c>
      <c r="D55" s="9" t="s">
        <v>1314</v>
      </c>
      <c r="E55" s="9">
        <v>65</v>
      </c>
      <c r="F55" s="101">
        <v>8120</v>
      </c>
      <c r="G55" s="102">
        <f t="shared" si="3"/>
        <v>527800</v>
      </c>
      <c r="H55" s="18">
        <v>30</v>
      </c>
      <c r="I55" s="117">
        <v>8120</v>
      </c>
      <c r="J55" s="118">
        <f t="shared" si="4"/>
        <v>243600</v>
      </c>
      <c r="K55" s="9">
        <f t="shared" si="5"/>
        <v>35</v>
      </c>
      <c r="L55" s="101">
        <v>8120</v>
      </c>
      <c r="M55" s="102">
        <f t="shared" si="6"/>
        <v>284200</v>
      </c>
    </row>
    <row r="56" spans="1:13" ht="17" thickBot="1" x14ac:dyDescent="0.25">
      <c r="A56" s="9" t="s">
        <v>1025</v>
      </c>
      <c r="B56" s="76"/>
      <c r="C56" s="100" t="s">
        <v>36</v>
      </c>
      <c r="D56" s="9"/>
      <c r="E56" s="9">
        <v>125</v>
      </c>
      <c r="F56" s="101">
        <v>4640</v>
      </c>
      <c r="G56" s="102">
        <f t="shared" si="3"/>
        <v>580000</v>
      </c>
      <c r="H56" s="18"/>
      <c r="I56" s="117">
        <v>4640</v>
      </c>
      <c r="J56" s="118">
        <f t="shared" si="4"/>
        <v>0</v>
      </c>
      <c r="K56" s="9">
        <f t="shared" si="5"/>
        <v>125</v>
      </c>
      <c r="L56" s="101">
        <v>4640</v>
      </c>
      <c r="M56" s="102">
        <f t="shared" si="6"/>
        <v>580000</v>
      </c>
    </row>
    <row r="57" spans="1:13" ht="18" thickBot="1" x14ac:dyDescent="0.25">
      <c r="A57" s="11" t="s">
        <v>1026</v>
      </c>
      <c r="B57" s="119" t="s">
        <v>1338</v>
      </c>
      <c r="C57" s="100" t="s">
        <v>36</v>
      </c>
      <c r="D57" s="9" t="s">
        <v>1313</v>
      </c>
      <c r="E57" s="9">
        <v>65</v>
      </c>
      <c r="F57" s="101">
        <v>8120</v>
      </c>
      <c r="G57" s="102">
        <f t="shared" si="3"/>
        <v>527800</v>
      </c>
      <c r="H57" s="18">
        <v>8</v>
      </c>
      <c r="I57" s="117">
        <v>8120</v>
      </c>
      <c r="J57" s="118">
        <f t="shared" si="4"/>
        <v>64960</v>
      </c>
      <c r="K57" s="9">
        <f t="shared" si="5"/>
        <v>57</v>
      </c>
      <c r="L57" s="101">
        <v>8120</v>
      </c>
      <c r="M57" s="102">
        <f t="shared" si="6"/>
        <v>462840</v>
      </c>
    </row>
    <row r="58" spans="1:13" ht="17" thickBot="1" x14ac:dyDescent="0.25">
      <c r="A58" s="9" t="s">
        <v>1027</v>
      </c>
      <c r="B58" s="76" t="s">
        <v>1280</v>
      </c>
      <c r="C58" s="100" t="s">
        <v>36</v>
      </c>
      <c r="D58" s="9" t="s">
        <v>1312</v>
      </c>
      <c r="E58" s="9">
        <v>41</v>
      </c>
      <c r="F58" s="101">
        <v>8120</v>
      </c>
      <c r="G58" s="102">
        <f t="shared" si="3"/>
        <v>332920</v>
      </c>
      <c r="H58" s="18">
        <v>12</v>
      </c>
      <c r="I58" s="117">
        <v>8120</v>
      </c>
      <c r="J58" s="118">
        <f t="shared" si="4"/>
        <v>97440</v>
      </c>
      <c r="K58" s="9">
        <f t="shared" si="5"/>
        <v>29</v>
      </c>
      <c r="L58" s="101">
        <v>8120</v>
      </c>
      <c r="M58" s="102">
        <f t="shared" si="6"/>
        <v>235480</v>
      </c>
    </row>
    <row r="59" spans="1:13" ht="17" thickBot="1" x14ac:dyDescent="0.25">
      <c r="A59" s="9" t="s">
        <v>1028</v>
      </c>
      <c r="B59" s="76"/>
      <c r="C59" s="100" t="s">
        <v>36</v>
      </c>
      <c r="D59" s="9"/>
      <c r="E59" s="9">
        <v>41</v>
      </c>
      <c r="F59" s="101">
        <v>4640</v>
      </c>
      <c r="G59" s="102">
        <f t="shared" si="3"/>
        <v>190240</v>
      </c>
      <c r="H59" s="18"/>
      <c r="I59" s="117">
        <v>4640</v>
      </c>
      <c r="J59" s="118">
        <f t="shared" si="4"/>
        <v>0</v>
      </c>
      <c r="K59" s="9">
        <f t="shared" si="5"/>
        <v>41</v>
      </c>
      <c r="L59" s="101">
        <v>4640</v>
      </c>
      <c r="M59" s="102">
        <f t="shared" si="6"/>
        <v>190240</v>
      </c>
    </row>
    <row r="60" spans="1:13" ht="17" thickBot="1" x14ac:dyDescent="0.25">
      <c r="A60" s="9" t="s">
        <v>1029</v>
      </c>
      <c r="B60" s="76" t="s">
        <v>1339</v>
      </c>
      <c r="C60" s="100" t="s">
        <v>36</v>
      </c>
      <c r="D60" s="9" t="s">
        <v>1311</v>
      </c>
      <c r="E60" s="9">
        <v>29</v>
      </c>
      <c r="F60" s="101">
        <v>9280</v>
      </c>
      <c r="G60" s="102">
        <f t="shared" si="3"/>
        <v>269120</v>
      </c>
      <c r="H60" s="18">
        <v>7</v>
      </c>
      <c r="I60" s="117">
        <v>9280</v>
      </c>
      <c r="J60" s="118">
        <f t="shared" si="4"/>
        <v>64960</v>
      </c>
      <c r="K60" s="9">
        <f t="shared" si="5"/>
        <v>22</v>
      </c>
      <c r="L60" s="101">
        <v>9280</v>
      </c>
      <c r="M60" s="102">
        <f t="shared" si="6"/>
        <v>204160</v>
      </c>
    </row>
    <row r="61" spans="1:13" ht="17" thickBot="1" x14ac:dyDescent="0.25">
      <c r="A61" s="9" t="s">
        <v>1030</v>
      </c>
      <c r="B61" s="76" t="s">
        <v>1340</v>
      </c>
      <c r="C61" s="100" t="s">
        <v>36</v>
      </c>
      <c r="D61" s="9" t="s">
        <v>1310</v>
      </c>
      <c r="E61" s="9">
        <v>29</v>
      </c>
      <c r="F61" s="101">
        <v>9280</v>
      </c>
      <c r="G61" s="102">
        <f t="shared" si="3"/>
        <v>269120</v>
      </c>
      <c r="H61" s="18">
        <v>15</v>
      </c>
      <c r="I61" s="117">
        <v>9280</v>
      </c>
      <c r="J61" s="118">
        <f t="shared" si="4"/>
        <v>139200</v>
      </c>
      <c r="K61" s="9">
        <f t="shared" si="5"/>
        <v>14</v>
      </c>
      <c r="L61" s="101">
        <v>9280</v>
      </c>
      <c r="M61" s="102">
        <f t="shared" si="6"/>
        <v>129920</v>
      </c>
    </row>
    <row r="62" spans="1:13" ht="17" thickBot="1" x14ac:dyDescent="0.25">
      <c r="A62" s="9" t="s">
        <v>1031</v>
      </c>
      <c r="B62" s="76" t="s">
        <v>915</v>
      </c>
      <c r="C62" s="100" t="s">
        <v>36</v>
      </c>
      <c r="D62" s="9" t="s">
        <v>1309</v>
      </c>
      <c r="E62" s="9">
        <v>65</v>
      </c>
      <c r="F62" s="101">
        <v>3480</v>
      </c>
      <c r="G62" s="102">
        <f t="shared" si="3"/>
        <v>226200</v>
      </c>
      <c r="H62" s="18">
        <v>12</v>
      </c>
      <c r="I62" s="117">
        <v>3480</v>
      </c>
      <c r="J62" s="118">
        <f t="shared" si="4"/>
        <v>41760</v>
      </c>
      <c r="K62" s="9">
        <f t="shared" si="5"/>
        <v>53</v>
      </c>
      <c r="L62" s="101">
        <v>3480</v>
      </c>
      <c r="M62" s="102">
        <f t="shared" si="6"/>
        <v>184440</v>
      </c>
    </row>
    <row r="63" spans="1:13" ht="17" thickBot="1" x14ac:dyDescent="0.25">
      <c r="A63" s="9" t="s">
        <v>1032</v>
      </c>
      <c r="B63" s="76" t="s">
        <v>850</v>
      </c>
      <c r="C63" s="100" t="s">
        <v>36</v>
      </c>
      <c r="D63" s="9" t="s">
        <v>1308</v>
      </c>
      <c r="E63" s="9">
        <v>53</v>
      </c>
      <c r="F63" s="101">
        <v>16240</v>
      </c>
      <c r="G63" s="102">
        <f t="shared" si="3"/>
        <v>860720</v>
      </c>
      <c r="H63" s="18">
        <v>26</v>
      </c>
      <c r="I63" s="117">
        <v>16240</v>
      </c>
      <c r="J63" s="118">
        <f t="shared" si="4"/>
        <v>422240</v>
      </c>
      <c r="K63" s="9">
        <f t="shared" si="5"/>
        <v>27</v>
      </c>
      <c r="L63" s="101">
        <v>16240</v>
      </c>
      <c r="M63" s="102">
        <f t="shared" si="6"/>
        <v>438480</v>
      </c>
    </row>
    <row r="64" spans="1:13" ht="17" thickBot="1" x14ac:dyDescent="0.25">
      <c r="A64" s="9" t="s">
        <v>1033</v>
      </c>
      <c r="B64" s="76" t="s">
        <v>921</v>
      </c>
      <c r="C64" s="100" t="s">
        <v>36</v>
      </c>
      <c r="D64" s="9" t="s">
        <v>1307</v>
      </c>
      <c r="E64" s="9">
        <v>65</v>
      </c>
      <c r="F64" s="101">
        <v>5800</v>
      </c>
      <c r="G64" s="102">
        <f t="shared" si="3"/>
        <v>377000</v>
      </c>
      <c r="H64" s="18">
        <v>18</v>
      </c>
      <c r="I64" s="117">
        <v>5800</v>
      </c>
      <c r="J64" s="118">
        <f t="shared" si="4"/>
        <v>104400</v>
      </c>
      <c r="K64" s="9">
        <f t="shared" si="5"/>
        <v>47</v>
      </c>
      <c r="L64" s="101">
        <v>5800</v>
      </c>
      <c r="M64" s="102">
        <f t="shared" si="6"/>
        <v>272600</v>
      </c>
    </row>
    <row r="65" spans="1:13" ht="17" thickBot="1" x14ac:dyDescent="0.25">
      <c r="A65" s="9" t="s">
        <v>140</v>
      </c>
      <c r="B65" s="76" t="s">
        <v>1341</v>
      </c>
      <c r="C65" s="100" t="s">
        <v>36</v>
      </c>
      <c r="D65" s="9" t="s">
        <v>1306</v>
      </c>
      <c r="E65" s="9">
        <v>41</v>
      </c>
      <c r="F65" s="101">
        <v>8120</v>
      </c>
      <c r="G65" s="102">
        <f t="shared" si="3"/>
        <v>332920</v>
      </c>
      <c r="H65" s="18">
        <v>6</v>
      </c>
      <c r="I65" s="117">
        <v>8120</v>
      </c>
      <c r="J65" s="118">
        <f t="shared" si="4"/>
        <v>48720</v>
      </c>
      <c r="K65" s="9">
        <f t="shared" si="5"/>
        <v>35</v>
      </c>
      <c r="L65" s="101">
        <v>8120</v>
      </c>
      <c r="M65" s="102">
        <f t="shared" si="6"/>
        <v>284200</v>
      </c>
    </row>
    <row r="66" spans="1:13" ht="17" thickBot="1" x14ac:dyDescent="0.25">
      <c r="A66" s="9" t="s">
        <v>1034</v>
      </c>
      <c r="B66" s="76" t="s">
        <v>880</v>
      </c>
      <c r="C66" s="100" t="s">
        <v>36</v>
      </c>
      <c r="D66" s="9" t="s">
        <v>1305</v>
      </c>
      <c r="E66" s="9">
        <v>65</v>
      </c>
      <c r="F66" s="101">
        <v>13920</v>
      </c>
      <c r="G66" s="102">
        <f t="shared" si="3"/>
        <v>904800</v>
      </c>
      <c r="H66" s="18">
        <v>12</v>
      </c>
      <c r="I66" s="117">
        <v>13920</v>
      </c>
      <c r="J66" s="118">
        <f t="shared" si="4"/>
        <v>167040</v>
      </c>
      <c r="K66" s="9">
        <f t="shared" si="5"/>
        <v>53</v>
      </c>
      <c r="L66" s="101">
        <v>13920</v>
      </c>
      <c r="M66" s="102">
        <f t="shared" si="6"/>
        <v>737760</v>
      </c>
    </row>
    <row r="67" spans="1:13" ht="17" thickBot="1" x14ac:dyDescent="0.25">
      <c r="A67" s="9" t="s">
        <v>1034</v>
      </c>
      <c r="B67" s="76"/>
      <c r="C67" s="100" t="s">
        <v>36</v>
      </c>
      <c r="D67" s="9"/>
      <c r="E67" s="9">
        <v>125</v>
      </c>
      <c r="F67" s="101">
        <v>5800</v>
      </c>
      <c r="G67" s="102">
        <f t="shared" si="3"/>
        <v>725000</v>
      </c>
      <c r="H67" s="18"/>
      <c r="I67" s="117">
        <v>5800</v>
      </c>
      <c r="J67" s="118">
        <f t="shared" si="4"/>
        <v>0</v>
      </c>
      <c r="K67" s="9">
        <f t="shared" si="5"/>
        <v>125</v>
      </c>
      <c r="L67" s="101">
        <v>5800</v>
      </c>
      <c r="M67" s="102">
        <f t="shared" si="6"/>
        <v>725000</v>
      </c>
    </row>
    <row r="68" spans="1:13" ht="17" thickBot="1" x14ac:dyDescent="0.25">
      <c r="A68" s="9" t="s">
        <v>1035</v>
      </c>
      <c r="B68" s="76" t="s">
        <v>1342</v>
      </c>
      <c r="C68" s="100" t="s">
        <v>36</v>
      </c>
      <c r="D68" s="9" t="s">
        <v>1304</v>
      </c>
      <c r="E68" s="9">
        <v>65</v>
      </c>
      <c r="F68" s="101">
        <v>6380</v>
      </c>
      <c r="G68" s="102">
        <f t="shared" si="3"/>
        <v>414700</v>
      </c>
      <c r="H68" s="18">
        <v>20</v>
      </c>
      <c r="I68" s="117">
        <v>6380</v>
      </c>
      <c r="J68" s="118">
        <f t="shared" si="4"/>
        <v>127600</v>
      </c>
      <c r="K68" s="9">
        <f t="shared" si="5"/>
        <v>45</v>
      </c>
      <c r="L68" s="101">
        <v>6380</v>
      </c>
      <c r="M68" s="102">
        <f t="shared" si="6"/>
        <v>287100</v>
      </c>
    </row>
    <row r="69" spans="1:13" ht="17" thickBot="1" x14ac:dyDescent="0.25">
      <c r="A69" s="9" t="s">
        <v>1006</v>
      </c>
      <c r="B69" s="76" t="s">
        <v>972</v>
      </c>
      <c r="C69" s="100" t="s">
        <v>36</v>
      </c>
      <c r="D69" s="9" t="s">
        <v>1303</v>
      </c>
      <c r="E69" s="9">
        <v>53</v>
      </c>
      <c r="F69" s="101">
        <v>6960</v>
      </c>
      <c r="G69" s="102">
        <f t="shared" si="3"/>
        <v>368880</v>
      </c>
      <c r="H69" s="18">
        <v>16</v>
      </c>
      <c r="I69" s="117">
        <v>6960</v>
      </c>
      <c r="J69" s="118">
        <f t="shared" si="4"/>
        <v>111360</v>
      </c>
      <c r="K69" s="9">
        <f t="shared" si="5"/>
        <v>37</v>
      </c>
      <c r="L69" s="101">
        <v>6960</v>
      </c>
      <c r="M69" s="102">
        <f t="shared" si="6"/>
        <v>257520</v>
      </c>
    </row>
    <row r="70" spans="1:13" ht="17" thickBot="1" x14ac:dyDescent="0.25">
      <c r="A70" s="9" t="s">
        <v>1036</v>
      </c>
      <c r="B70" s="76" t="s">
        <v>1343</v>
      </c>
      <c r="C70" s="100" t="s">
        <v>36</v>
      </c>
      <c r="D70" s="9" t="s">
        <v>1302</v>
      </c>
      <c r="E70" s="9">
        <v>84</v>
      </c>
      <c r="F70" s="101">
        <v>80040</v>
      </c>
      <c r="G70" s="102">
        <f t="shared" si="3"/>
        <v>6723360</v>
      </c>
      <c r="H70" s="18">
        <v>42</v>
      </c>
      <c r="I70" s="117">
        <v>80040</v>
      </c>
      <c r="J70" s="118">
        <f t="shared" si="4"/>
        <v>3361680</v>
      </c>
      <c r="K70" s="9">
        <f t="shared" si="5"/>
        <v>42</v>
      </c>
      <c r="L70" s="101">
        <v>80040</v>
      </c>
      <c r="M70" s="102">
        <f t="shared" si="6"/>
        <v>3361680</v>
      </c>
    </row>
    <row r="71" spans="1:13" ht="17" thickBot="1" x14ac:dyDescent="0.25">
      <c r="A71" s="9" t="s">
        <v>1037</v>
      </c>
      <c r="B71" s="76" t="s">
        <v>910</v>
      </c>
      <c r="C71" s="100" t="s">
        <v>36</v>
      </c>
      <c r="D71" s="9" t="s">
        <v>1301</v>
      </c>
      <c r="E71" s="9">
        <v>29</v>
      </c>
      <c r="F71" s="101">
        <v>8120</v>
      </c>
      <c r="G71" s="102">
        <f t="shared" si="3"/>
        <v>235480</v>
      </c>
      <c r="H71" s="18">
        <v>3</v>
      </c>
      <c r="I71" s="117">
        <v>8120</v>
      </c>
      <c r="J71" s="118">
        <f t="shared" si="4"/>
        <v>24360</v>
      </c>
      <c r="K71" s="9">
        <f t="shared" si="5"/>
        <v>26</v>
      </c>
      <c r="L71" s="101">
        <v>8120</v>
      </c>
      <c r="M71" s="102">
        <f t="shared" si="6"/>
        <v>211120</v>
      </c>
    </row>
    <row r="72" spans="1:13" ht="17" thickBot="1" x14ac:dyDescent="0.25">
      <c r="A72" s="9" t="s">
        <v>1038</v>
      </c>
      <c r="B72" s="76" t="s">
        <v>1344</v>
      </c>
      <c r="C72" s="100" t="s">
        <v>36</v>
      </c>
      <c r="D72" s="9" t="s">
        <v>1300</v>
      </c>
      <c r="E72" s="9">
        <v>41</v>
      </c>
      <c r="F72" s="102">
        <v>7308</v>
      </c>
      <c r="G72" s="102">
        <f t="shared" si="3"/>
        <v>299628</v>
      </c>
      <c r="H72" s="18">
        <v>18</v>
      </c>
      <c r="I72" s="118">
        <v>7308</v>
      </c>
      <c r="J72" s="118">
        <f t="shared" si="4"/>
        <v>131544</v>
      </c>
      <c r="K72" s="9">
        <f t="shared" si="5"/>
        <v>23</v>
      </c>
      <c r="L72" s="102">
        <v>7308</v>
      </c>
      <c r="M72" s="102">
        <f t="shared" si="6"/>
        <v>168084</v>
      </c>
    </row>
    <row r="73" spans="1:13" ht="17" thickBot="1" x14ac:dyDescent="0.25">
      <c r="G73" s="103">
        <f>SUM(G33:G72)</f>
        <v>22172240</v>
      </c>
      <c r="J73" s="114">
        <f>SUM(J33:J72)</f>
        <v>6680788</v>
      </c>
      <c r="M73" s="103">
        <f>SUM(M33:M72)</f>
        <v>15491452</v>
      </c>
    </row>
    <row r="75" spans="1:13" ht="17" thickBot="1" x14ac:dyDescent="0.25">
      <c r="A75" s="30" t="s">
        <v>1043</v>
      </c>
      <c r="B75" s="30"/>
      <c r="C75" s="2" t="s">
        <v>1041</v>
      </c>
      <c r="D75" s="2" t="s">
        <v>1042</v>
      </c>
    </row>
    <row r="76" spans="1:13" ht="17" thickBot="1" x14ac:dyDescent="0.25">
      <c r="A76" s="9" t="s">
        <v>58</v>
      </c>
      <c r="B76" s="9"/>
      <c r="C76" s="100" t="s">
        <v>36</v>
      </c>
      <c r="D76" s="9"/>
      <c r="E76" s="9">
        <v>240</v>
      </c>
      <c r="F76" s="32">
        <v>59392</v>
      </c>
      <c r="G76" s="104">
        <v>14254080</v>
      </c>
    </row>
    <row r="77" spans="1:13" x14ac:dyDescent="0.2">
      <c r="C77" s="98"/>
    </row>
    <row r="79" spans="1:13" ht="17" thickBot="1" x14ac:dyDescent="0.25">
      <c r="A79" s="30" t="s">
        <v>1329</v>
      </c>
      <c r="C79" s="2" t="s">
        <v>1330</v>
      </c>
      <c r="D79" s="2" t="s">
        <v>1331</v>
      </c>
    </row>
    <row r="80" spans="1:13" ht="17" thickBot="1" x14ac:dyDescent="0.25">
      <c r="A80" s="9" t="s">
        <v>1176</v>
      </c>
      <c r="B80" s="9"/>
      <c r="C80" s="9" t="s">
        <v>9</v>
      </c>
      <c r="D80" s="9"/>
      <c r="E80" s="9">
        <v>1200</v>
      </c>
      <c r="F80" s="10">
        <v>1680.84</v>
      </c>
      <c r="G80" s="10">
        <f>F80*E80</f>
        <v>2017008</v>
      </c>
    </row>
    <row r="81" spans="1:10" ht="17" thickBot="1" x14ac:dyDescent="0.25">
      <c r="A81" s="9" t="s">
        <v>1176</v>
      </c>
      <c r="B81" s="9"/>
      <c r="C81" s="9" t="s">
        <v>9</v>
      </c>
      <c r="D81" s="9"/>
      <c r="E81" s="9">
        <v>1200</v>
      </c>
      <c r="F81" s="10">
        <v>1680.84</v>
      </c>
      <c r="G81" s="10">
        <f>F81*E81</f>
        <v>2017008</v>
      </c>
    </row>
    <row r="82" spans="1:10" ht="17" thickBot="1" x14ac:dyDescent="0.25">
      <c r="F82" s="3"/>
      <c r="G82" s="12">
        <f>G81+G80</f>
        <v>4034016</v>
      </c>
    </row>
    <row r="83" spans="1:10" x14ac:dyDescent="0.2">
      <c r="F83" s="3"/>
      <c r="G83" s="3"/>
    </row>
    <row r="84" spans="1:10" ht="17" thickBot="1" x14ac:dyDescent="0.25">
      <c r="A84" s="30" t="s">
        <v>1883</v>
      </c>
      <c r="B84" s="2" t="s">
        <v>1786</v>
      </c>
      <c r="C84" s="2" t="s">
        <v>1787</v>
      </c>
    </row>
    <row r="85" spans="1:10" ht="17" thickBot="1" x14ac:dyDescent="0.25">
      <c r="A85" s="9" t="s">
        <v>745</v>
      </c>
      <c r="B85" s="155"/>
      <c r="C85" s="155" t="s">
        <v>36</v>
      </c>
      <c r="D85" s="285" t="s">
        <v>912</v>
      </c>
      <c r="E85" s="9">
        <v>12</v>
      </c>
      <c r="F85" s="10">
        <v>13920</v>
      </c>
      <c r="G85" s="10">
        <f>F85*E85</f>
        <v>167040</v>
      </c>
      <c r="H85" s="23"/>
      <c r="I85" s="24">
        <v>13920</v>
      </c>
      <c r="J85" s="24">
        <f>I85*H85</f>
        <v>0</v>
      </c>
    </row>
    <row r="86" spans="1:10" ht="17" thickBot="1" x14ac:dyDescent="0.25">
      <c r="A86" s="9" t="s">
        <v>1788</v>
      </c>
      <c r="B86" s="155"/>
      <c r="C86" s="155" t="s">
        <v>36</v>
      </c>
      <c r="D86" s="285" t="s">
        <v>2040</v>
      </c>
      <c r="E86" s="9">
        <v>12</v>
      </c>
      <c r="F86" s="10">
        <v>6380</v>
      </c>
      <c r="G86" s="10">
        <f t="shared" ref="G86" si="7">F86*E86</f>
        <v>76560</v>
      </c>
      <c r="H86" s="23">
        <v>4</v>
      </c>
      <c r="I86" s="24">
        <v>6380</v>
      </c>
      <c r="J86" s="24">
        <f t="shared" ref="J86" si="8">I86*H86</f>
        <v>25520</v>
      </c>
    </row>
    <row r="87" spans="1:10" ht="17" thickBot="1" x14ac:dyDescent="0.25">
      <c r="A87" s="9" t="s">
        <v>1789</v>
      </c>
      <c r="B87" s="155"/>
      <c r="C87" s="155" t="s">
        <v>36</v>
      </c>
      <c r="D87" s="285" t="s">
        <v>1342</v>
      </c>
      <c r="E87" s="9">
        <v>12</v>
      </c>
      <c r="F87" s="10">
        <v>14036</v>
      </c>
      <c r="G87" s="10">
        <f t="shared" ref="G87" si="9">F87*E87</f>
        <v>168432</v>
      </c>
      <c r="H87" s="23"/>
      <c r="I87" s="24">
        <v>14036</v>
      </c>
      <c r="J87" s="24">
        <f t="shared" ref="J87" si="10">I87*H87</f>
        <v>0</v>
      </c>
    </row>
    <row r="88" spans="1:10" ht="17" thickBot="1" x14ac:dyDescent="0.25">
      <c r="A88" s="9" t="s">
        <v>1790</v>
      </c>
      <c r="B88" s="155"/>
      <c r="C88" s="155" t="s">
        <v>36</v>
      </c>
      <c r="D88" s="285" t="s">
        <v>2161</v>
      </c>
      <c r="E88" s="9">
        <v>10</v>
      </c>
      <c r="F88" s="10">
        <v>9048</v>
      </c>
      <c r="G88" s="10">
        <f t="shared" ref="G88" si="11">F88*E88</f>
        <v>90480</v>
      </c>
      <c r="H88" s="23"/>
      <c r="I88" s="24">
        <v>9048</v>
      </c>
      <c r="J88" s="24">
        <f t="shared" ref="J88" si="12">I88*H88</f>
        <v>0</v>
      </c>
    </row>
    <row r="89" spans="1:10" ht="17" thickBot="1" x14ac:dyDescent="0.25">
      <c r="A89" s="9" t="s">
        <v>1791</v>
      </c>
      <c r="B89" s="155"/>
      <c r="C89" s="155" t="s">
        <v>36</v>
      </c>
      <c r="D89" s="285" t="s">
        <v>1361</v>
      </c>
      <c r="E89" s="9">
        <v>12</v>
      </c>
      <c r="F89" s="10">
        <v>16472</v>
      </c>
      <c r="G89" s="10">
        <f t="shared" ref="G89" si="13">F89*E89</f>
        <v>197664</v>
      </c>
      <c r="H89" s="23">
        <v>4</v>
      </c>
      <c r="I89" s="24">
        <v>16472</v>
      </c>
      <c r="J89" s="24">
        <f t="shared" ref="J89" si="14">I89*H89</f>
        <v>65888</v>
      </c>
    </row>
    <row r="90" spans="1:10" ht="17" thickBot="1" x14ac:dyDescent="0.25">
      <c r="A90" s="9" t="s">
        <v>246</v>
      </c>
      <c r="B90" s="155"/>
      <c r="C90" s="155" t="s">
        <v>36</v>
      </c>
      <c r="D90" s="285" t="s">
        <v>843</v>
      </c>
      <c r="E90" s="9">
        <v>24</v>
      </c>
      <c r="F90" s="10">
        <v>7540</v>
      </c>
      <c r="G90" s="10">
        <f t="shared" ref="G90" si="15">F90*E90</f>
        <v>180960</v>
      </c>
      <c r="H90" s="23">
        <v>8</v>
      </c>
      <c r="I90" s="24">
        <v>7540</v>
      </c>
      <c r="J90" s="24">
        <f t="shared" ref="J90" si="16">I90*H90</f>
        <v>60320</v>
      </c>
    </row>
    <row r="91" spans="1:10" ht="17" thickBot="1" x14ac:dyDescent="0.25">
      <c r="A91" s="9" t="s">
        <v>1792</v>
      </c>
      <c r="B91" s="155"/>
      <c r="C91" s="155" t="s">
        <v>36</v>
      </c>
      <c r="D91" s="285" t="s">
        <v>1340</v>
      </c>
      <c r="E91" s="9">
        <v>20</v>
      </c>
      <c r="F91" s="10">
        <v>10556</v>
      </c>
      <c r="G91" s="10">
        <f t="shared" ref="G91" si="17">F91*E91</f>
        <v>211120</v>
      </c>
      <c r="H91" s="23">
        <v>6</v>
      </c>
      <c r="I91" s="24">
        <v>10556</v>
      </c>
      <c r="J91" s="24">
        <f t="shared" ref="J91" si="18">I91*H91</f>
        <v>63336</v>
      </c>
    </row>
    <row r="92" spans="1:10" ht="17" thickBot="1" x14ac:dyDescent="0.25">
      <c r="A92" s="9" t="s">
        <v>745</v>
      </c>
      <c r="B92" s="155"/>
      <c r="C92" s="155" t="s">
        <v>36</v>
      </c>
      <c r="D92" s="285" t="s">
        <v>912</v>
      </c>
      <c r="E92" s="9">
        <v>12</v>
      </c>
      <c r="F92" s="10">
        <v>12992</v>
      </c>
      <c r="G92" s="10">
        <f t="shared" ref="G92" si="19">F92*E92</f>
        <v>155904</v>
      </c>
      <c r="H92" s="23"/>
      <c r="I92" s="24">
        <v>12992</v>
      </c>
      <c r="J92" s="24">
        <f t="shared" ref="J92" si="20">I92*H92</f>
        <v>0</v>
      </c>
    </row>
    <row r="93" spans="1:10" ht="17" thickBot="1" x14ac:dyDescent="0.25">
      <c r="A93" s="9" t="s">
        <v>1793</v>
      </c>
      <c r="B93" s="155"/>
      <c r="C93" s="155" t="s">
        <v>36</v>
      </c>
      <c r="D93" s="285" t="s">
        <v>926</v>
      </c>
      <c r="E93" s="9">
        <v>10</v>
      </c>
      <c r="F93" s="10">
        <v>11020</v>
      </c>
      <c r="G93" s="10">
        <f t="shared" ref="G93" si="21">F93*E93</f>
        <v>110200</v>
      </c>
      <c r="H93" s="23">
        <v>3</v>
      </c>
      <c r="I93" s="24">
        <v>11020</v>
      </c>
      <c r="J93" s="24">
        <f t="shared" ref="J93" si="22">I93*H93</f>
        <v>33060</v>
      </c>
    </row>
    <row r="94" spans="1:10" ht="17" thickBot="1" x14ac:dyDescent="0.25">
      <c r="A94" s="9" t="s">
        <v>1794</v>
      </c>
      <c r="B94" s="155"/>
      <c r="C94" s="155" t="s">
        <v>36</v>
      </c>
      <c r="D94" s="285" t="s">
        <v>881</v>
      </c>
      <c r="E94" s="9">
        <v>30</v>
      </c>
      <c r="F94" s="10">
        <v>8120</v>
      </c>
      <c r="G94" s="10">
        <f t="shared" ref="G94" si="23">F94*E94</f>
        <v>243600</v>
      </c>
      <c r="H94" s="23">
        <v>10</v>
      </c>
      <c r="I94" s="24">
        <v>8120</v>
      </c>
      <c r="J94" s="24">
        <f t="shared" ref="J94" si="24">I94*H94</f>
        <v>81200</v>
      </c>
    </row>
    <row r="95" spans="1:10" ht="17" thickBot="1" x14ac:dyDescent="0.25">
      <c r="A95" s="9" t="s">
        <v>1795</v>
      </c>
      <c r="B95" s="155"/>
      <c r="C95" s="155" t="s">
        <v>36</v>
      </c>
      <c r="D95" s="285" t="s">
        <v>1584</v>
      </c>
      <c r="E95" s="9">
        <v>12</v>
      </c>
      <c r="F95" s="10">
        <v>7772</v>
      </c>
      <c r="G95" s="10">
        <f t="shared" ref="G95" si="25">F95*E95</f>
        <v>93264</v>
      </c>
      <c r="H95" s="23"/>
      <c r="I95" s="24">
        <v>7772</v>
      </c>
      <c r="J95" s="24">
        <f t="shared" ref="J95" si="26">I95*H95</f>
        <v>0</v>
      </c>
    </row>
    <row r="96" spans="1:10" ht="17" thickBot="1" x14ac:dyDescent="0.25">
      <c r="A96" s="9" t="s">
        <v>1796</v>
      </c>
      <c r="B96" s="155"/>
      <c r="C96" s="155" t="s">
        <v>36</v>
      </c>
      <c r="D96" s="285" t="s">
        <v>917</v>
      </c>
      <c r="E96" s="9">
        <v>24</v>
      </c>
      <c r="F96" s="10">
        <v>4292</v>
      </c>
      <c r="G96" s="10">
        <f t="shared" ref="G96" si="27">F96*E96</f>
        <v>103008</v>
      </c>
      <c r="H96" s="23">
        <v>8</v>
      </c>
      <c r="I96" s="24">
        <v>4292</v>
      </c>
      <c r="J96" s="24">
        <f t="shared" ref="J96" si="28">I96*H96</f>
        <v>34336</v>
      </c>
    </row>
    <row r="97" spans="1:10" ht="17" thickBot="1" x14ac:dyDescent="0.25">
      <c r="A97" s="9" t="s">
        <v>1797</v>
      </c>
      <c r="B97" s="155"/>
      <c r="C97" s="155" t="s">
        <v>36</v>
      </c>
      <c r="D97" s="285" t="s">
        <v>902</v>
      </c>
      <c r="E97" s="9">
        <v>24</v>
      </c>
      <c r="F97" s="10">
        <v>4408</v>
      </c>
      <c r="G97" s="10">
        <f t="shared" ref="G97" si="29">F97*E97</f>
        <v>105792</v>
      </c>
      <c r="H97" s="23">
        <v>8</v>
      </c>
      <c r="I97" s="24">
        <v>4408</v>
      </c>
      <c r="J97" s="24">
        <f t="shared" ref="J97" si="30">I97*H97</f>
        <v>35264</v>
      </c>
    </row>
    <row r="98" spans="1:10" ht="17" thickBot="1" x14ac:dyDescent="0.25">
      <c r="A98" s="9" t="s">
        <v>1798</v>
      </c>
      <c r="B98" s="155"/>
      <c r="C98" s="155" t="s">
        <v>36</v>
      </c>
      <c r="D98" s="285" t="s">
        <v>1961</v>
      </c>
      <c r="E98" s="9">
        <v>24</v>
      </c>
      <c r="F98" s="10">
        <v>3596</v>
      </c>
      <c r="G98" s="10">
        <f t="shared" ref="G98" si="31">F98*E98</f>
        <v>86304</v>
      </c>
      <c r="H98" s="23">
        <v>8</v>
      </c>
      <c r="I98" s="24">
        <v>3596</v>
      </c>
      <c r="J98" s="24">
        <f t="shared" ref="J98" si="32">I98*H98</f>
        <v>28768</v>
      </c>
    </row>
    <row r="99" spans="1:10" ht="17" thickBot="1" x14ac:dyDescent="0.25">
      <c r="A99" s="9" t="s">
        <v>1065</v>
      </c>
      <c r="B99" s="155"/>
      <c r="C99" s="155" t="s">
        <v>36</v>
      </c>
      <c r="D99" s="285" t="s">
        <v>910</v>
      </c>
      <c r="E99" s="9">
        <v>8</v>
      </c>
      <c r="F99" s="10">
        <v>12992</v>
      </c>
      <c r="G99" s="10">
        <f t="shared" ref="G99" si="33">F99*E99</f>
        <v>103936</v>
      </c>
      <c r="H99" s="23">
        <v>2</v>
      </c>
      <c r="I99" s="24">
        <v>12992</v>
      </c>
      <c r="J99" s="24">
        <f t="shared" ref="J99" si="34">I99*H99</f>
        <v>25984</v>
      </c>
    </row>
    <row r="100" spans="1:10" ht="17" thickBot="1" x14ac:dyDescent="0.25">
      <c r="A100" s="9" t="s">
        <v>1050</v>
      </c>
      <c r="B100" s="155"/>
      <c r="C100" s="155" t="s">
        <v>36</v>
      </c>
      <c r="D100" s="285" t="s">
        <v>1563</v>
      </c>
      <c r="E100" s="9">
        <v>24</v>
      </c>
      <c r="F100" s="10">
        <v>4408</v>
      </c>
      <c r="G100" s="10">
        <f t="shared" ref="G100" si="35">F100*E100</f>
        <v>105792</v>
      </c>
      <c r="H100" s="23">
        <v>8</v>
      </c>
      <c r="I100" s="24">
        <v>4408</v>
      </c>
      <c r="J100" s="24">
        <f t="shared" ref="J100" si="36">I100*H100</f>
        <v>35264</v>
      </c>
    </row>
    <row r="101" spans="1:10" ht="17" thickBot="1" x14ac:dyDescent="0.25">
      <c r="A101" s="9" t="s">
        <v>1799</v>
      </c>
      <c r="B101" s="155"/>
      <c r="C101" s="155" t="s">
        <v>36</v>
      </c>
      <c r="D101" s="285" t="s">
        <v>929</v>
      </c>
      <c r="E101" s="9">
        <v>40</v>
      </c>
      <c r="F101" s="10">
        <v>12760</v>
      </c>
      <c r="G101" s="10">
        <f t="shared" ref="G101" si="37">F101*E101</f>
        <v>510400</v>
      </c>
      <c r="H101" s="23"/>
      <c r="I101" s="24">
        <v>12760</v>
      </c>
      <c r="J101" s="24">
        <f t="shared" ref="J101" si="38">I101*H101</f>
        <v>0</v>
      </c>
    </row>
    <row r="102" spans="1:10" ht="17" thickBot="1" x14ac:dyDescent="0.25">
      <c r="A102" s="9" t="s">
        <v>1800</v>
      </c>
      <c r="B102" s="155"/>
      <c r="C102" s="155" t="s">
        <v>36</v>
      </c>
      <c r="D102" s="285" t="s">
        <v>2162</v>
      </c>
      <c r="E102" s="9">
        <v>6</v>
      </c>
      <c r="F102" s="10">
        <v>3712</v>
      </c>
      <c r="G102" s="10">
        <f t="shared" ref="G102" si="39">F102*E102</f>
        <v>22272</v>
      </c>
      <c r="H102" s="23">
        <v>2</v>
      </c>
      <c r="I102" s="24">
        <v>3712</v>
      </c>
      <c r="J102" s="24">
        <f t="shared" ref="J102" si="40">I102*H102</f>
        <v>7424</v>
      </c>
    </row>
    <row r="103" spans="1:10" ht="17" thickBot="1" x14ac:dyDescent="0.25">
      <c r="A103" s="9" t="s">
        <v>1801</v>
      </c>
      <c r="B103" s="155"/>
      <c r="C103" s="155" t="s">
        <v>36</v>
      </c>
      <c r="D103" s="285" t="s">
        <v>2163</v>
      </c>
      <c r="E103" s="9">
        <v>30</v>
      </c>
      <c r="F103" s="10">
        <v>7540</v>
      </c>
      <c r="G103" s="10">
        <f t="shared" ref="G103" si="41">F103*E103</f>
        <v>226200</v>
      </c>
      <c r="H103" s="23">
        <v>10</v>
      </c>
      <c r="I103" s="24">
        <v>7540</v>
      </c>
      <c r="J103" s="24">
        <f t="shared" ref="J103" si="42">I103*H103</f>
        <v>75400</v>
      </c>
    </row>
    <row r="104" spans="1:10" ht="17" thickBot="1" x14ac:dyDescent="0.25">
      <c r="A104" s="9" t="s">
        <v>1802</v>
      </c>
      <c r="B104" s="155"/>
      <c r="C104" s="155" t="s">
        <v>36</v>
      </c>
      <c r="D104" s="285" t="s">
        <v>880</v>
      </c>
      <c r="E104" s="9">
        <v>24</v>
      </c>
      <c r="F104" s="10">
        <v>14036</v>
      </c>
      <c r="G104" s="10">
        <f t="shared" ref="G104" si="43">F104*E104</f>
        <v>336864</v>
      </c>
      <c r="H104" s="23">
        <v>8</v>
      </c>
      <c r="I104" s="24">
        <v>14036</v>
      </c>
      <c r="J104" s="24">
        <f t="shared" ref="J104" si="44">I104*H104</f>
        <v>112288</v>
      </c>
    </row>
    <row r="105" spans="1:10" ht="17" thickBot="1" x14ac:dyDescent="0.25">
      <c r="A105" s="9" t="s">
        <v>1803</v>
      </c>
      <c r="B105" s="155"/>
      <c r="C105" s="155" t="s">
        <v>36</v>
      </c>
      <c r="D105" s="285" t="s">
        <v>876</v>
      </c>
      <c r="E105" s="9">
        <v>24</v>
      </c>
      <c r="F105" s="10">
        <v>14036</v>
      </c>
      <c r="G105" s="10">
        <f t="shared" ref="G105" si="45">F105*E105</f>
        <v>336864</v>
      </c>
      <c r="H105" s="23">
        <v>8</v>
      </c>
      <c r="I105" s="24">
        <v>14036</v>
      </c>
      <c r="J105" s="24">
        <f t="shared" ref="J105" si="46">I105*H105</f>
        <v>112288</v>
      </c>
    </row>
    <row r="106" spans="1:10" ht="17" thickBot="1" x14ac:dyDescent="0.25">
      <c r="A106" s="9" t="s">
        <v>1388</v>
      </c>
      <c r="B106" s="155"/>
      <c r="C106" s="155" t="s">
        <v>36</v>
      </c>
      <c r="D106" s="285" t="s">
        <v>1581</v>
      </c>
      <c r="E106" s="9">
        <v>30</v>
      </c>
      <c r="F106" s="10">
        <v>2784</v>
      </c>
      <c r="G106" s="10">
        <f t="shared" ref="G106" si="47">F106*E106</f>
        <v>83520</v>
      </c>
      <c r="H106" s="23"/>
      <c r="I106" s="24">
        <v>2784</v>
      </c>
      <c r="J106" s="24">
        <f t="shared" ref="J106" si="48">I106*H106</f>
        <v>0</v>
      </c>
    </row>
    <row r="107" spans="1:10" ht="17" thickBot="1" x14ac:dyDescent="0.25">
      <c r="A107" s="9" t="s">
        <v>1048</v>
      </c>
      <c r="B107" s="155"/>
      <c r="C107" s="155" t="s">
        <v>36</v>
      </c>
      <c r="D107" s="285" t="s">
        <v>924</v>
      </c>
      <c r="E107" s="9">
        <v>10</v>
      </c>
      <c r="F107" s="10">
        <v>12760</v>
      </c>
      <c r="G107" s="10">
        <f t="shared" ref="G107" si="49">F107*E107</f>
        <v>127600</v>
      </c>
      <c r="H107" s="23">
        <v>3</v>
      </c>
      <c r="I107" s="24">
        <v>12760</v>
      </c>
      <c r="J107" s="24">
        <f t="shared" ref="J107" si="50">I107*H107</f>
        <v>38280</v>
      </c>
    </row>
    <row r="108" spans="1:10" ht="17" thickBot="1" x14ac:dyDescent="0.25">
      <c r="A108" s="9" t="s">
        <v>1804</v>
      </c>
      <c r="B108" s="155"/>
      <c r="C108" s="155" t="s">
        <v>36</v>
      </c>
      <c r="D108" s="285" t="s">
        <v>850</v>
      </c>
      <c r="E108" s="9">
        <v>30</v>
      </c>
      <c r="F108" s="10">
        <v>14036</v>
      </c>
      <c r="G108" s="10">
        <f t="shared" ref="G108" si="51">F108*E108</f>
        <v>421080</v>
      </c>
      <c r="H108" s="23">
        <v>10</v>
      </c>
      <c r="I108" s="24">
        <v>14036</v>
      </c>
      <c r="J108" s="24">
        <f t="shared" ref="J108" si="52">I108*H108</f>
        <v>140360</v>
      </c>
    </row>
    <row r="109" spans="1:10" ht="17" thickBot="1" x14ac:dyDescent="0.25">
      <c r="A109" s="9" t="s">
        <v>1805</v>
      </c>
      <c r="B109" s="155"/>
      <c r="C109" s="155" t="s">
        <v>36</v>
      </c>
      <c r="D109" s="285" t="s">
        <v>975</v>
      </c>
      <c r="E109" s="9">
        <v>24</v>
      </c>
      <c r="F109" s="10">
        <v>5800</v>
      </c>
      <c r="G109" s="10">
        <f t="shared" ref="G109" si="53">F109*E109</f>
        <v>139200</v>
      </c>
      <c r="H109" s="23"/>
      <c r="I109" s="24">
        <v>5800</v>
      </c>
      <c r="J109" s="24">
        <f t="shared" ref="J109" si="54">I109*H109</f>
        <v>0</v>
      </c>
    </row>
    <row r="110" spans="1:10" ht="17" thickBot="1" x14ac:dyDescent="0.25">
      <c r="A110" s="9" t="s">
        <v>1806</v>
      </c>
      <c r="B110" s="155"/>
      <c r="C110" s="155" t="s">
        <v>36</v>
      </c>
      <c r="D110" s="285" t="s">
        <v>881</v>
      </c>
      <c r="E110" s="9">
        <v>50</v>
      </c>
      <c r="F110" s="10">
        <v>11600</v>
      </c>
      <c r="G110" s="10">
        <f t="shared" ref="G110" si="55">F110*E110</f>
        <v>580000</v>
      </c>
      <c r="H110" s="23"/>
      <c r="I110" s="24">
        <v>11600</v>
      </c>
      <c r="J110" s="24">
        <f t="shared" ref="J110" si="56">I110*H110</f>
        <v>0</v>
      </c>
    </row>
    <row r="111" spans="1:10" ht="17" thickBot="1" x14ac:dyDescent="0.25">
      <c r="A111" s="9" t="s">
        <v>1807</v>
      </c>
      <c r="B111" s="155"/>
      <c r="C111" s="155" t="s">
        <v>36</v>
      </c>
      <c r="D111" s="285" t="s">
        <v>1564</v>
      </c>
      <c r="E111" s="9">
        <v>50</v>
      </c>
      <c r="F111" s="10">
        <v>2784</v>
      </c>
      <c r="G111" s="10">
        <f t="shared" ref="G111" si="57">F111*E111</f>
        <v>139200</v>
      </c>
      <c r="H111" s="23">
        <v>16</v>
      </c>
      <c r="I111" s="24">
        <v>2784</v>
      </c>
      <c r="J111" s="24">
        <f t="shared" ref="J111" si="58">I111*H111</f>
        <v>44544</v>
      </c>
    </row>
    <row r="112" spans="1:10" ht="17" thickBot="1" x14ac:dyDescent="0.25">
      <c r="A112" s="9" t="s">
        <v>1808</v>
      </c>
      <c r="B112" s="155"/>
      <c r="C112" s="155" t="s">
        <v>36</v>
      </c>
      <c r="D112" s="285" t="s">
        <v>2164</v>
      </c>
      <c r="E112" s="9">
        <v>40</v>
      </c>
      <c r="F112" s="10">
        <v>3596</v>
      </c>
      <c r="G112" s="10">
        <f t="shared" ref="G112" si="59">F112*E112</f>
        <v>143840</v>
      </c>
      <c r="H112" s="23">
        <v>14</v>
      </c>
      <c r="I112" s="24">
        <v>3596</v>
      </c>
      <c r="J112" s="24">
        <f t="shared" ref="J112" si="60">I112*H112</f>
        <v>50344</v>
      </c>
    </row>
    <row r="113" spans="1:10" ht="17" thickBot="1" x14ac:dyDescent="0.25">
      <c r="A113" s="9" t="s">
        <v>1055</v>
      </c>
      <c r="B113" s="155"/>
      <c r="C113" s="155" t="s">
        <v>36</v>
      </c>
      <c r="D113" s="285" t="s">
        <v>836</v>
      </c>
      <c r="E113" s="9">
        <v>250</v>
      </c>
      <c r="F113" s="10">
        <v>5220</v>
      </c>
      <c r="G113" s="10">
        <f t="shared" ref="G113" si="61">F113*E113</f>
        <v>1305000</v>
      </c>
      <c r="H113" s="23">
        <v>81</v>
      </c>
      <c r="I113" s="24">
        <v>5220</v>
      </c>
      <c r="J113" s="24">
        <f t="shared" ref="J113" si="62">I113*H113</f>
        <v>422820</v>
      </c>
    </row>
    <row r="114" spans="1:10" ht="17" thickBot="1" x14ac:dyDescent="0.25">
      <c r="A114" s="9" t="s">
        <v>1809</v>
      </c>
      <c r="B114" s="155"/>
      <c r="C114" s="155" t="s">
        <v>36</v>
      </c>
      <c r="D114" s="285" t="s">
        <v>923</v>
      </c>
      <c r="E114" s="9">
        <v>2</v>
      </c>
      <c r="F114" s="10">
        <v>5800</v>
      </c>
      <c r="G114" s="10">
        <f t="shared" ref="G114" si="63">F114*E114</f>
        <v>11600</v>
      </c>
      <c r="H114" s="23">
        <v>1</v>
      </c>
      <c r="I114" s="24">
        <v>5800</v>
      </c>
      <c r="J114" s="24">
        <f t="shared" ref="J114" si="64">I114*H114</f>
        <v>5800</v>
      </c>
    </row>
    <row r="115" spans="1:10" ht="17" thickBot="1" x14ac:dyDescent="0.25">
      <c r="A115" s="9" t="s">
        <v>1810</v>
      </c>
      <c r="B115" s="155"/>
      <c r="C115" s="155" t="s">
        <v>36</v>
      </c>
      <c r="D115" s="285" t="s">
        <v>1524</v>
      </c>
      <c r="E115" s="9">
        <v>24</v>
      </c>
      <c r="F115" s="10">
        <v>12760</v>
      </c>
      <c r="G115" s="10">
        <f t="shared" ref="G115" si="65">F115*E115</f>
        <v>306240</v>
      </c>
      <c r="H115" s="23"/>
      <c r="I115" s="24">
        <v>12760</v>
      </c>
      <c r="J115" s="24">
        <f t="shared" ref="J115" si="66">I115*H115</f>
        <v>0</v>
      </c>
    </row>
    <row r="116" spans="1:10" ht="17" thickBot="1" x14ac:dyDescent="0.25">
      <c r="A116" s="9" t="s">
        <v>1811</v>
      </c>
      <c r="B116" s="155"/>
      <c r="C116" s="155" t="s">
        <v>36</v>
      </c>
      <c r="D116" s="285" t="s">
        <v>1362</v>
      </c>
      <c r="E116" s="9">
        <v>12</v>
      </c>
      <c r="F116" s="10">
        <v>11368</v>
      </c>
      <c r="G116" s="10">
        <f t="shared" ref="G116" si="67">F116*E116</f>
        <v>136416</v>
      </c>
      <c r="H116" s="23">
        <v>6</v>
      </c>
      <c r="I116" s="24">
        <v>11368</v>
      </c>
      <c r="J116" s="24">
        <f t="shared" ref="J116" si="68">I116*H116</f>
        <v>68208</v>
      </c>
    </row>
    <row r="117" spans="1:10" ht="17" thickBot="1" x14ac:dyDescent="0.25">
      <c r="A117" s="9" t="s">
        <v>1812</v>
      </c>
      <c r="B117" s="155"/>
      <c r="C117" s="155" t="s">
        <v>36</v>
      </c>
      <c r="D117" s="285" t="s">
        <v>903</v>
      </c>
      <c r="E117" s="9">
        <v>24</v>
      </c>
      <c r="F117" s="10">
        <v>11368</v>
      </c>
      <c r="G117" s="10">
        <f t="shared" ref="G117" si="69">F117*E117</f>
        <v>272832</v>
      </c>
      <c r="H117" s="23">
        <v>8</v>
      </c>
      <c r="I117" s="24">
        <v>11368</v>
      </c>
      <c r="J117" s="24">
        <f t="shared" ref="J117" si="70">I117*H117</f>
        <v>90944</v>
      </c>
    </row>
    <row r="118" spans="1:10" ht="17" thickBot="1" x14ac:dyDescent="0.25">
      <c r="A118" s="9" t="s">
        <v>1813</v>
      </c>
      <c r="B118" s="155"/>
      <c r="C118" s="155" t="s">
        <v>36</v>
      </c>
      <c r="D118" s="285" t="s">
        <v>1277</v>
      </c>
      <c r="E118" s="9">
        <v>10</v>
      </c>
      <c r="F118" s="10">
        <v>12180</v>
      </c>
      <c r="G118" s="10">
        <f t="shared" ref="G118" si="71">F118*E118</f>
        <v>121800</v>
      </c>
      <c r="H118" s="23"/>
      <c r="I118" s="24">
        <v>12180</v>
      </c>
      <c r="J118" s="24">
        <f t="shared" ref="J118" si="72">I118*H118</f>
        <v>0</v>
      </c>
    </row>
    <row r="119" spans="1:10" ht="17" thickBot="1" x14ac:dyDescent="0.25">
      <c r="A119" s="9" t="s">
        <v>1814</v>
      </c>
      <c r="B119" s="155"/>
      <c r="C119" s="155" t="s">
        <v>36</v>
      </c>
      <c r="D119" s="285" t="s">
        <v>2144</v>
      </c>
      <c r="E119" s="9">
        <v>12</v>
      </c>
      <c r="F119" s="10">
        <v>12760</v>
      </c>
      <c r="G119" s="10">
        <f t="shared" ref="G119" si="73">F119*E119</f>
        <v>153120</v>
      </c>
      <c r="H119" s="23">
        <v>4</v>
      </c>
      <c r="I119" s="24">
        <v>12760</v>
      </c>
      <c r="J119" s="24">
        <f t="shared" ref="J119" si="74">I119*H119</f>
        <v>51040</v>
      </c>
    </row>
    <row r="120" spans="1:10" ht="17" thickBot="1" x14ac:dyDescent="0.25">
      <c r="A120" s="9" t="s">
        <v>1815</v>
      </c>
      <c r="B120" s="155"/>
      <c r="C120" s="155" t="s">
        <v>36</v>
      </c>
      <c r="D120" s="285" t="s">
        <v>835</v>
      </c>
      <c r="E120" s="9">
        <v>12</v>
      </c>
      <c r="F120" s="10">
        <v>5220</v>
      </c>
      <c r="G120" s="10">
        <f t="shared" ref="G120" si="75">F120*E120</f>
        <v>62640</v>
      </c>
      <c r="H120" s="23">
        <v>4</v>
      </c>
      <c r="I120" s="24">
        <v>5220</v>
      </c>
      <c r="J120" s="24">
        <f t="shared" ref="J120" si="76">I120*H120</f>
        <v>20880</v>
      </c>
    </row>
    <row r="121" spans="1:10" ht="17" thickBot="1" x14ac:dyDescent="0.25">
      <c r="A121" s="9" t="s">
        <v>1816</v>
      </c>
      <c r="B121" s="155"/>
      <c r="C121" s="155" t="s">
        <v>36</v>
      </c>
      <c r="D121" s="285" t="s">
        <v>885</v>
      </c>
      <c r="E121" s="9">
        <v>30</v>
      </c>
      <c r="F121" s="10">
        <v>10440</v>
      </c>
      <c r="G121" s="10">
        <f t="shared" ref="G121" si="77">F121*E121</f>
        <v>313200</v>
      </c>
      <c r="H121" s="23"/>
      <c r="I121" s="24">
        <v>10440</v>
      </c>
      <c r="J121" s="24">
        <f t="shared" ref="J121" si="78">I121*H121</f>
        <v>0</v>
      </c>
    </row>
    <row r="122" spans="1:10" ht="17" thickBot="1" x14ac:dyDescent="0.25">
      <c r="A122" s="9" t="s">
        <v>1817</v>
      </c>
      <c r="B122" s="155"/>
      <c r="C122" s="155" t="s">
        <v>36</v>
      </c>
      <c r="D122" s="285" t="s">
        <v>857</v>
      </c>
      <c r="E122" s="9">
        <v>12</v>
      </c>
      <c r="F122" s="10">
        <v>3944</v>
      </c>
      <c r="G122" s="10">
        <f t="shared" ref="G122:G184" si="79">F122*E122</f>
        <v>47328</v>
      </c>
      <c r="H122" s="23">
        <v>4</v>
      </c>
      <c r="I122" s="24">
        <v>3944</v>
      </c>
      <c r="J122" s="24">
        <f t="shared" ref="J122:J184" si="80">I122*H122</f>
        <v>15776</v>
      </c>
    </row>
    <row r="123" spans="1:10" ht="17" thickBot="1" x14ac:dyDescent="0.25">
      <c r="A123" s="9" t="s">
        <v>1818</v>
      </c>
      <c r="B123" s="155"/>
      <c r="C123" s="155" t="s">
        <v>36</v>
      </c>
      <c r="D123" s="285" t="s">
        <v>1579</v>
      </c>
      <c r="E123" s="9">
        <v>6</v>
      </c>
      <c r="F123" s="10">
        <v>13920</v>
      </c>
      <c r="G123" s="10">
        <f t="shared" si="79"/>
        <v>83520</v>
      </c>
      <c r="H123" s="23"/>
      <c r="I123" s="24">
        <v>13920</v>
      </c>
      <c r="J123" s="24">
        <f t="shared" si="80"/>
        <v>0</v>
      </c>
    </row>
    <row r="124" spans="1:10" ht="17" thickBot="1" x14ac:dyDescent="0.25">
      <c r="A124" s="9" t="s">
        <v>1819</v>
      </c>
      <c r="B124" s="155"/>
      <c r="C124" s="155" t="s">
        <v>36</v>
      </c>
      <c r="D124" s="285"/>
      <c r="E124" s="9">
        <v>10</v>
      </c>
      <c r="F124" s="10">
        <v>8120</v>
      </c>
      <c r="G124" s="10">
        <f t="shared" si="79"/>
        <v>81200</v>
      </c>
      <c r="H124" s="23"/>
      <c r="I124" s="24">
        <v>8120</v>
      </c>
      <c r="J124" s="24">
        <f t="shared" si="80"/>
        <v>0</v>
      </c>
    </row>
    <row r="125" spans="1:10" ht="17" thickBot="1" x14ac:dyDescent="0.25">
      <c r="A125" s="9" t="s">
        <v>1820</v>
      </c>
      <c r="B125" s="155"/>
      <c r="C125" s="155" t="s">
        <v>36</v>
      </c>
      <c r="D125" s="285" t="s">
        <v>1776</v>
      </c>
      <c r="E125" s="9">
        <v>20</v>
      </c>
      <c r="F125" s="10">
        <v>7076</v>
      </c>
      <c r="G125" s="10">
        <f t="shared" si="79"/>
        <v>141520</v>
      </c>
      <c r="H125" s="23">
        <v>6</v>
      </c>
      <c r="I125" s="24">
        <v>7076</v>
      </c>
      <c r="J125" s="24">
        <f t="shared" si="80"/>
        <v>42456</v>
      </c>
    </row>
    <row r="126" spans="1:10" ht="17" thickBot="1" x14ac:dyDescent="0.25">
      <c r="A126" s="9" t="s">
        <v>1821</v>
      </c>
      <c r="B126" s="155"/>
      <c r="C126" s="155" t="s">
        <v>36</v>
      </c>
      <c r="D126" s="285" t="s">
        <v>1524</v>
      </c>
      <c r="E126" s="9">
        <v>24</v>
      </c>
      <c r="F126" s="10">
        <v>11368</v>
      </c>
      <c r="G126" s="10">
        <f t="shared" si="79"/>
        <v>272832</v>
      </c>
      <c r="H126" s="23"/>
      <c r="I126" s="24">
        <v>11368</v>
      </c>
      <c r="J126" s="24">
        <f t="shared" si="80"/>
        <v>0</v>
      </c>
    </row>
    <row r="127" spans="1:10" ht="17" thickBot="1" x14ac:dyDescent="0.25">
      <c r="A127" s="9" t="s">
        <v>555</v>
      </c>
      <c r="B127" s="155"/>
      <c r="C127" s="155" t="s">
        <v>36</v>
      </c>
      <c r="D127" s="285" t="s">
        <v>947</v>
      </c>
      <c r="E127" s="9">
        <v>60</v>
      </c>
      <c r="F127" s="10">
        <v>4640</v>
      </c>
      <c r="G127" s="10">
        <f t="shared" si="79"/>
        <v>278400</v>
      </c>
      <c r="H127" s="23">
        <v>20</v>
      </c>
      <c r="I127" s="24">
        <v>4640</v>
      </c>
      <c r="J127" s="24">
        <f t="shared" si="80"/>
        <v>92800</v>
      </c>
    </row>
    <row r="128" spans="1:10" ht="17" thickBot="1" x14ac:dyDescent="0.25">
      <c r="A128" s="9" t="s">
        <v>1822</v>
      </c>
      <c r="B128" s="155"/>
      <c r="C128" s="155" t="s">
        <v>36</v>
      </c>
      <c r="D128" s="285" t="s">
        <v>928</v>
      </c>
      <c r="E128" s="9">
        <v>24</v>
      </c>
      <c r="F128" s="10">
        <v>3712</v>
      </c>
      <c r="G128" s="10">
        <f t="shared" si="79"/>
        <v>89088</v>
      </c>
      <c r="H128" s="23">
        <v>8</v>
      </c>
      <c r="I128" s="24">
        <v>3712</v>
      </c>
      <c r="J128" s="24">
        <f t="shared" si="80"/>
        <v>29696</v>
      </c>
    </row>
    <row r="129" spans="1:11" ht="17" thickBot="1" x14ac:dyDescent="0.25">
      <c r="A129" s="9" t="s">
        <v>1823</v>
      </c>
      <c r="B129" s="155"/>
      <c r="C129" s="155" t="s">
        <v>36</v>
      </c>
      <c r="D129" s="285" t="s">
        <v>889</v>
      </c>
      <c r="E129" s="9">
        <v>50</v>
      </c>
      <c r="F129" s="10">
        <v>7424</v>
      </c>
      <c r="G129" s="10">
        <f t="shared" si="79"/>
        <v>371200</v>
      </c>
      <c r="H129" s="23">
        <v>16</v>
      </c>
      <c r="I129" s="24">
        <v>7424</v>
      </c>
      <c r="J129" s="24">
        <f t="shared" si="80"/>
        <v>118784</v>
      </c>
    </row>
    <row r="130" spans="1:11" ht="17" thickBot="1" x14ac:dyDescent="0.25">
      <c r="A130" s="9" t="s">
        <v>1824</v>
      </c>
      <c r="B130" s="155"/>
      <c r="C130" s="155" t="s">
        <v>36</v>
      </c>
      <c r="D130" s="285" t="s">
        <v>884</v>
      </c>
      <c r="E130" s="9">
        <v>24</v>
      </c>
      <c r="F130" s="10">
        <v>7540</v>
      </c>
      <c r="G130" s="10">
        <f t="shared" si="79"/>
        <v>180960</v>
      </c>
      <c r="H130" s="23">
        <v>8</v>
      </c>
      <c r="I130" s="24">
        <v>7540</v>
      </c>
      <c r="J130" s="24">
        <f t="shared" si="80"/>
        <v>60320</v>
      </c>
    </row>
    <row r="131" spans="1:11" ht="17" thickBot="1" x14ac:dyDescent="0.25">
      <c r="A131" s="9" t="s">
        <v>1825</v>
      </c>
      <c r="B131" s="155"/>
      <c r="C131" s="155" t="s">
        <v>36</v>
      </c>
      <c r="D131" s="285" t="s">
        <v>878</v>
      </c>
      <c r="E131" s="9">
        <v>5</v>
      </c>
      <c r="F131" s="10">
        <v>14384</v>
      </c>
      <c r="G131" s="10">
        <f t="shared" si="79"/>
        <v>71920</v>
      </c>
      <c r="H131" s="23">
        <v>2</v>
      </c>
      <c r="I131" s="24">
        <v>14384</v>
      </c>
      <c r="J131" s="24">
        <f t="shared" si="80"/>
        <v>28768</v>
      </c>
      <c r="K131" s="99">
        <f>SUM(J85:J131)</f>
        <v>2118160</v>
      </c>
    </row>
    <row r="132" spans="1:11" ht="17" thickBot="1" x14ac:dyDescent="0.25">
      <c r="A132" s="9" t="s">
        <v>1826</v>
      </c>
      <c r="B132" s="155"/>
      <c r="C132" s="155" t="s">
        <v>36</v>
      </c>
      <c r="D132" s="285" t="s">
        <v>1334</v>
      </c>
      <c r="E132" s="9">
        <v>12</v>
      </c>
      <c r="F132" s="10">
        <v>13108</v>
      </c>
      <c r="G132" s="10">
        <f t="shared" si="79"/>
        <v>157296</v>
      </c>
      <c r="H132" s="23"/>
      <c r="I132" s="24">
        <v>13108</v>
      </c>
      <c r="J132" s="24">
        <f t="shared" si="80"/>
        <v>0</v>
      </c>
    </row>
    <row r="133" spans="1:11" ht="17" thickBot="1" x14ac:dyDescent="0.25">
      <c r="A133" s="9" t="s">
        <v>1054</v>
      </c>
      <c r="B133" s="155"/>
      <c r="C133" s="155" t="s">
        <v>36</v>
      </c>
      <c r="D133" s="285" t="s">
        <v>848</v>
      </c>
      <c r="E133" s="9">
        <v>12</v>
      </c>
      <c r="F133" s="10">
        <v>11020</v>
      </c>
      <c r="G133" s="10">
        <f t="shared" si="79"/>
        <v>132240</v>
      </c>
      <c r="H133" s="23"/>
      <c r="I133" s="24">
        <v>11020</v>
      </c>
      <c r="J133" s="24">
        <f t="shared" si="80"/>
        <v>0</v>
      </c>
    </row>
    <row r="134" spans="1:11" ht="17" thickBot="1" x14ac:dyDescent="0.25">
      <c r="A134" s="9" t="s">
        <v>1827</v>
      </c>
      <c r="B134" s="155"/>
      <c r="C134" s="155" t="s">
        <v>36</v>
      </c>
      <c r="D134" s="285"/>
      <c r="E134" s="9">
        <v>12</v>
      </c>
      <c r="F134" s="10">
        <v>10092</v>
      </c>
      <c r="G134" s="10">
        <f t="shared" si="79"/>
        <v>121104</v>
      </c>
      <c r="H134" s="23"/>
      <c r="I134" s="24">
        <v>10092</v>
      </c>
      <c r="J134" s="24">
        <f t="shared" si="80"/>
        <v>0</v>
      </c>
    </row>
    <row r="135" spans="1:11" ht="17" thickBot="1" x14ac:dyDescent="0.25">
      <c r="A135" s="9" t="s">
        <v>1828</v>
      </c>
      <c r="B135" s="155"/>
      <c r="C135" s="155" t="s">
        <v>36</v>
      </c>
      <c r="D135" s="285" t="s">
        <v>881</v>
      </c>
      <c r="E135" s="9">
        <v>24</v>
      </c>
      <c r="F135" s="10">
        <v>8120</v>
      </c>
      <c r="G135" s="10">
        <f t="shared" si="79"/>
        <v>194880</v>
      </c>
      <c r="H135" s="23">
        <v>8</v>
      </c>
      <c r="I135" s="24">
        <v>8120</v>
      </c>
      <c r="J135" s="24">
        <f t="shared" si="80"/>
        <v>64960</v>
      </c>
    </row>
    <row r="136" spans="1:11" ht="17" thickBot="1" x14ac:dyDescent="0.25">
      <c r="A136" s="9" t="s">
        <v>1829</v>
      </c>
      <c r="B136" s="155"/>
      <c r="C136" s="155" t="s">
        <v>36</v>
      </c>
      <c r="D136" s="285" t="s">
        <v>915</v>
      </c>
      <c r="E136" s="9">
        <v>30</v>
      </c>
      <c r="F136" s="10">
        <v>5800</v>
      </c>
      <c r="G136" s="10">
        <f t="shared" si="79"/>
        <v>174000</v>
      </c>
      <c r="H136" s="23"/>
      <c r="I136" s="24">
        <v>5800</v>
      </c>
      <c r="J136" s="24">
        <f t="shared" si="80"/>
        <v>0</v>
      </c>
    </row>
    <row r="137" spans="1:11" ht="17" thickBot="1" x14ac:dyDescent="0.25">
      <c r="A137" s="9" t="s">
        <v>1830</v>
      </c>
      <c r="B137" s="155"/>
      <c r="C137" s="155" t="s">
        <v>36</v>
      </c>
      <c r="D137" s="285" t="s">
        <v>971</v>
      </c>
      <c r="E137" s="9">
        <v>12</v>
      </c>
      <c r="F137" s="10">
        <v>8236</v>
      </c>
      <c r="G137" s="10">
        <f t="shared" si="79"/>
        <v>98832</v>
      </c>
      <c r="H137" s="23">
        <v>4</v>
      </c>
      <c r="I137" s="24">
        <v>8236</v>
      </c>
      <c r="J137" s="24">
        <f t="shared" si="80"/>
        <v>32944</v>
      </c>
    </row>
    <row r="138" spans="1:11" ht="17" thickBot="1" x14ac:dyDescent="0.25">
      <c r="A138" s="9" t="s">
        <v>757</v>
      </c>
      <c r="B138" s="155"/>
      <c r="C138" s="155" t="s">
        <v>36</v>
      </c>
      <c r="D138" s="285" t="s">
        <v>914</v>
      </c>
      <c r="E138" s="9">
        <v>12</v>
      </c>
      <c r="F138" s="10">
        <v>12760</v>
      </c>
      <c r="G138" s="10">
        <f t="shared" si="79"/>
        <v>153120</v>
      </c>
      <c r="H138" s="23">
        <v>2</v>
      </c>
      <c r="I138" s="24">
        <v>12760</v>
      </c>
      <c r="J138" s="24">
        <f t="shared" si="80"/>
        <v>25520</v>
      </c>
    </row>
    <row r="139" spans="1:11" ht="17" thickBot="1" x14ac:dyDescent="0.25">
      <c r="A139" s="9" t="s">
        <v>775</v>
      </c>
      <c r="B139" s="155"/>
      <c r="C139" s="155" t="s">
        <v>36</v>
      </c>
      <c r="D139" s="285" t="s">
        <v>877</v>
      </c>
      <c r="E139" s="9">
        <v>12</v>
      </c>
      <c r="F139" s="10">
        <v>904.8</v>
      </c>
      <c r="G139" s="10">
        <f t="shared" si="79"/>
        <v>10857.599999999999</v>
      </c>
      <c r="H139" s="23">
        <v>4</v>
      </c>
      <c r="I139" s="24">
        <v>904.8</v>
      </c>
      <c r="J139" s="24">
        <f t="shared" si="80"/>
        <v>3619.2</v>
      </c>
    </row>
    <row r="140" spans="1:11" ht="17" thickBot="1" x14ac:dyDescent="0.25">
      <c r="A140" s="9" t="s">
        <v>1831</v>
      </c>
      <c r="B140" s="155"/>
      <c r="C140" s="155" t="s">
        <v>36</v>
      </c>
      <c r="D140" s="285" t="s">
        <v>834</v>
      </c>
      <c r="E140" s="9">
        <v>50</v>
      </c>
      <c r="F140" s="10">
        <v>3329.2</v>
      </c>
      <c r="G140" s="10">
        <f t="shared" si="79"/>
        <v>166460</v>
      </c>
      <c r="H140" s="23">
        <v>16</v>
      </c>
      <c r="I140" s="24">
        <v>3329.2</v>
      </c>
      <c r="J140" s="24">
        <f t="shared" si="80"/>
        <v>53267.199999999997</v>
      </c>
    </row>
    <row r="141" spans="1:11" ht="17" thickBot="1" x14ac:dyDescent="0.25">
      <c r="A141" s="9" t="s">
        <v>1832</v>
      </c>
      <c r="B141" s="155"/>
      <c r="C141" s="155" t="s">
        <v>36</v>
      </c>
      <c r="D141" s="285" t="s">
        <v>1763</v>
      </c>
      <c r="E141" s="9">
        <v>20</v>
      </c>
      <c r="F141" s="10">
        <v>12992</v>
      </c>
      <c r="G141" s="10">
        <f t="shared" si="79"/>
        <v>259840</v>
      </c>
      <c r="H141" s="23">
        <v>6</v>
      </c>
      <c r="I141" s="24">
        <v>12992</v>
      </c>
      <c r="J141" s="24">
        <f t="shared" si="80"/>
        <v>77952</v>
      </c>
    </row>
    <row r="142" spans="1:11" ht="17" thickBot="1" x14ac:dyDescent="0.25">
      <c r="A142" s="9" t="s">
        <v>1046</v>
      </c>
      <c r="B142" s="155"/>
      <c r="C142" s="155" t="s">
        <v>36</v>
      </c>
      <c r="D142" s="285" t="s">
        <v>885</v>
      </c>
      <c r="E142" s="9">
        <v>15</v>
      </c>
      <c r="F142" s="10">
        <v>10788</v>
      </c>
      <c r="G142" s="10">
        <f t="shared" si="79"/>
        <v>161820</v>
      </c>
      <c r="H142" s="23"/>
      <c r="I142" s="24">
        <v>10788</v>
      </c>
      <c r="J142" s="24">
        <f t="shared" si="80"/>
        <v>0</v>
      </c>
    </row>
    <row r="143" spans="1:11" ht="17" thickBot="1" x14ac:dyDescent="0.25">
      <c r="A143" s="9" t="s">
        <v>1833</v>
      </c>
      <c r="B143" s="155"/>
      <c r="C143" s="155" t="s">
        <v>36</v>
      </c>
      <c r="D143" s="285" t="s">
        <v>977</v>
      </c>
      <c r="E143" s="9">
        <v>10</v>
      </c>
      <c r="F143" s="10">
        <v>11368</v>
      </c>
      <c r="G143" s="10">
        <f t="shared" si="79"/>
        <v>113680</v>
      </c>
      <c r="H143" s="23">
        <v>3</v>
      </c>
      <c r="I143" s="24">
        <v>11368</v>
      </c>
      <c r="J143" s="24">
        <f t="shared" si="80"/>
        <v>34104</v>
      </c>
    </row>
    <row r="144" spans="1:11" ht="17" thickBot="1" x14ac:dyDescent="0.25">
      <c r="A144" s="9" t="s">
        <v>1834</v>
      </c>
      <c r="B144" s="155"/>
      <c r="C144" s="155" t="s">
        <v>36</v>
      </c>
      <c r="D144" s="285" t="s">
        <v>882</v>
      </c>
      <c r="E144" s="9">
        <v>48</v>
      </c>
      <c r="F144" s="10">
        <v>12760</v>
      </c>
      <c r="G144" s="10">
        <f t="shared" si="79"/>
        <v>612480</v>
      </c>
      <c r="H144" s="23">
        <v>16</v>
      </c>
      <c r="I144" s="24">
        <v>12760</v>
      </c>
      <c r="J144" s="24">
        <f t="shared" si="80"/>
        <v>204160</v>
      </c>
    </row>
    <row r="145" spans="1:10" ht="17" thickBot="1" x14ac:dyDescent="0.25">
      <c r="A145" s="9" t="s">
        <v>761</v>
      </c>
      <c r="B145" s="155"/>
      <c r="C145" s="155" t="s">
        <v>36</v>
      </c>
      <c r="D145" s="285" t="s">
        <v>847</v>
      </c>
      <c r="E145" s="9">
        <v>20</v>
      </c>
      <c r="F145" s="10">
        <v>16472</v>
      </c>
      <c r="G145" s="10">
        <f t="shared" si="79"/>
        <v>329440</v>
      </c>
      <c r="H145" s="23">
        <v>6</v>
      </c>
      <c r="I145" s="24">
        <v>16472</v>
      </c>
      <c r="J145" s="24">
        <f t="shared" si="80"/>
        <v>98832</v>
      </c>
    </row>
    <row r="146" spans="1:10" ht="17" thickBot="1" x14ac:dyDescent="0.25">
      <c r="A146" s="9" t="s">
        <v>1065</v>
      </c>
      <c r="B146" s="155"/>
      <c r="C146" s="155" t="s">
        <v>36</v>
      </c>
      <c r="D146" s="285" t="s">
        <v>910</v>
      </c>
      <c r="E146" s="9">
        <v>10</v>
      </c>
      <c r="F146" s="10">
        <v>12992</v>
      </c>
      <c r="G146" s="10">
        <f t="shared" si="79"/>
        <v>129920</v>
      </c>
      <c r="H146" s="23">
        <v>3</v>
      </c>
      <c r="I146" s="24">
        <v>12992</v>
      </c>
      <c r="J146" s="24">
        <f t="shared" si="80"/>
        <v>38976</v>
      </c>
    </row>
    <row r="147" spans="1:10" ht="17" thickBot="1" x14ac:dyDescent="0.25">
      <c r="A147" s="9" t="s">
        <v>1835</v>
      </c>
      <c r="B147" s="155"/>
      <c r="C147" s="155" t="s">
        <v>36</v>
      </c>
      <c r="D147" s="285" t="s">
        <v>953</v>
      </c>
      <c r="E147" s="9">
        <v>20</v>
      </c>
      <c r="F147" s="10">
        <v>8236</v>
      </c>
      <c r="G147" s="10">
        <f t="shared" si="79"/>
        <v>164720</v>
      </c>
      <c r="H147" s="23">
        <v>6</v>
      </c>
      <c r="I147" s="24">
        <v>8236</v>
      </c>
      <c r="J147" s="24">
        <f t="shared" si="80"/>
        <v>49416</v>
      </c>
    </row>
    <row r="148" spans="1:10" ht="17" thickBot="1" x14ac:dyDescent="0.25">
      <c r="A148" s="9" t="s">
        <v>1836</v>
      </c>
      <c r="B148" s="155"/>
      <c r="C148" s="155" t="s">
        <v>36</v>
      </c>
      <c r="D148" s="285" t="s">
        <v>2165</v>
      </c>
      <c r="E148" s="9">
        <v>50</v>
      </c>
      <c r="F148" s="10">
        <v>696</v>
      </c>
      <c r="G148" s="10">
        <f t="shared" si="79"/>
        <v>34800</v>
      </c>
      <c r="H148" s="23">
        <v>20</v>
      </c>
      <c r="I148" s="24">
        <v>696</v>
      </c>
      <c r="J148" s="24">
        <f t="shared" si="80"/>
        <v>13920</v>
      </c>
    </row>
    <row r="149" spans="1:10" ht="17" thickBot="1" x14ac:dyDescent="0.25">
      <c r="A149" s="9" t="s">
        <v>1837</v>
      </c>
      <c r="B149" s="155"/>
      <c r="C149" s="155" t="s">
        <v>36</v>
      </c>
      <c r="D149" s="285" t="s">
        <v>1946</v>
      </c>
      <c r="E149" s="9">
        <v>12</v>
      </c>
      <c r="F149" s="10">
        <v>5800</v>
      </c>
      <c r="G149" s="10">
        <f t="shared" si="79"/>
        <v>69600</v>
      </c>
      <c r="H149" s="23">
        <v>2</v>
      </c>
      <c r="I149" s="24">
        <v>5800</v>
      </c>
      <c r="J149" s="24">
        <f t="shared" si="80"/>
        <v>11600</v>
      </c>
    </row>
    <row r="150" spans="1:10" ht="17" thickBot="1" x14ac:dyDescent="0.25">
      <c r="A150" s="9" t="s">
        <v>393</v>
      </c>
      <c r="B150" s="155"/>
      <c r="C150" s="155" t="s">
        <v>36</v>
      </c>
      <c r="D150" s="285" t="s">
        <v>1346</v>
      </c>
      <c r="E150" s="9">
        <v>30</v>
      </c>
      <c r="F150" s="10">
        <v>4292</v>
      </c>
      <c r="G150" s="10">
        <f t="shared" si="79"/>
        <v>128760</v>
      </c>
      <c r="H150" s="23">
        <v>10</v>
      </c>
      <c r="I150" s="24">
        <v>4292</v>
      </c>
      <c r="J150" s="24">
        <f t="shared" si="80"/>
        <v>42920</v>
      </c>
    </row>
    <row r="151" spans="1:10" ht="17" thickBot="1" x14ac:dyDescent="0.25">
      <c r="A151" s="9" t="s">
        <v>1838</v>
      </c>
      <c r="B151" s="155"/>
      <c r="C151" s="155" t="s">
        <v>36</v>
      </c>
      <c r="D151" s="285" t="s">
        <v>909</v>
      </c>
      <c r="E151" s="9">
        <v>20</v>
      </c>
      <c r="F151" s="10">
        <v>13920</v>
      </c>
      <c r="G151" s="10">
        <f t="shared" si="79"/>
        <v>278400</v>
      </c>
      <c r="H151" s="23"/>
      <c r="I151" s="24">
        <v>13920</v>
      </c>
      <c r="J151" s="24">
        <f t="shared" si="80"/>
        <v>0</v>
      </c>
    </row>
    <row r="152" spans="1:10" ht="17" thickBot="1" x14ac:dyDescent="0.25">
      <c r="A152" s="9" t="s">
        <v>775</v>
      </c>
      <c r="B152" s="155"/>
      <c r="C152" s="155" t="s">
        <v>36</v>
      </c>
      <c r="D152" s="285" t="s">
        <v>877</v>
      </c>
      <c r="E152" s="9">
        <v>10</v>
      </c>
      <c r="F152" s="10">
        <v>928</v>
      </c>
      <c r="G152" s="10">
        <f t="shared" si="79"/>
        <v>9280</v>
      </c>
      <c r="H152" s="23">
        <v>3</v>
      </c>
      <c r="I152" s="24">
        <v>928</v>
      </c>
      <c r="J152" s="24">
        <f t="shared" si="80"/>
        <v>2784</v>
      </c>
    </row>
    <row r="153" spans="1:10" ht="17" thickBot="1" x14ac:dyDescent="0.25">
      <c r="A153" s="9" t="s">
        <v>1839</v>
      </c>
      <c r="B153" s="155"/>
      <c r="C153" s="155" t="s">
        <v>36</v>
      </c>
      <c r="D153" s="285" t="s">
        <v>908</v>
      </c>
      <c r="E153" s="9">
        <v>20</v>
      </c>
      <c r="F153" s="10">
        <v>13920</v>
      </c>
      <c r="G153" s="10">
        <f t="shared" si="79"/>
        <v>278400</v>
      </c>
      <c r="H153" s="23"/>
      <c r="I153" s="24">
        <v>13920</v>
      </c>
      <c r="J153" s="24">
        <f t="shared" si="80"/>
        <v>0</v>
      </c>
    </row>
    <row r="154" spans="1:10" ht="17" thickBot="1" x14ac:dyDescent="0.25">
      <c r="A154" s="9" t="s">
        <v>1840</v>
      </c>
      <c r="B154" s="155"/>
      <c r="C154" s="155" t="s">
        <v>36</v>
      </c>
      <c r="D154" s="285" t="s">
        <v>2166</v>
      </c>
      <c r="E154" s="9">
        <v>12</v>
      </c>
      <c r="F154" s="10">
        <v>4640</v>
      </c>
      <c r="G154" s="10">
        <f t="shared" si="79"/>
        <v>55680</v>
      </c>
      <c r="H154" s="23">
        <v>4</v>
      </c>
      <c r="I154" s="24">
        <v>4640</v>
      </c>
      <c r="J154" s="24">
        <f t="shared" si="80"/>
        <v>18560</v>
      </c>
    </row>
    <row r="155" spans="1:10" ht="17" thickBot="1" x14ac:dyDescent="0.25">
      <c r="A155" s="9" t="s">
        <v>1818</v>
      </c>
      <c r="B155" s="155"/>
      <c r="C155" s="155" t="s">
        <v>36</v>
      </c>
      <c r="D155" s="285" t="s">
        <v>1579</v>
      </c>
      <c r="E155" s="9">
        <v>5</v>
      </c>
      <c r="F155" s="10">
        <v>14036</v>
      </c>
      <c r="G155" s="10">
        <f t="shared" si="79"/>
        <v>70180</v>
      </c>
      <c r="H155" s="23"/>
      <c r="I155" s="24">
        <v>14036</v>
      </c>
      <c r="J155" s="24">
        <f t="shared" si="80"/>
        <v>0</v>
      </c>
    </row>
    <row r="156" spans="1:10" ht="17" thickBot="1" x14ac:dyDescent="0.25">
      <c r="A156" s="9" t="s">
        <v>770</v>
      </c>
      <c r="B156" s="155"/>
      <c r="C156" s="155" t="s">
        <v>36</v>
      </c>
      <c r="D156" s="285" t="s">
        <v>2167</v>
      </c>
      <c r="E156" s="9">
        <v>24</v>
      </c>
      <c r="F156" s="10">
        <v>7540</v>
      </c>
      <c r="G156" s="10">
        <f t="shared" si="79"/>
        <v>180960</v>
      </c>
      <c r="H156" s="23">
        <v>8</v>
      </c>
      <c r="I156" s="24">
        <v>7540</v>
      </c>
      <c r="J156" s="24">
        <f t="shared" si="80"/>
        <v>60320</v>
      </c>
    </row>
    <row r="157" spans="1:10" ht="17" thickBot="1" x14ac:dyDescent="0.25">
      <c r="A157" s="9" t="s">
        <v>1841</v>
      </c>
      <c r="B157" s="155"/>
      <c r="C157" s="155" t="s">
        <v>36</v>
      </c>
      <c r="D157" s="285" t="s">
        <v>1940</v>
      </c>
      <c r="E157" s="9">
        <v>24</v>
      </c>
      <c r="F157" s="10">
        <v>3712</v>
      </c>
      <c r="G157" s="10">
        <f t="shared" si="79"/>
        <v>89088</v>
      </c>
      <c r="H157" s="23">
        <v>8</v>
      </c>
      <c r="I157" s="24">
        <v>3712</v>
      </c>
      <c r="J157" s="24">
        <f t="shared" si="80"/>
        <v>29696</v>
      </c>
    </row>
    <row r="158" spans="1:10" ht="17" thickBot="1" x14ac:dyDescent="0.25">
      <c r="A158" s="9" t="s">
        <v>1842</v>
      </c>
      <c r="B158" s="155"/>
      <c r="C158" s="155" t="s">
        <v>36</v>
      </c>
      <c r="D158" s="285" t="s">
        <v>846</v>
      </c>
      <c r="E158" s="9">
        <v>5</v>
      </c>
      <c r="F158" s="10">
        <v>12760</v>
      </c>
      <c r="G158" s="10">
        <f t="shared" si="79"/>
        <v>63800</v>
      </c>
      <c r="H158" s="23">
        <v>2</v>
      </c>
      <c r="I158" s="24">
        <v>12760</v>
      </c>
      <c r="J158" s="24">
        <f t="shared" si="80"/>
        <v>25520</v>
      </c>
    </row>
    <row r="159" spans="1:10" ht="17" thickBot="1" x14ac:dyDescent="0.25">
      <c r="A159" s="9" t="s">
        <v>1843</v>
      </c>
      <c r="B159" s="155"/>
      <c r="C159" s="155" t="s">
        <v>36</v>
      </c>
      <c r="D159" s="285" t="s">
        <v>898</v>
      </c>
      <c r="E159" s="9">
        <v>6</v>
      </c>
      <c r="F159" s="10">
        <v>14036</v>
      </c>
      <c r="G159" s="10">
        <f t="shared" si="79"/>
        <v>84216</v>
      </c>
      <c r="H159" s="23"/>
      <c r="I159" s="24">
        <v>14036</v>
      </c>
      <c r="J159" s="24">
        <f t="shared" si="80"/>
        <v>0</v>
      </c>
    </row>
    <row r="160" spans="1:10" ht="17" thickBot="1" x14ac:dyDescent="0.25">
      <c r="A160" s="9" t="s">
        <v>774</v>
      </c>
      <c r="B160" s="155"/>
      <c r="C160" s="155" t="s">
        <v>36</v>
      </c>
      <c r="D160" s="285" t="s">
        <v>1564</v>
      </c>
      <c r="E160" s="9">
        <v>24</v>
      </c>
      <c r="F160" s="10">
        <v>4872</v>
      </c>
      <c r="G160" s="10">
        <f t="shared" si="79"/>
        <v>116928</v>
      </c>
      <c r="H160" s="23">
        <v>8</v>
      </c>
      <c r="I160" s="24">
        <v>4872</v>
      </c>
      <c r="J160" s="24">
        <f t="shared" si="80"/>
        <v>38976</v>
      </c>
    </row>
    <row r="161" spans="1:10" ht="17" thickBot="1" x14ac:dyDescent="0.25">
      <c r="A161" s="9" t="s">
        <v>1820</v>
      </c>
      <c r="B161" s="155"/>
      <c r="C161" s="155" t="s">
        <v>36</v>
      </c>
      <c r="D161" s="285" t="s">
        <v>1776</v>
      </c>
      <c r="E161" s="9">
        <v>12</v>
      </c>
      <c r="F161" s="10">
        <v>5916</v>
      </c>
      <c r="G161" s="10">
        <f t="shared" si="79"/>
        <v>70992</v>
      </c>
      <c r="H161" s="23">
        <v>4</v>
      </c>
      <c r="I161" s="24">
        <v>5916</v>
      </c>
      <c r="J161" s="24">
        <f t="shared" si="80"/>
        <v>23664</v>
      </c>
    </row>
    <row r="162" spans="1:10" ht="17" thickBot="1" x14ac:dyDescent="0.25">
      <c r="A162" s="9" t="s">
        <v>110</v>
      </c>
      <c r="B162" s="155"/>
      <c r="C162" s="155" t="s">
        <v>36</v>
      </c>
      <c r="D162" s="285" t="s">
        <v>854</v>
      </c>
      <c r="E162" s="9">
        <v>12</v>
      </c>
      <c r="F162" s="10">
        <v>7540</v>
      </c>
      <c r="G162" s="10">
        <f t="shared" si="79"/>
        <v>90480</v>
      </c>
      <c r="H162" s="23">
        <v>4</v>
      </c>
      <c r="I162" s="24">
        <v>7540</v>
      </c>
      <c r="J162" s="24">
        <f t="shared" si="80"/>
        <v>30160</v>
      </c>
    </row>
    <row r="163" spans="1:10" ht="17" thickBot="1" x14ac:dyDescent="0.25">
      <c r="A163" s="9" t="s">
        <v>1844</v>
      </c>
      <c r="B163" s="155"/>
      <c r="C163" s="155" t="s">
        <v>36</v>
      </c>
      <c r="D163" s="286"/>
      <c r="E163" s="9">
        <v>12</v>
      </c>
      <c r="F163" s="10">
        <v>6960</v>
      </c>
      <c r="G163" s="10">
        <f t="shared" si="79"/>
        <v>83520</v>
      </c>
      <c r="H163" s="23"/>
      <c r="I163" s="24">
        <v>6960</v>
      </c>
      <c r="J163" s="24">
        <f t="shared" si="80"/>
        <v>0</v>
      </c>
    </row>
    <row r="164" spans="1:10" ht="17" thickBot="1" x14ac:dyDescent="0.25">
      <c r="A164" s="9" t="s">
        <v>52</v>
      </c>
      <c r="B164" s="155"/>
      <c r="C164" s="155" t="s">
        <v>36</v>
      </c>
      <c r="D164" s="285" t="s">
        <v>896</v>
      </c>
      <c r="E164" s="9">
        <v>20</v>
      </c>
      <c r="F164" s="10">
        <v>11368</v>
      </c>
      <c r="G164" s="10">
        <f t="shared" si="79"/>
        <v>227360</v>
      </c>
      <c r="H164" s="23"/>
      <c r="I164" s="24">
        <v>11368</v>
      </c>
      <c r="J164" s="24">
        <f t="shared" si="80"/>
        <v>0</v>
      </c>
    </row>
    <row r="165" spans="1:10" ht="17" thickBot="1" x14ac:dyDescent="0.25">
      <c r="A165" s="9" t="s">
        <v>1845</v>
      </c>
      <c r="B165" s="155"/>
      <c r="C165" s="155" t="s">
        <v>36</v>
      </c>
      <c r="D165" s="285" t="s">
        <v>1950</v>
      </c>
      <c r="E165" s="9">
        <v>12</v>
      </c>
      <c r="F165" s="10">
        <v>9396</v>
      </c>
      <c r="G165" s="10">
        <f t="shared" si="79"/>
        <v>112752</v>
      </c>
      <c r="H165" s="23"/>
      <c r="I165" s="24">
        <v>9396</v>
      </c>
      <c r="J165" s="24">
        <f t="shared" si="80"/>
        <v>0</v>
      </c>
    </row>
    <row r="166" spans="1:10" ht="17" thickBot="1" x14ac:dyDescent="0.25">
      <c r="A166" s="9" t="s">
        <v>1846</v>
      </c>
      <c r="B166" s="155"/>
      <c r="C166" s="155" t="s">
        <v>36</v>
      </c>
      <c r="D166" s="285" t="s">
        <v>895</v>
      </c>
      <c r="E166" s="9">
        <v>20</v>
      </c>
      <c r="F166" s="10">
        <v>4408</v>
      </c>
      <c r="G166" s="10">
        <f t="shared" si="79"/>
        <v>88160</v>
      </c>
      <c r="H166" s="23">
        <v>6</v>
      </c>
      <c r="I166" s="24">
        <v>4408</v>
      </c>
      <c r="J166" s="24">
        <f t="shared" si="80"/>
        <v>26448</v>
      </c>
    </row>
    <row r="167" spans="1:10" ht="17" thickBot="1" x14ac:dyDescent="0.25">
      <c r="A167" s="9" t="s">
        <v>295</v>
      </c>
      <c r="B167" s="155"/>
      <c r="C167" s="155" t="s">
        <v>36</v>
      </c>
      <c r="D167" s="285" t="s">
        <v>841</v>
      </c>
      <c r="E167" s="9">
        <v>12</v>
      </c>
      <c r="F167" s="10">
        <v>12760</v>
      </c>
      <c r="G167" s="10">
        <f t="shared" si="79"/>
        <v>153120</v>
      </c>
      <c r="H167" s="23">
        <v>4</v>
      </c>
      <c r="I167" s="24">
        <v>12760</v>
      </c>
      <c r="J167" s="24">
        <f t="shared" si="80"/>
        <v>51040</v>
      </c>
    </row>
    <row r="168" spans="1:10" ht="17" thickBot="1" x14ac:dyDescent="0.25">
      <c r="A168" s="9" t="s">
        <v>1847</v>
      </c>
      <c r="B168" s="155"/>
      <c r="C168" s="155" t="s">
        <v>36</v>
      </c>
      <c r="D168" s="285"/>
      <c r="E168" s="9">
        <v>20</v>
      </c>
      <c r="F168" s="10">
        <v>11600</v>
      </c>
      <c r="G168" s="10">
        <f t="shared" si="79"/>
        <v>232000</v>
      </c>
      <c r="H168" s="23"/>
      <c r="I168" s="24">
        <v>11600</v>
      </c>
      <c r="J168" s="24">
        <f t="shared" si="80"/>
        <v>0</v>
      </c>
    </row>
    <row r="169" spans="1:10" ht="17" thickBot="1" x14ac:dyDescent="0.25">
      <c r="A169" s="9" t="s">
        <v>773</v>
      </c>
      <c r="B169" s="155"/>
      <c r="C169" s="155" t="s">
        <v>36</v>
      </c>
      <c r="D169" s="285" t="s">
        <v>890</v>
      </c>
      <c r="E169" s="9">
        <v>5</v>
      </c>
      <c r="F169" s="10">
        <v>12992</v>
      </c>
      <c r="G169" s="10">
        <f t="shared" si="79"/>
        <v>64960</v>
      </c>
      <c r="H169" s="23"/>
      <c r="I169" s="24">
        <v>12992</v>
      </c>
      <c r="J169" s="24">
        <f t="shared" si="80"/>
        <v>0</v>
      </c>
    </row>
    <row r="170" spans="1:10" ht="17" thickBot="1" x14ac:dyDescent="0.25">
      <c r="A170" s="9" t="s">
        <v>765</v>
      </c>
      <c r="B170" s="155"/>
      <c r="C170" s="155" t="s">
        <v>36</v>
      </c>
      <c r="D170" s="287" t="s">
        <v>2040</v>
      </c>
      <c r="E170" s="9">
        <v>12</v>
      </c>
      <c r="F170" s="10">
        <v>7540</v>
      </c>
      <c r="G170" s="10">
        <f t="shared" si="79"/>
        <v>90480</v>
      </c>
      <c r="H170" s="23">
        <v>4</v>
      </c>
      <c r="I170" s="24">
        <v>7540</v>
      </c>
      <c r="J170" s="24">
        <f t="shared" si="80"/>
        <v>30160</v>
      </c>
    </row>
    <row r="171" spans="1:10" ht="17" thickBot="1" x14ac:dyDescent="0.25">
      <c r="A171" s="9" t="s">
        <v>1848</v>
      </c>
      <c r="B171" s="155"/>
      <c r="C171" s="155" t="s">
        <v>36</v>
      </c>
      <c r="D171" s="285" t="s">
        <v>1763</v>
      </c>
      <c r="E171" s="9">
        <v>30</v>
      </c>
      <c r="F171" s="10">
        <v>12760</v>
      </c>
      <c r="G171" s="10">
        <f t="shared" si="79"/>
        <v>382800</v>
      </c>
      <c r="H171" s="23"/>
      <c r="I171" s="24">
        <v>12760</v>
      </c>
      <c r="J171" s="24">
        <f t="shared" si="80"/>
        <v>0</v>
      </c>
    </row>
    <row r="172" spans="1:10" ht="17" thickBot="1" x14ac:dyDescent="0.25">
      <c r="A172" s="9" t="s">
        <v>1849</v>
      </c>
      <c r="B172" s="155"/>
      <c r="C172" s="155" t="s">
        <v>36</v>
      </c>
      <c r="D172" s="285" t="s">
        <v>2168</v>
      </c>
      <c r="E172" s="9">
        <v>30</v>
      </c>
      <c r="F172" s="10">
        <v>928</v>
      </c>
      <c r="G172" s="10">
        <f t="shared" si="79"/>
        <v>27840</v>
      </c>
      <c r="H172" s="23">
        <v>10</v>
      </c>
      <c r="I172" s="24">
        <v>928</v>
      </c>
      <c r="J172" s="24">
        <f t="shared" si="80"/>
        <v>9280</v>
      </c>
    </row>
    <row r="173" spans="1:10" ht="17" thickBot="1" x14ac:dyDescent="0.25">
      <c r="A173" s="9" t="s">
        <v>1850</v>
      </c>
      <c r="B173" s="155"/>
      <c r="C173" s="155" t="s">
        <v>36</v>
      </c>
      <c r="D173" s="285" t="s">
        <v>2169</v>
      </c>
      <c r="E173" s="9">
        <v>6</v>
      </c>
      <c r="F173" s="10">
        <v>11252</v>
      </c>
      <c r="G173" s="10">
        <f t="shared" si="79"/>
        <v>67512</v>
      </c>
      <c r="H173" s="23">
        <v>2</v>
      </c>
      <c r="I173" s="24">
        <v>11252</v>
      </c>
      <c r="J173" s="24">
        <f t="shared" si="80"/>
        <v>22504</v>
      </c>
    </row>
    <row r="174" spans="1:10" ht="17" thickBot="1" x14ac:dyDescent="0.25">
      <c r="A174" s="9" t="s">
        <v>587</v>
      </c>
      <c r="B174" s="155"/>
      <c r="C174" s="155" t="s">
        <v>36</v>
      </c>
      <c r="D174" s="285" t="s">
        <v>887</v>
      </c>
      <c r="E174" s="9">
        <v>30</v>
      </c>
      <c r="F174" s="10">
        <v>11832</v>
      </c>
      <c r="G174" s="10">
        <f t="shared" si="79"/>
        <v>354960</v>
      </c>
      <c r="H174" s="23"/>
      <c r="I174" s="24">
        <v>11832</v>
      </c>
      <c r="J174" s="24">
        <f t="shared" si="80"/>
        <v>0</v>
      </c>
    </row>
    <row r="175" spans="1:10" ht="17" thickBot="1" x14ac:dyDescent="0.25">
      <c r="A175" s="9" t="s">
        <v>764</v>
      </c>
      <c r="B175" s="155"/>
      <c r="C175" s="155" t="s">
        <v>36</v>
      </c>
      <c r="D175" s="288" t="s">
        <v>901</v>
      </c>
      <c r="E175" s="9">
        <v>24</v>
      </c>
      <c r="F175" s="10">
        <v>8236</v>
      </c>
      <c r="G175" s="10">
        <f t="shared" si="79"/>
        <v>197664</v>
      </c>
      <c r="H175" s="23">
        <v>8</v>
      </c>
      <c r="I175" s="24">
        <v>8236</v>
      </c>
      <c r="J175" s="24">
        <f t="shared" si="80"/>
        <v>65888</v>
      </c>
    </row>
    <row r="176" spans="1:10" ht="17" thickBot="1" x14ac:dyDescent="0.25">
      <c r="A176" s="9" t="s">
        <v>1813</v>
      </c>
      <c r="B176" s="155"/>
      <c r="C176" s="155" t="s">
        <v>36</v>
      </c>
      <c r="D176" s="285" t="s">
        <v>1277</v>
      </c>
      <c r="E176" s="9">
        <v>20</v>
      </c>
      <c r="F176" s="10">
        <v>12180</v>
      </c>
      <c r="G176" s="10">
        <f t="shared" si="79"/>
        <v>243600</v>
      </c>
      <c r="H176" s="23"/>
      <c r="I176" s="24">
        <v>12180</v>
      </c>
      <c r="J176" s="24">
        <f t="shared" si="80"/>
        <v>0</v>
      </c>
    </row>
    <row r="177" spans="1:10" ht="17" thickBot="1" x14ac:dyDescent="0.25">
      <c r="A177" s="9" t="s">
        <v>1851</v>
      </c>
      <c r="B177" s="155"/>
      <c r="C177" s="155" t="s">
        <v>36</v>
      </c>
      <c r="D177" s="285" t="s">
        <v>1340</v>
      </c>
      <c r="E177" s="9">
        <v>20</v>
      </c>
      <c r="F177" s="10">
        <v>20996</v>
      </c>
      <c r="G177" s="10">
        <f t="shared" si="79"/>
        <v>419920</v>
      </c>
      <c r="H177" s="23">
        <v>4</v>
      </c>
      <c r="I177" s="24">
        <v>20996</v>
      </c>
      <c r="J177" s="24">
        <f t="shared" si="80"/>
        <v>83984</v>
      </c>
    </row>
    <row r="178" spans="1:10" ht="17" thickBot="1" x14ac:dyDescent="0.25">
      <c r="A178" s="9" t="s">
        <v>1852</v>
      </c>
      <c r="B178" s="155"/>
      <c r="C178" s="155" t="s">
        <v>36</v>
      </c>
      <c r="D178" s="285" t="s">
        <v>842</v>
      </c>
      <c r="E178" s="9">
        <v>5</v>
      </c>
      <c r="F178" s="10">
        <v>10324</v>
      </c>
      <c r="G178" s="10">
        <f t="shared" si="79"/>
        <v>51620</v>
      </c>
      <c r="H178" s="23"/>
      <c r="I178" s="24">
        <v>10324</v>
      </c>
      <c r="J178" s="24">
        <f t="shared" si="80"/>
        <v>0</v>
      </c>
    </row>
    <row r="179" spans="1:10" ht="17" thickBot="1" x14ac:dyDescent="0.25">
      <c r="A179" s="9" t="s">
        <v>1853</v>
      </c>
      <c r="B179" s="155"/>
      <c r="C179" s="155" t="s">
        <v>36</v>
      </c>
      <c r="D179" s="286"/>
      <c r="E179" s="9">
        <v>10</v>
      </c>
      <c r="F179" s="10">
        <v>11252</v>
      </c>
      <c r="G179" s="10">
        <f t="shared" si="79"/>
        <v>112520</v>
      </c>
      <c r="H179" s="23"/>
      <c r="I179" s="24">
        <v>11252</v>
      </c>
      <c r="J179" s="24">
        <f t="shared" si="80"/>
        <v>0</v>
      </c>
    </row>
    <row r="180" spans="1:10" ht="17" thickBot="1" x14ac:dyDescent="0.25">
      <c r="A180" s="9" t="s">
        <v>713</v>
      </c>
      <c r="B180" s="155"/>
      <c r="C180" s="155" t="s">
        <v>36</v>
      </c>
      <c r="D180" s="285" t="s">
        <v>862</v>
      </c>
      <c r="E180" s="9">
        <v>20</v>
      </c>
      <c r="F180" s="10">
        <v>8236</v>
      </c>
      <c r="G180" s="10">
        <f t="shared" si="79"/>
        <v>164720</v>
      </c>
      <c r="H180" s="23">
        <v>6</v>
      </c>
      <c r="I180" s="24">
        <v>8236</v>
      </c>
      <c r="J180" s="24">
        <f t="shared" si="80"/>
        <v>49416</v>
      </c>
    </row>
    <row r="181" spans="1:10" ht="17" thickBot="1" x14ac:dyDescent="0.25">
      <c r="A181" s="9" t="s">
        <v>1854</v>
      </c>
      <c r="B181" s="155"/>
      <c r="C181" s="155" t="s">
        <v>36</v>
      </c>
      <c r="D181" s="285"/>
      <c r="E181" s="9">
        <v>12</v>
      </c>
      <c r="F181" s="10">
        <v>17400</v>
      </c>
      <c r="G181" s="10">
        <f t="shared" si="79"/>
        <v>208800</v>
      </c>
      <c r="H181" s="23">
        <v>4</v>
      </c>
      <c r="I181" s="24">
        <v>17400</v>
      </c>
      <c r="J181" s="24">
        <f t="shared" si="80"/>
        <v>69600</v>
      </c>
    </row>
    <row r="182" spans="1:10" ht="17" thickBot="1" x14ac:dyDescent="0.25">
      <c r="A182" s="9" t="s">
        <v>80</v>
      </c>
      <c r="B182" s="155"/>
      <c r="C182" s="155" t="s">
        <v>36</v>
      </c>
      <c r="D182" s="285" t="s">
        <v>839</v>
      </c>
      <c r="E182" s="9">
        <v>30</v>
      </c>
      <c r="F182" s="10">
        <v>5800</v>
      </c>
      <c r="G182" s="10">
        <f t="shared" si="79"/>
        <v>174000</v>
      </c>
      <c r="H182" s="23">
        <v>10</v>
      </c>
      <c r="I182" s="24">
        <v>5800</v>
      </c>
      <c r="J182" s="24">
        <f t="shared" si="80"/>
        <v>58000</v>
      </c>
    </row>
    <row r="183" spans="1:10" ht="17" thickBot="1" x14ac:dyDescent="0.25">
      <c r="A183" s="9" t="s">
        <v>1855</v>
      </c>
      <c r="B183" s="155"/>
      <c r="C183" s="155" t="s">
        <v>36</v>
      </c>
      <c r="D183" s="285" t="s">
        <v>1577</v>
      </c>
      <c r="E183" s="9">
        <v>24</v>
      </c>
      <c r="F183" s="10">
        <v>5800</v>
      </c>
      <c r="G183" s="10">
        <f t="shared" si="79"/>
        <v>139200</v>
      </c>
      <c r="H183" s="23"/>
      <c r="I183" s="24">
        <v>5800</v>
      </c>
      <c r="J183" s="24">
        <f t="shared" si="80"/>
        <v>0</v>
      </c>
    </row>
    <row r="184" spans="1:10" ht="17" thickBot="1" x14ac:dyDescent="0.25">
      <c r="A184" s="9" t="s">
        <v>1856</v>
      </c>
      <c r="B184" s="155"/>
      <c r="C184" s="155" t="s">
        <v>36</v>
      </c>
      <c r="D184" s="285" t="s">
        <v>886</v>
      </c>
      <c r="E184" s="9">
        <v>24</v>
      </c>
      <c r="F184" s="10">
        <v>928</v>
      </c>
      <c r="G184" s="10">
        <f t="shared" si="79"/>
        <v>22272</v>
      </c>
      <c r="H184" s="23">
        <v>8</v>
      </c>
      <c r="I184" s="24">
        <v>928</v>
      </c>
      <c r="J184" s="24">
        <f t="shared" si="80"/>
        <v>7424</v>
      </c>
    </row>
    <row r="185" spans="1:10" ht="17" thickBot="1" x14ac:dyDescent="0.25">
      <c r="B185" s="156"/>
      <c r="F185" s="3"/>
      <c r="G185" s="12">
        <f>SUM(G85:G184)</f>
        <v>17789945.600000001</v>
      </c>
      <c r="I185" s="3"/>
      <c r="J185" s="26">
        <f>SUM(J85:J184)</f>
        <v>3573774.4000000004</v>
      </c>
    </row>
    <row r="186" spans="1:10" x14ac:dyDescent="0.2">
      <c r="B186" s="156"/>
    </row>
    <row r="187" spans="1:10" x14ac:dyDescent="0.2">
      <c r="B187" s="156"/>
    </row>
    <row r="191" spans="1:10" ht="17" thickBot="1" x14ac:dyDescent="0.25">
      <c r="A191" s="30" t="s">
        <v>1887</v>
      </c>
      <c r="B191" s="2" t="s">
        <v>1786</v>
      </c>
      <c r="C191" s="2" t="s">
        <v>1787</v>
      </c>
    </row>
    <row r="192" spans="1:10" ht="17" thickBot="1" x14ac:dyDescent="0.25">
      <c r="A192" s="9" t="s">
        <v>1857</v>
      </c>
      <c r="B192" s="155"/>
      <c r="C192" s="155" t="s">
        <v>36</v>
      </c>
      <c r="D192" s="285" t="s">
        <v>928</v>
      </c>
      <c r="E192" s="9">
        <v>40</v>
      </c>
      <c r="F192" s="10">
        <v>5800</v>
      </c>
      <c r="G192" s="10">
        <f>F192*E192</f>
        <v>232000</v>
      </c>
      <c r="H192" s="23">
        <v>12</v>
      </c>
      <c r="I192" s="24">
        <v>5800</v>
      </c>
      <c r="J192" s="24">
        <f>I192*H192</f>
        <v>69600</v>
      </c>
    </row>
    <row r="193" spans="1:10" ht="17" thickBot="1" x14ac:dyDescent="0.25">
      <c r="A193" s="9" t="s">
        <v>1858</v>
      </c>
      <c r="B193" s="155"/>
      <c r="C193" s="155" t="s">
        <v>36</v>
      </c>
      <c r="D193" s="285" t="s">
        <v>2144</v>
      </c>
      <c r="E193" s="9">
        <v>25</v>
      </c>
      <c r="F193" s="10">
        <v>8236</v>
      </c>
      <c r="G193" s="10">
        <f t="shared" ref="G193:G236" si="81">F193*E193</f>
        <v>205900</v>
      </c>
      <c r="H193" s="23"/>
      <c r="I193" s="24">
        <v>8236</v>
      </c>
      <c r="J193" s="24">
        <f t="shared" ref="J193:J236" si="82">I193*H193</f>
        <v>0</v>
      </c>
    </row>
    <row r="194" spans="1:10" ht="17" thickBot="1" x14ac:dyDescent="0.25">
      <c r="A194" s="9" t="s">
        <v>1859</v>
      </c>
      <c r="B194" s="155"/>
      <c r="C194" s="155" t="s">
        <v>36</v>
      </c>
      <c r="D194" s="285"/>
      <c r="E194" s="9">
        <v>40</v>
      </c>
      <c r="F194" s="10">
        <v>9048</v>
      </c>
      <c r="G194" s="10">
        <f t="shared" si="81"/>
        <v>361920</v>
      </c>
      <c r="H194" s="23">
        <v>13</v>
      </c>
      <c r="I194" s="24">
        <v>9048</v>
      </c>
      <c r="J194" s="24">
        <f t="shared" si="82"/>
        <v>117624</v>
      </c>
    </row>
    <row r="195" spans="1:10" ht="17" thickBot="1" x14ac:dyDescent="0.25">
      <c r="A195" s="9" t="s">
        <v>1860</v>
      </c>
      <c r="B195" s="155"/>
      <c r="C195" s="155" t="s">
        <v>36</v>
      </c>
      <c r="D195" s="285" t="s">
        <v>1564</v>
      </c>
      <c r="E195" s="9">
        <v>120</v>
      </c>
      <c r="F195" s="10">
        <v>5916</v>
      </c>
      <c r="G195" s="10">
        <f t="shared" si="81"/>
        <v>709920</v>
      </c>
      <c r="H195" s="23">
        <v>24</v>
      </c>
      <c r="I195" s="24">
        <v>5916</v>
      </c>
      <c r="J195" s="24">
        <f t="shared" si="82"/>
        <v>141984</v>
      </c>
    </row>
    <row r="196" spans="1:10" ht="17" thickBot="1" x14ac:dyDescent="0.25">
      <c r="A196" s="9" t="s">
        <v>1861</v>
      </c>
      <c r="B196" s="155"/>
      <c r="C196" s="155" t="s">
        <v>36</v>
      </c>
      <c r="D196" s="285" t="s">
        <v>878</v>
      </c>
      <c r="E196" s="9">
        <v>3</v>
      </c>
      <c r="F196" s="10">
        <v>20996</v>
      </c>
      <c r="G196" s="10">
        <f t="shared" si="81"/>
        <v>62988</v>
      </c>
      <c r="H196" s="23">
        <v>1</v>
      </c>
      <c r="I196" s="24">
        <v>20996</v>
      </c>
      <c r="J196" s="24">
        <f t="shared" si="82"/>
        <v>20996</v>
      </c>
    </row>
    <row r="197" spans="1:10" ht="17" thickBot="1" x14ac:dyDescent="0.25">
      <c r="A197" s="9" t="s">
        <v>1852</v>
      </c>
      <c r="B197" s="155"/>
      <c r="C197" s="155" t="s">
        <v>36</v>
      </c>
      <c r="D197" s="285" t="s">
        <v>842</v>
      </c>
      <c r="E197" s="9">
        <v>120</v>
      </c>
      <c r="F197" s="10">
        <v>12992</v>
      </c>
      <c r="G197" s="10">
        <f t="shared" si="81"/>
        <v>1559040</v>
      </c>
      <c r="H197" s="23"/>
      <c r="I197" s="24">
        <v>12992</v>
      </c>
      <c r="J197" s="24">
        <f t="shared" si="82"/>
        <v>0</v>
      </c>
    </row>
    <row r="198" spans="1:10" ht="17" thickBot="1" x14ac:dyDescent="0.25">
      <c r="A198" s="9" t="s">
        <v>718</v>
      </c>
      <c r="B198" s="155"/>
      <c r="C198" s="155" t="s">
        <v>36</v>
      </c>
      <c r="D198" s="285" t="s">
        <v>912</v>
      </c>
      <c r="E198" s="9">
        <v>10</v>
      </c>
      <c r="F198" s="10">
        <v>20880</v>
      </c>
      <c r="G198" s="10">
        <f t="shared" si="81"/>
        <v>208800</v>
      </c>
      <c r="H198" s="23"/>
      <c r="I198" s="24">
        <v>20880</v>
      </c>
      <c r="J198" s="24">
        <f t="shared" si="82"/>
        <v>0</v>
      </c>
    </row>
    <row r="199" spans="1:10" ht="17" thickBot="1" x14ac:dyDescent="0.25">
      <c r="A199" s="9" t="s">
        <v>1862</v>
      </c>
      <c r="B199" s="155"/>
      <c r="C199" s="155" t="s">
        <v>36</v>
      </c>
      <c r="D199" s="285" t="s">
        <v>1524</v>
      </c>
      <c r="E199" s="9">
        <v>25</v>
      </c>
      <c r="F199" s="10">
        <v>14500</v>
      </c>
      <c r="G199" s="10">
        <f t="shared" si="81"/>
        <v>362500</v>
      </c>
      <c r="H199" s="23"/>
      <c r="I199" s="24">
        <v>14500</v>
      </c>
      <c r="J199" s="24">
        <f t="shared" si="82"/>
        <v>0</v>
      </c>
    </row>
    <row r="200" spans="1:10" ht="17" thickBot="1" x14ac:dyDescent="0.25">
      <c r="A200" s="9" t="s">
        <v>1831</v>
      </c>
      <c r="B200" s="155"/>
      <c r="C200" s="155" t="s">
        <v>36</v>
      </c>
      <c r="D200" s="285" t="s">
        <v>834</v>
      </c>
      <c r="E200" s="9">
        <v>30</v>
      </c>
      <c r="F200" s="10">
        <v>3712</v>
      </c>
      <c r="G200" s="10">
        <f t="shared" si="81"/>
        <v>111360</v>
      </c>
      <c r="H200" s="23">
        <v>10</v>
      </c>
      <c r="I200" s="24">
        <v>3712</v>
      </c>
      <c r="J200" s="24">
        <f t="shared" si="82"/>
        <v>37120</v>
      </c>
    </row>
    <row r="201" spans="1:10" ht="17" thickBot="1" x14ac:dyDescent="0.25">
      <c r="A201" s="9" t="s">
        <v>1863</v>
      </c>
      <c r="B201" s="155"/>
      <c r="C201" s="155" t="s">
        <v>36</v>
      </c>
      <c r="D201" s="285" t="s">
        <v>960</v>
      </c>
      <c r="E201" s="9">
        <v>40</v>
      </c>
      <c r="F201" s="10">
        <v>7540</v>
      </c>
      <c r="G201" s="10">
        <f t="shared" si="81"/>
        <v>301600</v>
      </c>
      <c r="H201" s="23">
        <v>13</v>
      </c>
      <c r="I201" s="24">
        <v>7540</v>
      </c>
      <c r="J201" s="24">
        <f t="shared" si="82"/>
        <v>98020</v>
      </c>
    </row>
    <row r="202" spans="1:10" ht="17" thickBot="1" x14ac:dyDescent="0.25">
      <c r="A202" s="9" t="s">
        <v>1864</v>
      </c>
      <c r="B202" s="155"/>
      <c r="C202" s="155" t="s">
        <v>36</v>
      </c>
      <c r="D202" s="285" t="s">
        <v>2037</v>
      </c>
      <c r="E202" s="9">
        <v>36</v>
      </c>
      <c r="F202" s="10">
        <v>20880</v>
      </c>
      <c r="G202" s="10">
        <f t="shared" si="81"/>
        <v>751680</v>
      </c>
      <c r="H202" s="23">
        <v>12</v>
      </c>
      <c r="I202" s="24">
        <v>20880</v>
      </c>
      <c r="J202" s="24">
        <f t="shared" si="82"/>
        <v>250560</v>
      </c>
    </row>
    <row r="203" spans="1:10" ht="17" thickBot="1" x14ac:dyDescent="0.25">
      <c r="A203" s="9" t="s">
        <v>1865</v>
      </c>
      <c r="B203" s="155"/>
      <c r="C203" s="155" t="s">
        <v>36</v>
      </c>
      <c r="D203" s="285" t="s">
        <v>835</v>
      </c>
      <c r="E203" s="9">
        <v>60</v>
      </c>
      <c r="F203" s="10">
        <v>5916</v>
      </c>
      <c r="G203" s="10">
        <f t="shared" si="81"/>
        <v>354960</v>
      </c>
      <c r="H203" s="23">
        <v>20</v>
      </c>
      <c r="I203" s="24">
        <v>5916</v>
      </c>
      <c r="J203" s="24">
        <f t="shared" si="82"/>
        <v>118320</v>
      </c>
    </row>
    <row r="204" spans="1:10" ht="17" thickBot="1" x14ac:dyDescent="0.25">
      <c r="A204" s="9" t="s">
        <v>775</v>
      </c>
      <c r="B204" s="155"/>
      <c r="C204" s="155" t="s">
        <v>36</v>
      </c>
      <c r="D204" s="285" t="s">
        <v>877</v>
      </c>
      <c r="E204" s="9">
        <v>30</v>
      </c>
      <c r="F204" s="10">
        <v>1160</v>
      </c>
      <c r="G204" s="10">
        <f t="shared" si="81"/>
        <v>34800</v>
      </c>
      <c r="H204" s="23">
        <v>10</v>
      </c>
      <c r="I204" s="24">
        <v>1160</v>
      </c>
      <c r="J204" s="24">
        <f t="shared" si="82"/>
        <v>11600</v>
      </c>
    </row>
    <row r="205" spans="1:10" ht="17" thickBot="1" x14ac:dyDescent="0.25">
      <c r="A205" s="9" t="s">
        <v>1866</v>
      </c>
      <c r="B205" s="155"/>
      <c r="C205" s="155" t="s">
        <v>36</v>
      </c>
      <c r="D205" s="285" t="s">
        <v>912</v>
      </c>
      <c r="E205" s="9">
        <v>3</v>
      </c>
      <c r="F205" s="10">
        <v>20996</v>
      </c>
      <c r="G205" s="10">
        <f t="shared" si="81"/>
        <v>62988</v>
      </c>
      <c r="H205" s="23"/>
      <c r="I205" s="24">
        <v>20996</v>
      </c>
      <c r="J205" s="24">
        <f t="shared" si="82"/>
        <v>0</v>
      </c>
    </row>
    <row r="206" spans="1:10" ht="17" thickBot="1" x14ac:dyDescent="0.25">
      <c r="A206" s="9" t="s">
        <v>1867</v>
      </c>
      <c r="B206" s="155"/>
      <c r="C206" s="155" t="s">
        <v>36</v>
      </c>
      <c r="D206" s="289" t="s">
        <v>1340</v>
      </c>
      <c r="E206" s="9">
        <v>2</v>
      </c>
      <c r="F206" s="10">
        <v>14848</v>
      </c>
      <c r="G206" s="10">
        <f t="shared" si="81"/>
        <v>29696</v>
      </c>
      <c r="H206" s="23">
        <v>1</v>
      </c>
      <c r="I206" s="24">
        <v>14848</v>
      </c>
      <c r="J206" s="24">
        <f t="shared" si="82"/>
        <v>14848</v>
      </c>
    </row>
    <row r="207" spans="1:10" ht="17" thickBot="1" x14ac:dyDescent="0.25">
      <c r="A207" s="9" t="s">
        <v>1847</v>
      </c>
      <c r="B207" s="155"/>
      <c r="C207" s="155" t="s">
        <v>36</v>
      </c>
      <c r="D207" s="285" t="s">
        <v>914</v>
      </c>
      <c r="E207" s="9">
        <v>50</v>
      </c>
      <c r="F207" s="10">
        <v>10057.200000000001</v>
      </c>
      <c r="G207" s="10">
        <f t="shared" si="81"/>
        <v>502860.00000000006</v>
      </c>
      <c r="H207" s="23"/>
      <c r="I207" s="24">
        <v>10057.200000000001</v>
      </c>
      <c r="J207" s="24">
        <f t="shared" si="82"/>
        <v>0</v>
      </c>
    </row>
    <row r="208" spans="1:10" ht="17" thickBot="1" x14ac:dyDescent="0.25">
      <c r="A208" s="9" t="s">
        <v>1791</v>
      </c>
      <c r="B208" s="155"/>
      <c r="C208" s="155" t="s">
        <v>36</v>
      </c>
      <c r="D208" s="285" t="s">
        <v>1361</v>
      </c>
      <c r="E208" s="9">
        <v>100</v>
      </c>
      <c r="F208" s="10">
        <v>21692</v>
      </c>
      <c r="G208" s="10">
        <f t="shared" si="81"/>
        <v>2169200</v>
      </c>
      <c r="H208" s="23">
        <v>36</v>
      </c>
      <c r="I208" s="24">
        <v>21692</v>
      </c>
      <c r="J208" s="24">
        <f t="shared" si="82"/>
        <v>780912</v>
      </c>
    </row>
    <row r="209" spans="1:10" ht="17" thickBot="1" x14ac:dyDescent="0.25">
      <c r="A209" s="9" t="s">
        <v>1124</v>
      </c>
      <c r="B209" s="155"/>
      <c r="C209" s="155" t="s">
        <v>36</v>
      </c>
      <c r="D209" s="285" t="s">
        <v>1361</v>
      </c>
      <c r="E209" s="9">
        <v>24</v>
      </c>
      <c r="F209" s="10">
        <v>24940</v>
      </c>
      <c r="G209" s="10">
        <f t="shared" si="81"/>
        <v>598560</v>
      </c>
      <c r="H209" s="23">
        <v>8</v>
      </c>
      <c r="I209" s="24">
        <v>24940</v>
      </c>
      <c r="J209" s="24">
        <f t="shared" si="82"/>
        <v>199520</v>
      </c>
    </row>
    <row r="210" spans="1:10" ht="17" thickBot="1" x14ac:dyDescent="0.25">
      <c r="A210" s="9" t="s">
        <v>110</v>
      </c>
      <c r="B210" s="155"/>
      <c r="C210" s="155" t="s">
        <v>36</v>
      </c>
      <c r="D210" s="285" t="s">
        <v>854</v>
      </c>
      <c r="E210" s="9">
        <v>20</v>
      </c>
      <c r="F210" s="10">
        <v>6612</v>
      </c>
      <c r="G210" s="10">
        <f t="shared" si="81"/>
        <v>132240</v>
      </c>
      <c r="H210" s="23">
        <v>6</v>
      </c>
      <c r="I210" s="24">
        <v>6612</v>
      </c>
      <c r="J210" s="24">
        <f t="shared" si="82"/>
        <v>39672</v>
      </c>
    </row>
    <row r="211" spans="1:10" ht="17" thickBot="1" x14ac:dyDescent="0.25">
      <c r="A211" s="9" t="s">
        <v>1854</v>
      </c>
      <c r="B211" s="155"/>
      <c r="C211" s="155" t="s">
        <v>36</v>
      </c>
      <c r="D211" s="285" t="s">
        <v>830</v>
      </c>
      <c r="E211" s="9">
        <v>30</v>
      </c>
      <c r="F211" s="10">
        <v>14384</v>
      </c>
      <c r="G211" s="10">
        <f t="shared" si="81"/>
        <v>431520</v>
      </c>
      <c r="H211" s="23">
        <v>10</v>
      </c>
      <c r="I211" s="24">
        <v>14384</v>
      </c>
      <c r="J211" s="24">
        <f t="shared" si="82"/>
        <v>143840</v>
      </c>
    </row>
    <row r="212" spans="1:10" ht="17" thickBot="1" x14ac:dyDescent="0.25">
      <c r="A212" s="9" t="s">
        <v>1868</v>
      </c>
      <c r="B212" s="155"/>
      <c r="C212" s="155" t="s">
        <v>36</v>
      </c>
      <c r="D212" s="285" t="s">
        <v>975</v>
      </c>
      <c r="E212" s="9">
        <v>50</v>
      </c>
      <c r="F212" s="10">
        <v>8236</v>
      </c>
      <c r="G212" s="10">
        <f t="shared" si="81"/>
        <v>411800</v>
      </c>
      <c r="H212" s="23">
        <v>17</v>
      </c>
      <c r="I212" s="24">
        <v>8236</v>
      </c>
      <c r="J212" s="24">
        <f t="shared" si="82"/>
        <v>140012</v>
      </c>
    </row>
    <row r="213" spans="1:10" ht="17" thickBot="1" x14ac:dyDescent="0.25">
      <c r="A213" s="9" t="s">
        <v>1388</v>
      </c>
      <c r="B213" s="155"/>
      <c r="C213" s="155" t="s">
        <v>36</v>
      </c>
      <c r="D213" s="285" t="s">
        <v>1581</v>
      </c>
      <c r="E213" s="9">
        <v>50</v>
      </c>
      <c r="F213" s="10">
        <v>3248</v>
      </c>
      <c r="G213" s="10">
        <f t="shared" si="81"/>
        <v>162400</v>
      </c>
      <c r="H213" s="23"/>
      <c r="I213" s="24">
        <v>3248</v>
      </c>
      <c r="J213" s="24">
        <f t="shared" si="82"/>
        <v>0</v>
      </c>
    </row>
    <row r="214" spans="1:10" ht="17" thickBot="1" x14ac:dyDescent="0.25">
      <c r="A214" s="9" t="s">
        <v>1869</v>
      </c>
      <c r="B214" s="155"/>
      <c r="C214" s="155" t="s">
        <v>36</v>
      </c>
      <c r="D214" s="285" t="s">
        <v>848</v>
      </c>
      <c r="E214" s="9">
        <v>40</v>
      </c>
      <c r="F214" s="10">
        <v>11368</v>
      </c>
      <c r="G214" s="10">
        <f t="shared" si="81"/>
        <v>454720</v>
      </c>
      <c r="H214" s="23"/>
      <c r="I214" s="24">
        <v>11368</v>
      </c>
      <c r="J214" s="24">
        <f t="shared" si="82"/>
        <v>0</v>
      </c>
    </row>
    <row r="215" spans="1:10" ht="17" thickBot="1" x14ac:dyDescent="0.25">
      <c r="A215" s="9" t="s">
        <v>1832</v>
      </c>
      <c r="B215" s="155"/>
      <c r="C215" s="155" t="s">
        <v>36</v>
      </c>
      <c r="D215" s="285" t="s">
        <v>1763</v>
      </c>
      <c r="E215" s="9">
        <v>20</v>
      </c>
      <c r="F215" s="10">
        <v>10440</v>
      </c>
      <c r="G215" s="10">
        <f t="shared" si="81"/>
        <v>208800</v>
      </c>
      <c r="H215" s="23">
        <v>6</v>
      </c>
      <c r="I215" s="24">
        <v>10440</v>
      </c>
      <c r="J215" s="24">
        <f t="shared" si="82"/>
        <v>62640</v>
      </c>
    </row>
    <row r="216" spans="1:10" ht="17" thickBot="1" x14ac:dyDescent="0.25">
      <c r="A216" s="9" t="s">
        <v>1870</v>
      </c>
      <c r="B216" s="155"/>
      <c r="C216" s="155" t="s">
        <v>36</v>
      </c>
      <c r="D216" s="285" t="s">
        <v>2144</v>
      </c>
      <c r="E216" s="9">
        <v>30</v>
      </c>
      <c r="F216" s="10">
        <v>14500</v>
      </c>
      <c r="G216" s="10">
        <f t="shared" si="81"/>
        <v>435000</v>
      </c>
      <c r="H216" s="23">
        <v>10</v>
      </c>
      <c r="I216" s="24">
        <v>14500</v>
      </c>
      <c r="J216" s="24">
        <f t="shared" si="82"/>
        <v>145000</v>
      </c>
    </row>
    <row r="217" spans="1:10" ht="17" thickBot="1" x14ac:dyDescent="0.25">
      <c r="A217" s="9" t="s">
        <v>1871</v>
      </c>
      <c r="B217" s="155"/>
      <c r="C217" s="155" t="s">
        <v>36</v>
      </c>
      <c r="D217" s="285" t="s">
        <v>2170</v>
      </c>
      <c r="E217" s="9">
        <v>30</v>
      </c>
      <c r="F217" s="10">
        <v>20996</v>
      </c>
      <c r="G217" s="10">
        <f t="shared" si="81"/>
        <v>629880</v>
      </c>
      <c r="H217" s="23"/>
      <c r="I217" s="24">
        <v>20996</v>
      </c>
      <c r="J217" s="24">
        <f t="shared" si="82"/>
        <v>0</v>
      </c>
    </row>
    <row r="218" spans="1:10" ht="17" thickBot="1" x14ac:dyDescent="0.25">
      <c r="A218" s="9" t="s">
        <v>1872</v>
      </c>
      <c r="B218" s="155"/>
      <c r="C218" s="155" t="s">
        <v>36</v>
      </c>
      <c r="D218" s="285" t="s">
        <v>2050</v>
      </c>
      <c r="E218" s="9">
        <v>40</v>
      </c>
      <c r="F218" s="10">
        <v>9048</v>
      </c>
      <c r="G218" s="10">
        <f t="shared" si="81"/>
        <v>361920</v>
      </c>
      <c r="H218" s="23">
        <v>13</v>
      </c>
      <c r="I218" s="24">
        <v>9048</v>
      </c>
      <c r="J218" s="24">
        <f t="shared" si="82"/>
        <v>117624</v>
      </c>
    </row>
    <row r="219" spans="1:10" ht="17" thickBot="1" x14ac:dyDescent="0.25">
      <c r="A219" s="9" t="s">
        <v>1873</v>
      </c>
      <c r="B219" s="155"/>
      <c r="C219" s="155" t="s">
        <v>36</v>
      </c>
      <c r="D219" s="285" t="s">
        <v>1332</v>
      </c>
      <c r="E219" s="9">
        <v>60</v>
      </c>
      <c r="F219" s="10">
        <v>3944</v>
      </c>
      <c r="G219" s="10">
        <f t="shared" si="81"/>
        <v>236640</v>
      </c>
      <c r="H219" s="23"/>
      <c r="I219" s="24">
        <v>3944</v>
      </c>
      <c r="J219" s="24">
        <f t="shared" si="82"/>
        <v>0</v>
      </c>
    </row>
    <row r="220" spans="1:10" ht="17" thickBot="1" x14ac:dyDescent="0.25">
      <c r="A220" s="9" t="s">
        <v>1874</v>
      </c>
      <c r="B220" s="155"/>
      <c r="C220" s="155" t="s">
        <v>36</v>
      </c>
      <c r="D220" s="285" t="s">
        <v>898</v>
      </c>
      <c r="E220" s="9">
        <v>20</v>
      </c>
      <c r="F220" s="10">
        <v>14036</v>
      </c>
      <c r="G220" s="10">
        <f t="shared" si="81"/>
        <v>280720</v>
      </c>
      <c r="H220" s="23">
        <v>6</v>
      </c>
      <c r="I220" s="24">
        <v>14036</v>
      </c>
      <c r="J220" s="24">
        <f t="shared" si="82"/>
        <v>84216</v>
      </c>
    </row>
    <row r="221" spans="1:10" ht="17" thickBot="1" x14ac:dyDescent="0.25">
      <c r="A221" s="9" t="s">
        <v>1875</v>
      </c>
      <c r="B221" s="155"/>
      <c r="C221" s="155" t="s">
        <v>36</v>
      </c>
      <c r="D221" s="285" t="s">
        <v>902</v>
      </c>
      <c r="E221" s="9">
        <v>40</v>
      </c>
      <c r="F221" s="10">
        <v>9048</v>
      </c>
      <c r="G221" s="10">
        <f t="shared" si="81"/>
        <v>361920</v>
      </c>
      <c r="H221" s="23">
        <v>13</v>
      </c>
      <c r="I221" s="24">
        <v>9048</v>
      </c>
      <c r="J221" s="24">
        <f t="shared" si="82"/>
        <v>117624</v>
      </c>
    </row>
    <row r="222" spans="1:10" ht="17" thickBot="1" x14ac:dyDescent="0.25">
      <c r="A222" s="9" t="s">
        <v>587</v>
      </c>
      <c r="B222" s="155"/>
      <c r="C222" s="155" t="s">
        <v>36</v>
      </c>
      <c r="D222" s="285" t="s">
        <v>887</v>
      </c>
      <c r="E222" s="9">
        <v>20</v>
      </c>
      <c r="F222" s="10">
        <v>20880</v>
      </c>
      <c r="G222" s="10">
        <f t="shared" si="81"/>
        <v>417600</v>
      </c>
      <c r="H222" s="23"/>
      <c r="I222" s="24">
        <v>20880</v>
      </c>
      <c r="J222" s="24">
        <f t="shared" si="82"/>
        <v>0</v>
      </c>
    </row>
    <row r="223" spans="1:10" ht="17" thickBot="1" x14ac:dyDescent="0.25">
      <c r="A223" s="9" t="s">
        <v>1876</v>
      </c>
      <c r="B223" s="155"/>
      <c r="C223" s="155" t="s">
        <v>36</v>
      </c>
      <c r="D223" s="285" t="s">
        <v>1336</v>
      </c>
      <c r="E223" s="9">
        <v>10</v>
      </c>
      <c r="F223" s="10">
        <v>15312</v>
      </c>
      <c r="G223" s="10">
        <f t="shared" si="81"/>
        <v>153120</v>
      </c>
      <c r="H223" s="23">
        <v>3</v>
      </c>
      <c r="I223" s="24">
        <v>15312</v>
      </c>
      <c r="J223" s="24">
        <f t="shared" si="82"/>
        <v>45936</v>
      </c>
    </row>
    <row r="224" spans="1:10" ht="17" thickBot="1" x14ac:dyDescent="0.25">
      <c r="A224" s="9" t="s">
        <v>1877</v>
      </c>
      <c r="B224" s="155"/>
      <c r="C224" s="155" t="s">
        <v>36</v>
      </c>
      <c r="D224" s="285" t="s">
        <v>1362</v>
      </c>
      <c r="E224" s="9">
        <v>2</v>
      </c>
      <c r="F224" s="10">
        <v>15312</v>
      </c>
      <c r="G224" s="10">
        <f t="shared" si="81"/>
        <v>30624</v>
      </c>
      <c r="H224" s="23">
        <v>1</v>
      </c>
      <c r="I224" s="24">
        <v>15312</v>
      </c>
      <c r="J224" s="24">
        <f t="shared" si="82"/>
        <v>15312</v>
      </c>
    </row>
    <row r="225" spans="1:19" ht="17" thickBot="1" x14ac:dyDescent="0.25">
      <c r="A225" s="9" t="s">
        <v>54</v>
      </c>
      <c r="B225" s="155"/>
      <c r="C225" s="155" t="s">
        <v>36</v>
      </c>
      <c r="D225" s="285" t="s">
        <v>903</v>
      </c>
      <c r="E225" s="9">
        <v>30</v>
      </c>
      <c r="F225" s="10">
        <v>14848</v>
      </c>
      <c r="G225" s="10">
        <f t="shared" si="81"/>
        <v>445440</v>
      </c>
      <c r="H225" s="23">
        <v>10</v>
      </c>
      <c r="I225" s="24">
        <v>14848</v>
      </c>
      <c r="J225" s="24">
        <f t="shared" si="82"/>
        <v>148480</v>
      </c>
    </row>
    <row r="226" spans="1:19" ht="17" thickBot="1" x14ac:dyDescent="0.25">
      <c r="A226" s="9" t="s">
        <v>1878</v>
      </c>
      <c r="B226" s="155"/>
      <c r="C226" s="155" t="s">
        <v>36</v>
      </c>
      <c r="D226" s="285" t="s">
        <v>902</v>
      </c>
      <c r="E226" s="9">
        <v>12</v>
      </c>
      <c r="F226" s="10">
        <v>9048</v>
      </c>
      <c r="G226" s="10">
        <f t="shared" si="81"/>
        <v>108576</v>
      </c>
      <c r="H226" s="23">
        <v>4</v>
      </c>
      <c r="I226" s="24">
        <v>9048</v>
      </c>
      <c r="J226" s="24">
        <f t="shared" si="82"/>
        <v>36192</v>
      </c>
    </row>
    <row r="227" spans="1:19" ht="17" thickBot="1" x14ac:dyDescent="0.25">
      <c r="A227" s="9" t="s">
        <v>1879</v>
      </c>
      <c r="B227" s="155"/>
      <c r="C227" s="155" t="s">
        <v>36</v>
      </c>
      <c r="D227" s="285" t="s">
        <v>1336</v>
      </c>
      <c r="E227" s="9">
        <v>12</v>
      </c>
      <c r="F227" s="10">
        <v>15544</v>
      </c>
      <c r="G227" s="10">
        <f t="shared" si="81"/>
        <v>186528</v>
      </c>
      <c r="H227" s="23">
        <v>4</v>
      </c>
      <c r="I227" s="24">
        <v>15544</v>
      </c>
      <c r="J227" s="24">
        <f t="shared" si="82"/>
        <v>62176</v>
      </c>
    </row>
    <row r="228" spans="1:19" ht="17" thickBot="1" x14ac:dyDescent="0.25">
      <c r="A228" s="9" t="s">
        <v>1880</v>
      </c>
      <c r="B228" s="155"/>
      <c r="C228" s="155" t="s">
        <v>36</v>
      </c>
      <c r="D228" s="285" t="s">
        <v>955</v>
      </c>
      <c r="E228" s="9">
        <v>250</v>
      </c>
      <c r="F228" s="10">
        <v>2784</v>
      </c>
      <c r="G228" s="10">
        <f t="shared" si="81"/>
        <v>696000</v>
      </c>
      <c r="H228" s="23"/>
      <c r="I228" s="24">
        <v>2784</v>
      </c>
      <c r="J228" s="24">
        <f t="shared" si="82"/>
        <v>0</v>
      </c>
    </row>
    <row r="229" spans="1:19" ht="17" thickBot="1" x14ac:dyDescent="0.25">
      <c r="A229" s="9" t="s">
        <v>1824</v>
      </c>
      <c r="B229" s="155"/>
      <c r="C229" s="155" t="s">
        <v>36</v>
      </c>
      <c r="D229" s="285" t="s">
        <v>884</v>
      </c>
      <c r="E229" s="9">
        <v>50</v>
      </c>
      <c r="F229" s="10">
        <v>9280</v>
      </c>
      <c r="G229" s="10">
        <f t="shared" si="81"/>
        <v>464000</v>
      </c>
      <c r="H229" s="23">
        <v>17</v>
      </c>
      <c r="I229" s="24">
        <v>9280</v>
      </c>
      <c r="J229" s="24">
        <f t="shared" si="82"/>
        <v>157760</v>
      </c>
    </row>
    <row r="230" spans="1:19" ht="17" thickBot="1" x14ac:dyDescent="0.25">
      <c r="A230" s="9" t="s">
        <v>761</v>
      </c>
      <c r="B230" s="155"/>
      <c r="C230" s="155" t="s">
        <v>36</v>
      </c>
      <c r="D230" s="289" t="s">
        <v>847</v>
      </c>
      <c r="E230" s="9">
        <v>40</v>
      </c>
      <c r="F230" s="10">
        <v>20416</v>
      </c>
      <c r="G230" s="10">
        <f t="shared" si="81"/>
        <v>816640</v>
      </c>
      <c r="H230" s="23">
        <v>13</v>
      </c>
      <c r="I230" s="24">
        <v>20416</v>
      </c>
      <c r="J230" s="24">
        <f t="shared" si="82"/>
        <v>265408</v>
      </c>
    </row>
    <row r="231" spans="1:19" ht="17" thickBot="1" x14ac:dyDescent="0.25">
      <c r="A231" s="9" t="s">
        <v>393</v>
      </c>
      <c r="B231" s="155"/>
      <c r="C231" s="155" t="s">
        <v>36</v>
      </c>
      <c r="D231" s="285" t="s">
        <v>1346</v>
      </c>
      <c r="E231" s="9">
        <v>30</v>
      </c>
      <c r="F231" s="10">
        <v>5916</v>
      </c>
      <c r="G231" s="10">
        <f t="shared" si="81"/>
        <v>177480</v>
      </c>
      <c r="H231" s="23">
        <v>10</v>
      </c>
      <c r="I231" s="24">
        <v>5916</v>
      </c>
      <c r="J231" s="24">
        <f t="shared" si="82"/>
        <v>59160</v>
      </c>
    </row>
    <row r="232" spans="1:19" ht="17" thickBot="1" x14ac:dyDescent="0.25">
      <c r="A232" s="9" t="s">
        <v>246</v>
      </c>
      <c r="B232" s="155"/>
      <c r="C232" s="155" t="s">
        <v>36</v>
      </c>
      <c r="D232" s="285" t="s">
        <v>843</v>
      </c>
      <c r="E232" s="9">
        <v>30</v>
      </c>
      <c r="F232" s="10">
        <v>9976</v>
      </c>
      <c r="G232" s="10">
        <f t="shared" si="81"/>
        <v>299280</v>
      </c>
      <c r="H232" s="23"/>
      <c r="I232" s="24">
        <v>9976</v>
      </c>
      <c r="J232" s="24">
        <f t="shared" si="82"/>
        <v>0</v>
      </c>
    </row>
    <row r="233" spans="1:19" ht="17" thickBot="1" x14ac:dyDescent="0.25">
      <c r="A233" s="9" t="s">
        <v>1810</v>
      </c>
      <c r="B233" s="155"/>
      <c r="C233" s="155" t="s">
        <v>36</v>
      </c>
      <c r="D233" s="285" t="s">
        <v>1524</v>
      </c>
      <c r="E233" s="9">
        <v>30</v>
      </c>
      <c r="F233" s="10">
        <v>8352</v>
      </c>
      <c r="G233" s="10">
        <f t="shared" si="81"/>
        <v>250560</v>
      </c>
      <c r="H233" s="23"/>
      <c r="I233" s="24">
        <v>8352</v>
      </c>
      <c r="J233" s="24">
        <f t="shared" si="82"/>
        <v>0</v>
      </c>
    </row>
    <row r="234" spans="1:19" ht="17" thickBot="1" x14ac:dyDescent="0.25">
      <c r="A234" s="9" t="s">
        <v>1853</v>
      </c>
      <c r="B234" s="155"/>
      <c r="C234" s="155" t="s">
        <v>36</v>
      </c>
      <c r="D234" s="285" t="s">
        <v>914</v>
      </c>
      <c r="E234" s="9">
        <v>30</v>
      </c>
      <c r="F234" s="10">
        <v>9976</v>
      </c>
      <c r="G234" s="10">
        <f t="shared" si="81"/>
        <v>299280</v>
      </c>
      <c r="H234" s="23"/>
      <c r="I234" s="24">
        <v>9976</v>
      </c>
      <c r="J234" s="24">
        <f t="shared" si="82"/>
        <v>0</v>
      </c>
    </row>
    <row r="235" spans="1:19" ht="17" thickBot="1" x14ac:dyDescent="0.25">
      <c r="A235" s="9" t="s">
        <v>1881</v>
      </c>
      <c r="B235" s="155"/>
      <c r="C235" s="155" t="s">
        <v>36</v>
      </c>
      <c r="D235" s="285" t="s">
        <v>2171</v>
      </c>
      <c r="E235" s="9">
        <v>10</v>
      </c>
      <c r="F235" s="10">
        <v>14268</v>
      </c>
      <c r="G235" s="10">
        <f t="shared" si="81"/>
        <v>142680</v>
      </c>
      <c r="H235" s="23"/>
      <c r="I235" s="24">
        <v>14268</v>
      </c>
      <c r="J235" s="24">
        <f t="shared" si="82"/>
        <v>0</v>
      </c>
    </row>
    <row r="236" spans="1:19" ht="17" thickBot="1" x14ac:dyDescent="0.25">
      <c r="A236" s="9" t="s">
        <v>1882</v>
      </c>
      <c r="B236" s="155"/>
      <c r="C236" s="155" t="s">
        <v>36</v>
      </c>
      <c r="D236" s="285" t="s">
        <v>882</v>
      </c>
      <c r="E236" s="9">
        <v>40</v>
      </c>
      <c r="F236" s="10">
        <v>17400</v>
      </c>
      <c r="G236" s="10">
        <f t="shared" si="81"/>
        <v>696000</v>
      </c>
      <c r="H236" s="23">
        <v>13</v>
      </c>
      <c r="I236" s="24">
        <v>17400</v>
      </c>
      <c r="J236" s="24">
        <f t="shared" si="82"/>
        <v>226200</v>
      </c>
    </row>
    <row r="237" spans="1:19" ht="17" thickBot="1" x14ac:dyDescent="0.25">
      <c r="A237"/>
      <c r="B237" s="154"/>
      <c r="C237"/>
      <c r="D237"/>
      <c r="E237"/>
      <c r="F237"/>
      <c r="G237" s="191">
        <f>SUM(G192:G236)</f>
        <v>17912140</v>
      </c>
      <c r="H237"/>
      <c r="I237"/>
      <c r="J237" s="281">
        <f>SUM(J192:J236)</f>
        <v>3728356</v>
      </c>
    </row>
    <row r="239" spans="1:19" ht="17" thickBot="1" x14ac:dyDescent="0.25">
      <c r="A239" s="30" t="s">
        <v>1902</v>
      </c>
      <c r="B239" s="98" t="s">
        <v>1901</v>
      </c>
      <c r="C239" s="2" t="s">
        <v>1900</v>
      </c>
      <c r="J239" s="284">
        <v>46168</v>
      </c>
      <c r="M239" s="284">
        <v>46185</v>
      </c>
      <c r="P239" s="284">
        <v>46198</v>
      </c>
      <c r="S239" s="284">
        <v>46198</v>
      </c>
    </row>
    <row r="240" spans="1:19" ht="17" thickBot="1" x14ac:dyDescent="0.25">
      <c r="A240" s="9" t="s">
        <v>792</v>
      </c>
      <c r="B240" s="155"/>
      <c r="C240" s="155" t="s">
        <v>36</v>
      </c>
      <c r="D240" s="9"/>
      <c r="E240" s="9">
        <v>40</v>
      </c>
      <c r="F240" s="10">
        <v>10440</v>
      </c>
      <c r="G240" s="10">
        <f t="shared" ref="G240:G254" si="83">F240*E240</f>
        <v>417600</v>
      </c>
      <c r="H240" s="23">
        <v>5</v>
      </c>
      <c r="I240" s="24">
        <v>10440</v>
      </c>
      <c r="J240" s="24">
        <f t="shared" ref="J240:J254" si="84">I240*H240</f>
        <v>52200</v>
      </c>
      <c r="K240" s="92"/>
      <c r="L240" s="93">
        <v>10440</v>
      </c>
      <c r="M240" s="93">
        <f t="shared" ref="M240:M254" si="85">L240*K240</f>
        <v>0</v>
      </c>
      <c r="N240" s="23"/>
      <c r="O240" s="24">
        <v>10440</v>
      </c>
      <c r="P240" s="24">
        <f t="shared" ref="P240:P254" si="86">O240*N240</f>
        <v>0</v>
      </c>
      <c r="Q240" s="92">
        <v>5</v>
      </c>
      <c r="R240" s="93">
        <v>10440</v>
      </c>
      <c r="S240" s="93">
        <f t="shared" ref="S240:S254" si="87">R240*Q240</f>
        <v>52200</v>
      </c>
    </row>
    <row r="241" spans="1:19" ht="17" thickBot="1" x14ac:dyDescent="0.25">
      <c r="A241" s="9" t="s">
        <v>1899</v>
      </c>
      <c r="B241" s="155"/>
      <c r="C241" s="155" t="s">
        <v>36</v>
      </c>
      <c r="D241" s="9"/>
      <c r="E241" s="9">
        <v>101</v>
      </c>
      <c r="F241" s="10">
        <v>4640</v>
      </c>
      <c r="G241" s="10">
        <f t="shared" si="83"/>
        <v>468640</v>
      </c>
      <c r="H241" s="23">
        <v>13</v>
      </c>
      <c r="I241" s="24">
        <v>4640</v>
      </c>
      <c r="J241" s="24">
        <f t="shared" si="84"/>
        <v>60320</v>
      </c>
      <c r="K241" s="92"/>
      <c r="L241" s="93">
        <v>4640</v>
      </c>
      <c r="M241" s="93">
        <f t="shared" si="85"/>
        <v>0</v>
      </c>
      <c r="N241" s="23"/>
      <c r="O241" s="24">
        <v>4640</v>
      </c>
      <c r="P241" s="24">
        <f t="shared" si="86"/>
        <v>0</v>
      </c>
      <c r="Q241" s="92">
        <v>13</v>
      </c>
      <c r="R241" s="93">
        <v>4640</v>
      </c>
      <c r="S241" s="93">
        <f t="shared" si="87"/>
        <v>60320</v>
      </c>
    </row>
    <row r="242" spans="1:19" ht="17" thickBot="1" x14ac:dyDescent="0.25">
      <c r="A242" s="9" t="s">
        <v>1898</v>
      </c>
      <c r="B242" s="155"/>
      <c r="C242" s="155" t="s">
        <v>36</v>
      </c>
      <c r="D242" s="9"/>
      <c r="E242" s="9">
        <v>31</v>
      </c>
      <c r="F242" s="10">
        <v>15080</v>
      </c>
      <c r="G242" s="10">
        <f t="shared" si="83"/>
        <v>467480</v>
      </c>
      <c r="H242" s="23">
        <v>4</v>
      </c>
      <c r="I242" s="24">
        <v>15080</v>
      </c>
      <c r="J242" s="24">
        <f t="shared" si="84"/>
        <v>60320</v>
      </c>
      <c r="K242" s="92"/>
      <c r="L242" s="93">
        <v>15080</v>
      </c>
      <c r="M242" s="93">
        <f t="shared" si="85"/>
        <v>0</v>
      </c>
      <c r="N242" s="23"/>
      <c r="O242" s="24">
        <v>15080</v>
      </c>
      <c r="P242" s="24">
        <f t="shared" si="86"/>
        <v>0</v>
      </c>
      <c r="Q242" s="92"/>
      <c r="R242" s="93">
        <v>15080</v>
      </c>
      <c r="S242" s="93">
        <f t="shared" si="87"/>
        <v>0</v>
      </c>
    </row>
    <row r="243" spans="1:19" ht="17" thickBot="1" x14ac:dyDescent="0.25">
      <c r="A243" s="9" t="s">
        <v>1746</v>
      </c>
      <c r="B243" s="155"/>
      <c r="C243" s="155" t="s">
        <v>36</v>
      </c>
      <c r="D243" s="9"/>
      <c r="E243" s="9">
        <v>76</v>
      </c>
      <c r="F243" s="10">
        <v>27840</v>
      </c>
      <c r="G243" s="10">
        <f t="shared" si="83"/>
        <v>2115840</v>
      </c>
      <c r="H243" s="23">
        <v>7</v>
      </c>
      <c r="I243" s="24">
        <v>27840</v>
      </c>
      <c r="J243" s="24">
        <f t="shared" si="84"/>
        <v>194880</v>
      </c>
      <c r="K243" s="92"/>
      <c r="L243" s="93">
        <v>27840</v>
      </c>
      <c r="M243" s="93">
        <f t="shared" si="85"/>
        <v>0</v>
      </c>
      <c r="N243" s="23">
        <v>3</v>
      </c>
      <c r="O243" s="24">
        <v>27840</v>
      </c>
      <c r="P243" s="24">
        <f t="shared" si="86"/>
        <v>83520</v>
      </c>
      <c r="Q243" s="92"/>
      <c r="R243" s="93">
        <v>27840</v>
      </c>
      <c r="S243" s="93">
        <f t="shared" si="87"/>
        <v>0</v>
      </c>
    </row>
    <row r="244" spans="1:19" ht="17" thickBot="1" x14ac:dyDescent="0.25">
      <c r="A244" s="9" t="s">
        <v>602</v>
      </c>
      <c r="B244" s="155"/>
      <c r="C244" s="155" t="s">
        <v>36</v>
      </c>
      <c r="D244" s="9"/>
      <c r="E244" s="9">
        <v>56</v>
      </c>
      <c r="F244" s="10">
        <v>19720</v>
      </c>
      <c r="G244" s="10">
        <f t="shared" si="83"/>
        <v>1104320</v>
      </c>
      <c r="H244" s="23">
        <v>5</v>
      </c>
      <c r="I244" s="24">
        <v>19720</v>
      </c>
      <c r="J244" s="24">
        <f t="shared" si="84"/>
        <v>98600</v>
      </c>
      <c r="K244" s="92"/>
      <c r="L244" s="93">
        <v>19720</v>
      </c>
      <c r="M244" s="93">
        <f t="shared" si="85"/>
        <v>0</v>
      </c>
      <c r="N244" s="23">
        <v>2</v>
      </c>
      <c r="O244" s="24">
        <v>19720</v>
      </c>
      <c r="P244" s="24">
        <f t="shared" si="86"/>
        <v>39440</v>
      </c>
      <c r="Q244" s="92"/>
      <c r="R244" s="93">
        <v>19720</v>
      </c>
      <c r="S244" s="93">
        <f t="shared" si="87"/>
        <v>0</v>
      </c>
    </row>
    <row r="245" spans="1:19" ht="17" thickBot="1" x14ac:dyDescent="0.25">
      <c r="A245" s="9" t="s">
        <v>683</v>
      </c>
      <c r="B245" s="155"/>
      <c r="C245" s="155" t="s">
        <v>36</v>
      </c>
      <c r="D245" s="9"/>
      <c r="E245" s="9">
        <v>79</v>
      </c>
      <c r="F245" s="10">
        <v>11600</v>
      </c>
      <c r="G245" s="10">
        <f t="shared" si="83"/>
        <v>916400</v>
      </c>
      <c r="H245" s="23"/>
      <c r="I245" s="24">
        <v>11600</v>
      </c>
      <c r="J245" s="24">
        <f t="shared" si="84"/>
        <v>0</v>
      </c>
      <c r="K245" s="92"/>
      <c r="L245" s="93">
        <v>11600</v>
      </c>
      <c r="M245" s="93">
        <f t="shared" si="85"/>
        <v>0</v>
      </c>
      <c r="N245" s="23">
        <v>10</v>
      </c>
      <c r="O245" s="24">
        <v>11600</v>
      </c>
      <c r="P245" s="24">
        <f t="shared" si="86"/>
        <v>116000</v>
      </c>
      <c r="Q245" s="92">
        <v>10</v>
      </c>
      <c r="R245" s="93">
        <v>11600</v>
      </c>
      <c r="S245" s="93">
        <f t="shared" si="87"/>
        <v>116000</v>
      </c>
    </row>
    <row r="246" spans="1:19" ht="17" thickBot="1" x14ac:dyDescent="0.25">
      <c r="A246" s="9" t="s">
        <v>683</v>
      </c>
      <c r="B246" s="155"/>
      <c r="C246" s="155" t="s">
        <v>36</v>
      </c>
      <c r="D246" s="9"/>
      <c r="E246" s="9">
        <v>91</v>
      </c>
      <c r="F246" s="10">
        <v>10092</v>
      </c>
      <c r="G246" s="10">
        <f t="shared" si="83"/>
        <v>918372</v>
      </c>
      <c r="H246" s="23"/>
      <c r="I246" s="24">
        <v>10092</v>
      </c>
      <c r="J246" s="24">
        <f t="shared" si="84"/>
        <v>0</v>
      </c>
      <c r="K246" s="92"/>
      <c r="L246" s="93">
        <v>10092</v>
      </c>
      <c r="M246" s="93">
        <f t="shared" si="85"/>
        <v>0</v>
      </c>
      <c r="N246" s="23">
        <v>11</v>
      </c>
      <c r="O246" s="24">
        <v>10092</v>
      </c>
      <c r="P246" s="24">
        <f t="shared" si="86"/>
        <v>111012</v>
      </c>
      <c r="Q246" s="92">
        <v>11</v>
      </c>
      <c r="R246" s="93">
        <v>10092</v>
      </c>
      <c r="S246" s="93">
        <f t="shared" si="87"/>
        <v>111012</v>
      </c>
    </row>
    <row r="247" spans="1:19" ht="17" thickBot="1" x14ac:dyDescent="0.25">
      <c r="A247" s="9" t="s">
        <v>1897</v>
      </c>
      <c r="B247" s="155"/>
      <c r="C247" s="155" t="s">
        <v>36</v>
      </c>
      <c r="D247" s="9"/>
      <c r="E247" s="9">
        <v>100</v>
      </c>
      <c r="F247" s="10">
        <v>12760</v>
      </c>
      <c r="G247" s="10">
        <f t="shared" si="83"/>
        <v>1276000</v>
      </c>
      <c r="H247" s="23"/>
      <c r="I247" s="24">
        <v>12760</v>
      </c>
      <c r="J247" s="24">
        <f t="shared" si="84"/>
        <v>0</v>
      </c>
      <c r="K247" s="92"/>
      <c r="L247" s="93">
        <v>12760</v>
      </c>
      <c r="M247" s="93">
        <f t="shared" si="85"/>
        <v>0</v>
      </c>
      <c r="N247" s="23">
        <v>12</v>
      </c>
      <c r="O247" s="24">
        <v>12760</v>
      </c>
      <c r="P247" s="24">
        <f t="shared" si="86"/>
        <v>153120</v>
      </c>
      <c r="Q247" s="92"/>
      <c r="R247" s="93">
        <v>12760</v>
      </c>
      <c r="S247" s="93">
        <f t="shared" si="87"/>
        <v>0</v>
      </c>
    </row>
    <row r="248" spans="1:19" ht="17" thickBot="1" x14ac:dyDescent="0.25">
      <c r="A248" s="9" t="s">
        <v>176</v>
      </c>
      <c r="B248" s="155"/>
      <c r="C248" s="155" t="s">
        <v>36</v>
      </c>
      <c r="D248" s="9"/>
      <c r="E248" s="9">
        <v>127</v>
      </c>
      <c r="F248" s="10">
        <v>174000</v>
      </c>
      <c r="G248" s="10">
        <f t="shared" si="83"/>
        <v>22098000</v>
      </c>
      <c r="H248" s="23">
        <v>16</v>
      </c>
      <c r="I248" s="24">
        <v>174000</v>
      </c>
      <c r="J248" s="24">
        <f t="shared" si="84"/>
        <v>2784000</v>
      </c>
      <c r="K248" s="92"/>
      <c r="L248" s="93">
        <v>174000</v>
      </c>
      <c r="M248" s="93">
        <f t="shared" si="85"/>
        <v>0</v>
      </c>
      <c r="N248" s="23"/>
      <c r="O248" s="24">
        <v>174000</v>
      </c>
      <c r="P248" s="24">
        <f t="shared" si="86"/>
        <v>0</v>
      </c>
      <c r="Q248" s="92">
        <v>16</v>
      </c>
      <c r="R248" s="93">
        <v>174000</v>
      </c>
      <c r="S248" s="93">
        <f t="shared" si="87"/>
        <v>2784000</v>
      </c>
    </row>
    <row r="249" spans="1:19" ht="17" thickBot="1" x14ac:dyDescent="0.25">
      <c r="A249" s="9" t="s">
        <v>220</v>
      </c>
      <c r="B249" s="155"/>
      <c r="C249" s="155" t="s">
        <v>36</v>
      </c>
      <c r="D249" s="9"/>
      <c r="E249" s="9">
        <v>258</v>
      </c>
      <c r="F249" s="10">
        <v>93960</v>
      </c>
      <c r="G249" s="10">
        <f t="shared" si="83"/>
        <v>24241680</v>
      </c>
      <c r="H249" s="23">
        <v>32</v>
      </c>
      <c r="I249" s="24">
        <v>93960</v>
      </c>
      <c r="J249" s="24">
        <f t="shared" si="84"/>
        <v>3006720</v>
      </c>
      <c r="K249" s="92"/>
      <c r="L249" s="93">
        <v>93960</v>
      </c>
      <c r="M249" s="93">
        <f t="shared" si="85"/>
        <v>0</v>
      </c>
      <c r="N249" s="23"/>
      <c r="O249" s="24">
        <v>93960</v>
      </c>
      <c r="P249" s="24">
        <f t="shared" si="86"/>
        <v>0</v>
      </c>
      <c r="Q249" s="92">
        <v>32</v>
      </c>
      <c r="R249" s="93">
        <v>93960</v>
      </c>
      <c r="S249" s="93">
        <f t="shared" si="87"/>
        <v>3006720</v>
      </c>
    </row>
    <row r="250" spans="1:19" ht="17" thickBot="1" x14ac:dyDescent="0.25">
      <c r="A250" s="9" t="s">
        <v>1896</v>
      </c>
      <c r="B250" s="155"/>
      <c r="C250" s="155" t="s">
        <v>36</v>
      </c>
      <c r="D250" s="9"/>
      <c r="E250" s="9">
        <v>53</v>
      </c>
      <c r="F250" s="10">
        <v>19720</v>
      </c>
      <c r="G250" s="10">
        <f t="shared" si="83"/>
        <v>1045160</v>
      </c>
      <c r="H250" s="23">
        <v>21</v>
      </c>
      <c r="I250" s="24">
        <v>19720</v>
      </c>
      <c r="J250" s="24">
        <f t="shared" si="84"/>
        <v>414120</v>
      </c>
      <c r="K250" s="92"/>
      <c r="L250" s="93">
        <v>19720</v>
      </c>
      <c r="M250" s="93">
        <f t="shared" si="85"/>
        <v>0</v>
      </c>
      <c r="N250" s="23">
        <v>7</v>
      </c>
      <c r="O250" s="24">
        <v>19720</v>
      </c>
      <c r="P250" s="24">
        <f t="shared" si="86"/>
        <v>138040</v>
      </c>
      <c r="Q250" s="92"/>
      <c r="R250" s="93">
        <v>19720</v>
      </c>
      <c r="S250" s="93">
        <f t="shared" si="87"/>
        <v>0</v>
      </c>
    </row>
    <row r="251" spans="1:19" ht="17" thickBot="1" x14ac:dyDescent="0.25">
      <c r="A251" s="9" t="s">
        <v>1895</v>
      </c>
      <c r="B251" s="155"/>
      <c r="C251" s="155" t="s">
        <v>36</v>
      </c>
      <c r="D251" s="9"/>
      <c r="E251" s="9">
        <v>380</v>
      </c>
      <c r="F251" s="10">
        <v>3480</v>
      </c>
      <c r="G251" s="10">
        <f t="shared" si="83"/>
        <v>1322400</v>
      </c>
      <c r="H251" s="23"/>
      <c r="I251" s="24">
        <v>3480</v>
      </c>
      <c r="J251" s="24">
        <f t="shared" si="84"/>
        <v>0</v>
      </c>
      <c r="K251" s="92">
        <v>47</v>
      </c>
      <c r="L251" s="93">
        <v>3480</v>
      </c>
      <c r="M251" s="93">
        <f t="shared" si="85"/>
        <v>163560</v>
      </c>
      <c r="N251" s="23"/>
      <c r="O251" s="24">
        <v>3480</v>
      </c>
      <c r="P251" s="24">
        <f t="shared" si="86"/>
        <v>0</v>
      </c>
      <c r="Q251" s="92">
        <v>47</v>
      </c>
      <c r="R251" s="93">
        <v>3480</v>
      </c>
      <c r="S251" s="93">
        <f t="shared" si="87"/>
        <v>163560</v>
      </c>
    </row>
    <row r="252" spans="1:19" ht="17" thickBot="1" x14ac:dyDescent="0.25">
      <c r="A252" s="9" t="s">
        <v>1244</v>
      </c>
      <c r="B252" s="155"/>
      <c r="C252" s="155" t="s">
        <v>36</v>
      </c>
      <c r="D252" s="9"/>
      <c r="E252" s="9">
        <v>171</v>
      </c>
      <c r="F252" s="10">
        <v>19720</v>
      </c>
      <c r="G252" s="10">
        <f t="shared" si="83"/>
        <v>3372120</v>
      </c>
      <c r="H252" s="23"/>
      <c r="I252" s="24">
        <v>19720</v>
      </c>
      <c r="J252" s="24">
        <f t="shared" si="84"/>
        <v>0</v>
      </c>
      <c r="K252" s="92"/>
      <c r="L252" s="93">
        <v>19720</v>
      </c>
      <c r="M252" s="93">
        <f t="shared" si="85"/>
        <v>0</v>
      </c>
      <c r="N252" s="23"/>
      <c r="O252" s="24">
        <v>19720</v>
      </c>
      <c r="P252" s="24">
        <f t="shared" si="86"/>
        <v>0</v>
      </c>
      <c r="Q252" s="92">
        <v>21</v>
      </c>
      <c r="R252" s="93">
        <v>19720</v>
      </c>
      <c r="S252" s="93">
        <f t="shared" si="87"/>
        <v>414120</v>
      </c>
    </row>
    <row r="253" spans="1:19" ht="17" thickBot="1" x14ac:dyDescent="0.25">
      <c r="A253" s="9" t="s">
        <v>1894</v>
      </c>
      <c r="B253" s="155"/>
      <c r="C253" s="155" t="s">
        <v>36</v>
      </c>
      <c r="D253" s="9"/>
      <c r="E253" s="9">
        <v>65</v>
      </c>
      <c r="F253" s="10">
        <v>11600</v>
      </c>
      <c r="G253" s="10">
        <f t="shared" si="83"/>
        <v>754000</v>
      </c>
      <c r="H253" s="23">
        <v>8</v>
      </c>
      <c r="I253" s="24">
        <v>11600</v>
      </c>
      <c r="J253" s="24">
        <f t="shared" si="84"/>
        <v>92800</v>
      </c>
      <c r="K253" s="92"/>
      <c r="L253" s="93">
        <v>11600</v>
      </c>
      <c r="M253" s="93">
        <f t="shared" si="85"/>
        <v>0</v>
      </c>
      <c r="N253" s="23"/>
      <c r="O253" s="24">
        <v>11600</v>
      </c>
      <c r="P253" s="24">
        <f t="shared" si="86"/>
        <v>0</v>
      </c>
      <c r="Q253" s="92">
        <v>3</v>
      </c>
      <c r="R253" s="93">
        <v>11600</v>
      </c>
      <c r="S253" s="93">
        <f t="shared" si="87"/>
        <v>34800</v>
      </c>
    </row>
    <row r="254" spans="1:19" ht="17" thickBot="1" x14ac:dyDescent="0.25">
      <c r="A254" s="9" t="s">
        <v>1893</v>
      </c>
      <c r="B254" s="155"/>
      <c r="C254" s="155" t="s">
        <v>36</v>
      </c>
      <c r="D254" s="9"/>
      <c r="E254" s="9">
        <v>150</v>
      </c>
      <c r="F254" s="10">
        <v>9280</v>
      </c>
      <c r="G254" s="10">
        <f t="shared" si="83"/>
        <v>1392000</v>
      </c>
      <c r="H254" s="23"/>
      <c r="I254" s="24">
        <v>9280</v>
      </c>
      <c r="J254" s="24">
        <f t="shared" si="84"/>
        <v>0</v>
      </c>
      <c r="K254" s="92"/>
      <c r="L254" s="93">
        <v>9280</v>
      </c>
      <c r="M254" s="93">
        <f t="shared" si="85"/>
        <v>0</v>
      </c>
      <c r="N254" s="23">
        <v>18</v>
      </c>
      <c r="O254" s="24">
        <v>9280</v>
      </c>
      <c r="P254" s="24">
        <f t="shared" si="86"/>
        <v>167040</v>
      </c>
      <c r="Q254" s="92">
        <v>18</v>
      </c>
      <c r="R254" s="93">
        <v>9280</v>
      </c>
      <c r="S254" s="93">
        <f t="shared" si="87"/>
        <v>167040</v>
      </c>
    </row>
    <row r="255" spans="1:19" ht="17" thickBot="1" x14ac:dyDescent="0.25">
      <c r="B255" s="156"/>
      <c r="G255" s="103">
        <f>SUM(G240:G254)</f>
        <v>61910012</v>
      </c>
      <c r="J255" s="244">
        <f>SUM(J240:J254)</f>
        <v>6763960</v>
      </c>
      <c r="M255" s="170">
        <f>SUM(M240:M254)</f>
        <v>163560</v>
      </c>
      <c r="P255" s="244">
        <f>SUM(P240:P254)</f>
        <v>808172</v>
      </c>
      <c r="S255" s="170">
        <f>SUM(S240:S254)</f>
        <v>6909772</v>
      </c>
    </row>
    <row r="257" spans="1:10" ht="17" thickBot="1" x14ac:dyDescent="0.25">
      <c r="A257" s="30" t="s">
        <v>2160</v>
      </c>
      <c r="B257" s="2" t="s">
        <v>1903</v>
      </c>
      <c r="C257" s="2" t="s">
        <v>1904</v>
      </c>
    </row>
    <row r="258" spans="1:10" ht="17" thickBot="1" x14ac:dyDescent="0.25">
      <c r="A258" s="9" t="s">
        <v>1905</v>
      </c>
      <c r="B258" s="155"/>
      <c r="C258" s="155" t="s">
        <v>36</v>
      </c>
      <c r="D258" s="9">
        <v>200</v>
      </c>
      <c r="E258" s="10">
        <v>10092</v>
      </c>
      <c r="F258" s="10">
        <f>E258*D258</f>
        <v>2018400</v>
      </c>
      <c r="G258" s="23"/>
      <c r="H258" s="24">
        <v>10092</v>
      </c>
      <c r="I258" s="24">
        <f>H258*G258</f>
        <v>0</v>
      </c>
    </row>
    <row r="259" spans="1:10" ht="17" thickBot="1" x14ac:dyDescent="0.25">
      <c r="A259" s="9" t="s">
        <v>1906</v>
      </c>
      <c r="B259" s="155"/>
      <c r="C259" s="155" t="s">
        <v>36</v>
      </c>
      <c r="D259" s="9">
        <v>90</v>
      </c>
      <c r="E259" s="10">
        <v>10092</v>
      </c>
      <c r="F259" s="10">
        <f>E259*D259</f>
        <v>908280</v>
      </c>
      <c r="G259" s="23">
        <v>24</v>
      </c>
      <c r="H259" s="24">
        <v>10092</v>
      </c>
      <c r="I259" s="24">
        <f>H259*G259</f>
        <v>242208</v>
      </c>
    </row>
    <row r="260" spans="1:10" ht="17" thickBot="1" x14ac:dyDescent="0.25">
      <c r="B260" s="156"/>
      <c r="E260" s="3"/>
      <c r="F260" s="12">
        <f>SUM(F258:F259)</f>
        <v>2926680</v>
      </c>
      <c r="H260" s="3"/>
      <c r="I260" s="26">
        <f>SUM(I258:I259)</f>
        <v>242208</v>
      </c>
    </row>
    <row r="261" spans="1:10" ht="17" thickBot="1" x14ac:dyDescent="0.25">
      <c r="A261" s="30" t="s">
        <v>2307</v>
      </c>
    </row>
    <row r="262" spans="1:10" ht="17" thickBot="1" x14ac:dyDescent="0.25">
      <c r="A262" s="9" t="s">
        <v>60</v>
      </c>
      <c r="B262" s="9"/>
      <c r="C262" s="9" t="s">
        <v>332</v>
      </c>
      <c r="D262" s="9" t="s">
        <v>2306</v>
      </c>
      <c r="E262" s="9">
        <v>116</v>
      </c>
      <c r="F262" s="10">
        <v>69136</v>
      </c>
      <c r="G262" s="12">
        <f>F262*E262</f>
        <v>8019776</v>
      </c>
      <c r="H262" s="23">
        <v>116</v>
      </c>
      <c r="I262" s="24">
        <v>69136</v>
      </c>
      <c r="J262" s="26">
        <f>I262*H262</f>
        <v>8019776</v>
      </c>
    </row>
    <row r="264" spans="1:10" ht="17" thickBot="1" x14ac:dyDescent="0.25">
      <c r="A264" s="30" t="s">
        <v>2367</v>
      </c>
    </row>
    <row r="265" spans="1:10" ht="52" thickBot="1" x14ac:dyDescent="0.25">
      <c r="A265" s="8" t="s">
        <v>2368</v>
      </c>
      <c r="B265" s="76" t="s">
        <v>1343</v>
      </c>
      <c r="C265" s="9" t="s">
        <v>332</v>
      </c>
      <c r="D265" s="9"/>
      <c r="E265" s="9">
        <v>184</v>
      </c>
      <c r="F265" s="40">
        <v>91524</v>
      </c>
      <c r="G265" s="311">
        <f>F265*E265</f>
        <v>16840416</v>
      </c>
      <c r="H265" s="23">
        <v>92</v>
      </c>
      <c r="I265" s="39">
        <v>91524</v>
      </c>
      <c r="J265" s="61">
        <f>I265*H265</f>
        <v>8420208</v>
      </c>
    </row>
    <row r="267" spans="1:10" ht="17" thickBot="1" x14ac:dyDescent="0.25">
      <c r="A267" s="30" t="s">
        <v>2369</v>
      </c>
    </row>
    <row r="268" spans="1:10" ht="17" thickBot="1" x14ac:dyDescent="0.25">
      <c r="A268" s="9" t="s">
        <v>2370</v>
      </c>
      <c r="B268" s="9"/>
      <c r="C268" s="9" t="s">
        <v>332</v>
      </c>
      <c r="D268" s="9"/>
      <c r="E268" s="9">
        <v>81</v>
      </c>
      <c r="F268" s="40">
        <v>80968</v>
      </c>
      <c r="G268" s="311">
        <f>F268*E268</f>
        <v>6558408</v>
      </c>
      <c r="H268" s="23">
        <v>81</v>
      </c>
      <c r="I268" s="39">
        <v>80968</v>
      </c>
      <c r="J268" s="61">
        <f>I268*H268</f>
        <v>6558408</v>
      </c>
    </row>
    <row r="272" spans="1:10" ht="17" thickBot="1" x14ac:dyDescent="0.25">
      <c r="A272" s="30" t="s">
        <v>2366</v>
      </c>
    </row>
    <row r="273" spans="1:7" ht="17" thickBot="1" x14ac:dyDescent="0.25">
      <c r="A273" s="9" t="s">
        <v>60</v>
      </c>
      <c r="B273" s="9"/>
      <c r="C273" s="9" t="s">
        <v>332</v>
      </c>
      <c r="D273" s="9" t="s">
        <v>2308</v>
      </c>
      <c r="E273" s="9">
        <v>220</v>
      </c>
      <c r="F273" s="40">
        <v>148480</v>
      </c>
      <c r="G273" s="40">
        <f>F273*E273</f>
        <v>32665600</v>
      </c>
    </row>
    <row r="274" spans="1:7" ht="17" thickBot="1" x14ac:dyDescent="0.25">
      <c r="A274" s="9" t="s">
        <v>60</v>
      </c>
      <c r="B274" s="9"/>
      <c r="C274" s="9" t="s">
        <v>332</v>
      </c>
      <c r="D274" s="9" t="s">
        <v>2309</v>
      </c>
      <c r="E274" s="9">
        <v>6</v>
      </c>
      <c r="F274" s="40">
        <v>34800</v>
      </c>
      <c r="G274" s="40">
        <f t="shared" ref="G274:G337" si="88">F274*E274</f>
        <v>208800</v>
      </c>
    </row>
    <row r="275" spans="1:7" ht="17" thickBot="1" x14ac:dyDescent="0.25">
      <c r="A275" s="9" t="s">
        <v>60</v>
      </c>
      <c r="B275" s="9"/>
      <c r="C275" s="9" t="s">
        <v>4</v>
      </c>
      <c r="D275" s="9" t="s">
        <v>2310</v>
      </c>
      <c r="E275" s="9">
        <v>60</v>
      </c>
      <c r="F275" s="40">
        <v>812</v>
      </c>
      <c r="G275" s="40">
        <f t="shared" si="88"/>
        <v>48720</v>
      </c>
    </row>
    <row r="276" spans="1:7" ht="17" thickBot="1" x14ac:dyDescent="0.25">
      <c r="A276" s="9" t="s">
        <v>60</v>
      </c>
      <c r="B276" s="9"/>
      <c r="C276" s="9" t="s">
        <v>4</v>
      </c>
      <c r="D276" s="9" t="s">
        <v>2311</v>
      </c>
      <c r="E276" s="9">
        <v>20</v>
      </c>
      <c r="F276" s="40">
        <v>12760</v>
      </c>
      <c r="G276" s="40">
        <f t="shared" si="88"/>
        <v>255200</v>
      </c>
    </row>
    <row r="277" spans="1:7" ht="17" thickBot="1" x14ac:dyDescent="0.25">
      <c r="A277" s="9" t="s">
        <v>60</v>
      </c>
      <c r="B277" s="9"/>
      <c r="C277" s="9" t="s">
        <v>4</v>
      </c>
      <c r="D277" s="9" t="s">
        <v>2312</v>
      </c>
      <c r="E277" s="9">
        <v>50</v>
      </c>
      <c r="F277" s="40">
        <v>15080</v>
      </c>
      <c r="G277" s="40">
        <f t="shared" si="88"/>
        <v>754000</v>
      </c>
    </row>
    <row r="278" spans="1:7" ht="17" thickBot="1" x14ac:dyDescent="0.25">
      <c r="A278" s="9" t="s">
        <v>60</v>
      </c>
      <c r="B278" s="9"/>
      <c r="C278" s="9" t="s">
        <v>4</v>
      </c>
      <c r="D278" s="9" t="s">
        <v>2313</v>
      </c>
      <c r="E278" s="9">
        <v>20</v>
      </c>
      <c r="F278" s="40">
        <v>6148</v>
      </c>
      <c r="G278" s="40">
        <f t="shared" si="88"/>
        <v>122960</v>
      </c>
    </row>
    <row r="279" spans="1:7" ht="17" thickBot="1" x14ac:dyDescent="0.25">
      <c r="A279" s="9" t="s">
        <v>60</v>
      </c>
      <c r="B279" s="9"/>
      <c r="C279" s="9" t="s">
        <v>4</v>
      </c>
      <c r="D279" s="9" t="s">
        <v>2314</v>
      </c>
      <c r="E279" s="9">
        <v>60</v>
      </c>
      <c r="F279" s="40">
        <v>8120</v>
      </c>
      <c r="G279" s="40">
        <f t="shared" si="88"/>
        <v>487200</v>
      </c>
    </row>
    <row r="280" spans="1:7" ht="17" thickBot="1" x14ac:dyDescent="0.25">
      <c r="A280" s="9" t="s">
        <v>60</v>
      </c>
      <c r="B280" s="9"/>
      <c r="C280" s="9" t="s">
        <v>4</v>
      </c>
      <c r="D280" s="9" t="s">
        <v>2315</v>
      </c>
      <c r="E280" s="9">
        <v>60</v>
      </c>
      <c r="F280" s="40">
        <v>8120</v>
      </c>
      <c r="G280" s="40">
        <f t="shared" si="88"/>
        <v>487200</v>
      </c>
    </row>
    <row r="281" spans="1:7" ht="17" thickBot="1" x14ac:dyDescent="0.25">
      <c r="A281" s="9" t="s">
        <v>60</v>
      </c>
      <c r="B281" s="9"/>
      <c r="C281" s="9" t="s">
        <v>4</v>
      </c>
      <c r="D281" s="9" t="s">
        <v>2316</v>
      </c>
      <c r="E281" s="9">
        <v>10</v>
      </c>
      <c r="F281" s="40">
        <v>6380</v>
      </c>
      <c r="G281" s="40">
        <f t="shared" si="88"/>
        <v>63800</v>
      </c>
    </row>
    <row r="282" spans="1:7" ht="17" thickBot="1" x14ac:dyDescent="0.25">
      <c r="A282" s="9" t="s">
        <v>60</v>
      </c>
      <c r="B282" s="9"/>
      <c r="C282" s="9" t="s">
        <v>4</v>
      </c>
      <c r="D282" s="9" t="s">
        <v>2317</v>
      </c>
      <c r="E282" s="9">
        <v>96</v>
      </c>
      <c r="F282" s="40">
        <v>4524</v>
      </c>
      <c r="G282" s="40">
        <f t="shared" si="88"/>
        <v>434304</v>
      </c>
    </row>
    <row r="283" spans="1:7" ht="17" thickBot="1" x14ac:dyDescent="0.25">
      <c r="A283" s="9" t="s">
        <v>60</v>
      </c>
      <c r="B283" s="9"/>
      <c r="C283" s="9" t="s">
        <v>4</v>
      </c>
      <c r="D283" s="9" t="s">
        <v>2318</v>
      </c>
      <c r="E283" s="9">
        <v>64</v>
      </c>
      <c r="F283" s="40">
        <v>23200</v>
      </c>
      <c r="G283" s="40">
        <f t="shared" si="88"/>
        <v>1484800</v>
      </c>
    </row>
    <row r="284" spans="1:7" ht="17" thickBot="1" x14ac:dyDescent="0.25">
      <c r="A284" s="9" t="s">
        <v>60</v>
      </c>
      <c r="B284" s="9"/>
      <c r="C284" s="9" t="s">
        <v>4</v>
      </c>
      <c r="D284" s="9" t="s">
        <v>2319</v>
      </c>
      <c r="E284" s="9">
        <v>4</v>
      </c>
      <c r="F284" s="40">
        <v>6960</v>
      </c>
      <c r="G284" s="40">
        <f t="shared" si="88"/>
        <v>27840</v>
      </c>
    </row>
    <row r="285" spans="1:7" ht="17" thickBot="1" x14ac:dyDescent="0.25">
      <c r="A285" s="9" t="s">
        <v>60</v>
      </c>
      <c r="B285" s="9"/>
      <c r="C285" s="9" t="s">
        <v>4</v>
      </c>
      <c r="D285" s="9" t="s">
        <v>2194</v>
      </c>
      <c r="E285" s="9">
        <v>60</v>
      </c>
      <c r="F285" s="40">
        <v>9744</v>
      </c>
      <c r="G285" s="40">
        <f t="shared" si="88"/>
        <v>584640</v>
      </c>
    </row>
    <row r="286" spans="1:7" ht="17" thickBot="1" x14ac:dyDescent="0.25">
      <c r="A286" s="9" t="s">
        <v>60</v>
      </c>
      <c r="B286" s="9"/>
      <c r="C286" s="9" t="s">
        <v>4</v>
      </c>
      <c r="D286" s="9" t="s">
        <v>2320</v>
      </c>
      <c r="E286" s="9">
        <v>10</v>
      </c>
      <c r="F286" s="40">
        <v>7772</v>
      </c>
      <c r="G286" s="40">
        <f t="shared" si="88"/>
        <v>77720</v>
      </c>
    </row>
    <row r="287" spans="1:7" ht="17" thickBot="1" x14ac:dyDescent="0.25">
      <c r="A287" s="9" t="s">
        <v>60</v>
      </c>
      <c r="B287" s="9"/>
      <c r="C287" s="9" t="s">
        <v>4</v>
      </c>
      <c r="D287" s="9" t="s">
        <v>2321</v>
      </c>
      <c r="E287" s="9">
        <v>15</v>
      </c>
      <c r="F287" s="40">
        <v>12760</v>
      </c>
      <c r="G287" s="40">
        <f t="shared" si="88"/>
        <v>191400</v>
      </c>
    </row>
    <row r="288" spans="1:7" ht="17" thickBot="1" x14ac:dyDescent="0.25">
      <c r="A288" s="9" t="s">
        <v>60</v>
      </c>
      <c r="B288" s="9"/>
      <c r="C288" s="9" t="s">
        <v>4</v>
      </c>
      <c r="D288" s="9" t="s">
        <v>2322</v>
      </c>
      <c r="E288" s="9">
        <v>36</v>
      </c>
      <c r="F288" s="40">
        <v>17400</v>
      </c>
      <c r="G288" s="40">
        <f t="shared" si="88"/>
        <v>626400</v>
      </c>
    </row>
    <row r="289" spans="1:7" ht="17" thickBot="1" x14ac:dyDescent="0.25">
      <c r="A289" s="9" t="s">
        <v>60</v>
      </c>
      <c r="B289" s="9"/>
      <c r="C289" s="9" t="s">
        <v>4</v>
      </c>
      <c r="D289" s="9" t="s">
        <v>2323</v>
      </c>
      <c r="E289" s="9">
        <v>95</v>
      </c>
      <c r="F289" s="40">
        <v>7540</v>
      </c>
      <c r="G289" s="40">
        <f t="shared" si="88"/>
        <v>716300</v>
      </c>
    </row>
    <row r="290" spans="1:7" ht="17" thickBot="1" x14ac:dyDescent="0.25">
      <c r="A290" s="9" t="s">
        <v>60</v>
      </c>
      <c r="B290" s="9"/>
      <c r="C290" s="9" t="s">
        <v>4</v>
      </c>
      <c r="D290" s="9" t="s">
        <v>2324</v>
      </c>
      <c r="E290" s="9">
        <v>60</v>
      </c>
      <c r="F290" s="40">
        <v>11600</v>
      </c>
      <c r="G290" s="40">
        <f t="shared" si="88"/>
        <v>696000</v>
      </c>
    </row>
    <row r="291" spans="1:7" ht="17" thickBot="1" x14ac:dyDescent="0.25">
      <c r="A291" s="9" t="s">
        <v>60</v>
      </c>
      <c r="B291" s="9"/>
      <c r="C291" s="9" t="s">
        <v>4</v>
      </c>
      <c r="D291" s="9" t="s">
        <v>2325</v>
      </c>
      <c r="E291" s="9">
        <v>75</v>
      </c>
      <c r="F291" s="40">
        <v>16240</v>
      </c>
      <c r="G291" s="40">
        <f t="shared" si="88"/>
        <v>1218000</v>
      </c>
    </row>
    <row r="292" spans="1:7" ht="17" thickBot="1" x14ac:dyDescent="0.25">
      <c r="A292" s="9" t="s">
        <v>60</v>
      </c>
      <c r="B292" s="9"/>
      <c r="C292" s="9" t="s">
        <v>4</v>
      </c>
      <c r="D292" s="9" t="s">
        <v>2326</v>
      </c>
      <c r="E292" s="9">
        <v>144</v>
      </c>
      <c r="F292" s="40">
        <v>16240</v>
      </c>
      <c r="G292" s="40">
        <f t="shared" si="88"/>
        <v>2338560</v>
      </c>
    </row>
    <row r="293" spans="1:7" ht="17" thickBot="1" x14ac:dyDescent="0.25">
      <c r="A293" s="9" t="s">
        <v>60</v>
      </c>
      <c r="B293" s="9"/>
      <c r="C293" s="9" t="s">
        <v>4</v>
      </c>
      <c r="D293" s="9" t="s">
        <v>2327</v>
      </c>
      <c r="E293" s="9">
        <v>96</v>
      </c>
      <c r="F293" s="40">
        <v>6148</v>
      </c>
      <c r="G293" s="40">
        <f t="shared" si="88"/>
        <v>590208</v>
      </c>
    </row>
    <row r="294" spans="1:7" ht="17" thickBot="1" x14ac:dyDescent="0.25">
      <c r="A294" s="9" t="s">
        <v>60</v>
      </c>
      <c r="B294" s="9"/>
      <c r="C294" s="9" t="s">
        <v>4</v>
      </c>
      <c r="D294" s="9" t="s">
        <v>2328</v>
      </c>
      <c r="E294" s="9">
        <v>60</v>
      </c>
      <c r="F294" s="40">
        <v>8120</v>
      </c>
      <c r="G294" s="40">
        <f t="shared" si="88"/>
        <v>487200</v>
      </c>
    </row>
    <row r="295" spans="1:7" ht="17" thickBot="1" x14ac:dyDescent="0.25">
      <c r="A295" s="9" t="s">
        <v>60</v>
      </c>
      <c r="B295" s="9"/>
      <c r="C295" s="9" t="s">
        <v>4</v>
      </c>
      <c r="D295" s="9" t="s">
        <v>2329</v>
      </c>
      <c r="E295" s="9">
        <v>60</v>
      </c>
      <c r="F295" s="40">
        <v>4060</v>
      </c>
      <c r="G295" s="40">
        <f t="shared" si="88"/>
        <v>243600</v>
      </c>
    </row>
    <row r="296" spans="1:7" ht="17" thickBot="1" x14ac:dyDescent="0.25">
      <c r="A296" s="9" t="s">
        <v>60</v>
      </c>
      <c r="B296" s="9"/>
      <c r="C296" s="9" t="s">
        <v>4</v>
      </c>
      <c r="D296" s="9" t="s">
        <v>2330</v>
      </c>
      <c r="E296" s="9">
        <v>36</v>
      </c>
      <c r="F296" s="40">
        <v>11948</v>
      </c>
      <c r="G296" s="40">
        <f t="shared" si="88"/>
        <v>430128</v>
      </c>
    </row>
    <row r="297" spans="1:7" ht="17" thickBot="1" x14ac:dyDescent="0.25">
      <c r="A297" s="9" t="s">
        <v>60</v>
      </c>
      <c r="B297" s="9"/>
      <c r="C297" s="9" t="s">
        <v>4</v>
      </c>
      <c r="D297" s="9" t="s">
        <v>2331</v>
      </c>
      <c r="E297" s="9">
        <v>24</v>
      </c>
      <c r="F297" s="40">
        <v>4988</v>
      </c>
      <c r="G297" s="40">
        <f t="shared" si="88"/>
        <v>119712</v>
      </c>
    </row>
    <row r="298" spans="1:7" ht="17" thickBot="1" x14ac:dyDescent="0.25">
      <c r="A298" s="9" t="s">
        <v>60</v>
      </c>
      <c r="B298" s="9"/>
      <c r="C298" s="9" t="s">
        <v>4</v>
      </c>
      <c r="D298" s="9" t="s">
        <v>2332</v>
      </c>
      <c r="E298" s="9">
        <v>12</v>
      </c>
      <c r="F298" s="40">
        <v>10788</v>
      </c>
      <c r="G298" s="40">
        <f t="shared" si="88"/>
        <v>129456</v>
      </c>
    </row>
    <row r="299" spans="1:7" ht="17" thickBot="1" x14ac:dyDescent="0.25">
      <c r="A299" s="9" t="s">
        <v>60</v>
      </c>
      <c r="B299" s="9"/>
      <c r="C299" s="9" t="s">
        <v>4</v>
      </c>
      <c r="D299" s="9" t="s">
        <v>2333</v>
      </c>
      <c r="E299" s="9">
        <v>62</v>
      </c>
      <c r="F299" s="40">
        <v>9280</v>
      </c>
      <c r="G299" s="40">
        <f t="shared" si="88"/>
        <v>575360</v>
      </c>
    </row>
    <row r="300" spans="1:7" ht="17" thickBot="1" x14ac:dyDescent="0.25">
      <c r="A300" s="9" t="s">
        <v>60</v>
      </c>
      <c r="B300" s="9"/>
      <c r="C300" s="9" t="s">
        <v>4</v>
      </c>
      <c r="D300" s="9" t="s">
        <v>1631</v>
      </c>
      <c r="E300" s="9">
        <v>20</v>
      </c>
      <c r="F300" s="40">
        <v>6148</v>
      </c>
      <c r="G300" s="40">
        <f t="shared" si="88"/>
        <v>122960</v>
      </c>
    </row>
    <row r="301" spans="1:7" ht="17" thickBot="1" x14ac:dyDescent="0.25">
      <c r="A301" s="9" t="s">
        <v>60</v>
      </c>
      <c r="B301" s="9"/>
      <c r="C301" s="9" t="s">
        <v>4</v>
      </c>
      <c r="D301" s="9" t="s">
        <v>2334</v>
      </c>
      <c r="E301" s="9">
        <v>40</v>
      </c>
      <c r="F301" s="40">
        <v>6960</v>
      </c>
      <c r="G301" s="40">
        <f t="shared" si="88"/>
        <v>278400</v>
      </c>
    </row>
    <row r="302" spans="1:7" ht="17" thickBot="1" x14ac:dyDescent="0.25">
      <c r="A302" s="9" t="s">
        <v>60</v>
      </c>
      <c r="B302" s="9"/>
      <c r="C302" s="9" t="s">
        <v>4</v>
      </c>
      <c r="D302" s="9" t="s">
        <v>2335</v>
      </c>
      <c r="E302" s="9">
        <v>194</v>
      </c>
      <c r="F302" s="40">
        <v>4872</v>
      </c>
      <c r="G302" s="40">
        <f t="shared" si="88"/>
        <v>945168</v>
      </c>
    </row>
    <row r="303" spans="1:7" ht="17" thickBot="1" x14ac:dyDescent="0.25">
      <c r="A303" s="9" t="s">
        <v>60</v>
      </c>
      <c r="B303" s="9"/>
      <c r="C303" s="9" t="s">
        <v>4</v>
      </c>
      <c r="D303" s="9" t="s">
        <v>2336</v>
      </c>
      <c r="E303" s="9">
        <v>30</v>
      </c>
      <c r="F303" s="40">
        <v>8700</v>
      </c>
      <c r="G303" s="40">
        <f t="shared" si="88"/>
        <v>261000</v>
      </c>
    </row>
    <row r="304" spans="1:7" ht="17" thickBot="1" x14ac:dyDescent="0.25">
      <c r="A304" s="9" t="s">
        <v>60</v>
      </c>
      <c r="B304" s="9"/>
      <c r="C304" s="9" t="s">
        <v>4</v>
      </c>
      <c r="D304" s="9" t="s">
        <v>2337</v>
      </c>
      <c r="E304" s="9">
        <v>80</v>
      </c>
      <c r="F304" s="40">
        <v>16240</v>
      </c>
      <c r="G304" s="40">
        <f t="shared" si="88"/>
        <v>1299200</v>
      </c>
    </row>
    <row r="305" spans="1:7" ht="17" thickBot="1" x14ac:dyDescent="0.25">
      <c r="A305" s="9" t="s">
        <v>60</v>
      </c>
      <c r="B305" s="9"/>
      <c r="C305" s="9" t="s">
        <v>4</v>
      </c>
      <c r="D305" s="9" t="s">
        <v>2338</v>
      </c>
      <c r="E305" s="9">
        <v>120</v>
      </c>
      <c r="F305" s="40">
        <v>986</v>
      </c>
      <c r="G305" s="40">
        <f t="shared" si="88"/>
        <v>118320</v>
      </c>
    </row>
    <row r="306" spans="1:7" ht="17" thickBot="1" x14ac:dyDescent="0.25">
      <c r="A306" s="9" t="s">
        <v>60</v>
      </c>
      <c r="B306" s="9"/>
      <c r="C306" s="9" t="s">
        <v>4</v>
      </c>
      <c r="D306" s="9" t="s">
        <v>2339</v>
      </c>
      <c r="E306" s="9">
        <v>60</v>
      </c>
      <c r="F306" s="40">
        <v>9280</v>
      </c>
      <c r="G306" s="40">
        <f t="shared" si="88"/>
        <v>556800</v>
      </c>
    </row>
    <row r="307" spans="1:7" ht="17" thickBot="1" x14ac:dyDescent="0.25">
      <c r="A307" s="9" t="s">
        <v>60</v>
      </c>
      <c r="B307" s="9"/>
      <c r="C307" s="9" t="s">
        <v>4</v>
      </c>
      <c r="D307" s="9" t="s">
        <v>2340</v>
      </c>
      <c r="E307" s="9">
        <v>52</v>
      </c>
      <c r="F307" s="40">
        <v>8584</v>
      </c>
      <c r="G307" s="40">
        <f t="shared" si="88"/>
        <v>446368</v>
      </c>
    </row>
    <row r="308" spans="1:7" ht="17" thickBot="1" x14ac:dyDescent="0.25">
      <c r="A308" s="9" t="s">
        <v>60</v>
      </c>
      <c r="B308" s="9"/>
      <c r="C308" s="9" t="s">
        <v>4</v>
      </c>
      <c r="D308" s="9" t="s">
        <v>2325</v>
      </c>
      <c r="E308" s="9">
        <v>50</v>
      </c>
      <c r="F308" s="40">
        <v>16240</v>
      </c>
      <c r="G308" s="40">
        <f t="shared" si="88"/>
        <v>812000</v>
      </c>
    </row>
    <row r="309" spans="1:7" ht="17" thickBot="1" x14ac:dyDescent="0.25">
      <c r="A309" s="9" t="s">
        <v>60</v>
      </c>
      <c r="B309" s="9"/>
      <c r="C309" s="9" t="s">
        <v>4</v>
      </c>
      <c r="D309" s="9" t="s">
        <v>2341</v>
      </c>
      <c r="E309" s="9">
        <v>50</v>
      </c>
      <c r="F309" s="40">
        <v>6496</v>
      </c>
      <c r="G309" s="40">
        <f t="shared" si="88"/>
        <v>324800</v>
      </c>
    </row>
    <row r="310" spans="1:7" ht="17" thickBot="1" x14ac:dyDescent="0.25">
      <c r="A310" s="9" t="s">
        <v>60</v>
      </c>
      <c r="B310" s="9"/>
      <c r="C310" s="9" t="s">
        <v>4</v>
      </c>
      <c r="D310" s="9" t="s">
        <v>2342</v>
      </c>
      <c r="E310" s="9">
        <v>12</v>
      </c>
      <c r="F310" s="40">
        <v>16240</v>
      </c>
      <c r="G310" s="40">
        <f t="shared" si="88"/>
        <v>194880</v>
      </c>
    </row>
    <row r="311" spans="1:7" ht="17" thickBot="1" x14ac:dyDescent="0.25">
      <c r="A311" s="9" t="s">
        <v>60</v>
      </c>
      <c r="B311" s="9"/>
      <c r="C311" s="9" t="s">
        <v>4</v>
      </c>
      <c r="D311" s="9" t="s">
        <v>2343</v>
      </c>
      <c r="E311" s="9">
        <v>30</v>
      </c>
      <c r="F311" s="40">
        <v>6148</v>
      </c>
      <c r="G311" s="40">
        <f t="shared" si="88"/>
        <v>184440</v>
      </c>
    </row>
    <row r="312" spans="1:7" ht="17" thickBot="1" x14ac:dyDescent="0.25">
      <c r="A312" s="9" t="s">
        <v>60</v>
      </c>
      <c r="B312" s="9"/>
      <c r="C312" s="9" t="s">
        <v>4</v>
      </c>
      <c r="D312" s="9" t="s">
        <v>2344</v>
      </c>
      <c r="E312" s="9">
        <v>52</v>
      </c>
      <c r="F312" s="40">
        <v>15080</v>
      </c>
      <c r="G312" s="40">
        <f t="shared" si="88"/>
        <v>784160</v>
      </c>
    </row>
    <row r="313" spans="1:7" ht="17" thickBot="1" x14ac:dyDescent="0.25">
      <c r="A313" s="9" t="s">
        <v>60</v>
      </c>
      <c r="B313" s="9"/>
      <c r="C313" s="9" t="s">
        <v>4</v>
      </c>
      <c r="D313" s="9" t="s">
        <v>2345</v>
      </c>
      <c r="E313" s="9">
        <v>15</v>
      </c>
      <c r="F313" s="40">
        <v>16240</v>
      </c>
      <c r="G313" s="40">
        <f t="shared" si="88"/>
        <v>243600</v>
      </c>
    </row>
    <row r="314" spans="1:7" ht="17" thickBot="1" x14ac:dyDescent="0.25">
      <c r="A314" s="9" t="s">
        <v>60</v>
      </c>
      <c r="B314" s="9"/>
      <c r="C314" s="9" t="s">
        <v>4</v>
      </c>
      <c r="D314" s="9" t="s">
        <v>2346</v>
      </c>
      <c r="E314" s="9">
        <v>16</v>
      </c>
      <c r="F314" s="40">
        <v>16240</v>
      </c>
      <c r="G314" s="40">
        <f t="shared" si="88"/>
        <v>259840</v>
      </c>
    </row>
    <row r="315" spans="1:7" ht="17" thickBot="1" x14ac:dyDescent="0.25">
      <c r="A315" s="9" t="s">
        <v>60</v>
      </c>
      <c r="B315" s="9"/>
      <c r="C315" s="9" t="s">
        <v>4</v>
      </c>
      <c r="D315" s="9" t="s">
        <v>2347</v>
      </c>
      <c r="E315" s="9">
        <v>15</v>
      </c>
      <c r="F315" s="40">
        <v>11600</v>
      </c>
      <c r="G315" s="40">
        <f t="shared" si="88"/>
        <v>174000</v>
      </c>
    </row>
    <row r="316" spans="1:7" ht="17" thickBot="1" x14ac:dyDescent="0.25">
      <c r="A316" s="9" t="s">
        <v>60</v>
      </c>
      <c r="B316" s="9"/>
      <c r="C316" s="9" t="s">
        <v>4</v>
      </c>
      <c r="D316" s="9" t="s">
        <v>2348</v>
      </c>
      <c r="E316" s="9">
        <v>60</v>
      </c>
      <c r="F316" s="40">
        <v>12760</v>
      </c>
      <c r="G316" s="40">
        <f t="shared" si="88"/>
        <v>765600</v>
      </c>
    </row>
    <row r="317" spans="1:7" ht="17" thickBot="1" x14ac:dyDescent="0.25">
      <c r="A317" s="9" t="s">
        <v>60</v>
      </c>
      <c r="B317" s="9"/>
      <c r="C317" s="9" t="s">
        <v>4</v>
      </c>
      <c r="D317" s="9" t="s">
        <v>2349</v>
      </c>
      <c r="E317" s="9">
        <v>16</v>
      </c>
      <c r="F317" s="40">
        <v>16240</v>
      </c>
      <c r="G317" s="40">
        <f t="shared" si="88"/>
        <v>259840</v>
      </c>
    </row>
    <row r="318" spans="1:7" ht="17" thickBot="1" x14ac:dyDescent="0.25">
      <c r="A318" s="9" t="s">
        <v>60</v>
      </c>
      <c r="B318" s="9"/>
      <c r="C318" s="9" t="s">
        <v>4</v>
      </c>
      <c r="D318" s="9" t="s">
        <v>2350</v>
      </c>
      <c r="E318" s="9">
        <v>20</v>
      </c>
      <c r="F318" s="40">
        <v>16240</v>
      </c>
      <c r="G318" s="40">
        <f t="shared" si="88"/>
        <v>324800</v>
      </c>
    </row>
    <row r="319" spans="1:7" ht="17" thickBot="1" x14ac:dyDescent="0.25">
      <c r="A319" s="9" t="s">
        <v>60</v>
      </c>
      <c r="B319" s="9"/>
      <c r="C319" s="9" t="s">
        <v>4</v>
      </c>
      <c r="D319" s="9" t="s">
        <v>2351</v>
      </c>
      <c r="E319" s="9">
        <v>15</v>
      </c>
      <c r="F319" s="40">
        <v>22040</v>
      </c>
      <c r="G319" s="40">
        <f t="shared" si="88"/>
        <v>330600</v>
      </c>
    </row>
    <row r="320" spans="1:7" ht="17" thickBot="1" x14ac:dyDescent="0.25">
      <c r="A320" s="9" t="s">
        <v>60</v>
      </c>
      <c r="B320" s="9"/>
      <c r="C320" s="9" t="s">
        <v>4</v>
      </c>
      <c r="D320" s="9" t="s">
        <v>2352</v>
      </c>
      <c r="E320" s="9">
        <v>16</v>
      </c>
      <c r="F320" s="310">
        <v>16240</v>
      </c>
      <c r="G320" s="40">
        <f t="shared" si="88"/>
        <v>259840</v>
      </c>
    </row>
    <row r="321" spans="1:7" ht="17" thickBot="1" x14ac:dyDescent="0.25">
      <c r="A321" s="9" t="s">
        <v>60</v>
      </c>
      <c r="B321" s="9"/>
      <c r="C321" s="9" t="s">
        <v>4</v>
      </c>
      <c r="D321" s="9" t="s">
        <v>2353</v>
      </c>
      <c r="E321" s="9">
        <v>40</v>
      </c>
      <c r="F321" s="40">
        <v>7888</v>
      </c>
      <c r="G321" s="40">
        <f t="shared" si="88"/>
        <v>315520</v>
      </c>
    </row>
    <row r="322" spans="1:7" ht="17" thickBot="1" x14ac:dyDescent="0.25">
      <c r="A322" s="9" t="s">
        <v>60</v>
      </c>
      <c r="B322" s="9"/>
      <c r="C322" s="9" t="s">
        <v>4</v>
      </c>
      <c r="D322" s="9" t="s">
        <v>2354</v>
      </c>
      <c r="E322" s="9">
        <v>200</v>
      </c>
      <c r="F322" s="40">
        <v>3944</v>
      </c>
      <c r="G322" s="40">
        <f t="shared" si="88"/>
        <v>788800</v>
      </c>
    </row>
    <row r="323" spans="1:7" ht="17" thickBot="1" x14ac:dyDescent="0.25">
      <c r="A323" s="9" t="s">
        <v>60</v>
      </c>
      <c r="B323" s="9"/>
      <c r="C323" s="9" t="s">
        <v>4</v>
      </c>
      <c r="D323" s="9" t="s">
        <v>2346</v>
      </c>
      <c r="E323" s="9">
        <v>60</v>
      </c>
      <c r="F323" s="310">
        <v>16240</v>
      </c>
      <c r="G323" s="40">
        <f t="shared" si="88"/>
        <v>974400</v>
      </c>
    </row>
    <row r="324" spans="1:7" ht="17" thickBot="1" x14ac:dyDescent="0.25">
      <c r="A324" s="9" t="s">
        <v>60</v>
      </c>
      <c r="B324" s="9"/>
      <c r="C324" s="9" t="s">
        <v>4</v>
      </c>
      <c r="D324" s="9" t="s">
        <v>697</v>
      </c>
      <c r="E324" s="9">
        <v>20</v>
      </c>
      <c r="F324" s="40">
        <v>10440</v>
      </c>
      <c r="G324" s="40">
        <f t="shared" si="88"/>
        <v>208800</v>
      </c>
    </row>
    <row r="325" spans="1:7" ht="17" thickBot="1" x14ac:dyDescent="0.25">
      <c r="A325" s="9" t="s">
        <v>60</v>
      </c>
      <c r="B325" s="9"/>
      <c r="C325" s="9" t="s">
        <v>4</v>
      </c>
      <c r="D325" s="9" t="s">
        <v>2355</v>
      </c>
      <c r="E325" s="9">
        <v>60</v>
      </c>
      <c r="F325" s="40">
        <v>5800</v>
      </c>
      <c r="G325" s="40">
        <f t="shared" si="88"/>
        <v>348000</v>
      </c>
    </row>
    <row r="326" spans="1:7" ht="17" thickBot="1" x14ac:dyDescent="0.25">
      <c r="A326" s="9" t="s">
        <v>60</v>
      </c>
      <c r="B326" s="9"/>
      <c r="C326" s="9" t="s">
        <v>4</v>
      </c>
      <c r="D326" s="9" t="s">
        <v>2356</v>
      </c>
      <c r="E326" s="9">
        <v>80</v>
      </c>
      <c r="F326" s="40">
        <v>12760</v>
      </c>
      <c r="G326" s="40">
        <f t="shared" si="88"/>
        <v>1020800</v>
      </c>
    </row>
    <row r="327" spans="1:7" ht="17" thickBot="1" x14ac:dyDescent="0.25">
      <c r="A327" s="9" t="s">
        <v>60</v>
      </c>
      <c r="B327" s="9"/>
      <c r="C327" s="9" t="s">
        <v>4</v>
      </c>
      <c r="D327" s="9" t="s">
        <v>2357</v>
      </c>
      <c r="E327" s="9">
        <v>38</v>
      </c>
      <c r="F327" s="40">
        <v>12064</v>
      </c>
      <c r="G327" s="40">
        <f t="shared" si="88"/>
        <v>458432</v>
      </c>
    </row>
    <row r="328" spans="1:7" ht="17" thickBot="1" x14ac:dyDescent="0.25">
      <c r="A328" s="9" t="s">
        <v>60</v>
      </c>
      <c r="B328" s="9"/>
      <c r="C328" s="9" t="s">
        <v>4</v>
      </c>
      <c r="D328" s="9" t="s">
        <v>763</v>
      </c>
      <c r="E328" s="9">
        <v>20</v>
      </c>
      <c r="F328" s="40">
        <v>5800</v>
      </c>
      <c r="G328" s="40">
        <f t="shared" si="88"/>
        <v>116000</v>
      </c>
    </row>
    <row r="329" spans="1:7" ht="17" thickBot="1" x14ac:dyDescent="0.25">
      <c r="A329" s="9" t="s">
        <v>60</v>
      </c>
      <c r="B329" s="9"/>
      <c r="C329" s="9" t="s">
        <v>4</v>
      </c>
      <c r="D329" s="9" t="s">
        <v>2330</v>
      </c>
      <c r="E329" s="9">
        <v>60</v>
      </c>
      <c r="F329" s="40">
        <v>11600</v>
      </c>
      <c r="G329" s="40">
        <f t="shared" si="88"/>
        <v>696000</v>
      </c>
    </row>
    <row r="330" spans="1:7" ht="17" thickBot="1" x14ac:dyDescent="0.25">
      <c r="A330" s="9" t="s">
        <v>60</v>
      </c>
      <c r="B330" s="9"/>
      <c r="C330" s="9" t="s">
        <v>4</v>
      </c>
      <c r="D330" s="9" t="s">
        <v>2358</v>
      </c>
      <c r="E330" s="9">
        <v>38</v>
      </c>
      <c r="F330" s="40">
        <v>7540</v>
      </c>
      <c r="G330" s="40">
        <f t="shared" si="88"/>
        <v>286520</v>
      </c>
    </row>
    <row r="331" spans="1:7" ht="17" thickBot="1" x14ac:dyDescent="0.25">
      <c r="A331" s="9" t="s">
        <v>60</v>
      </c>
      <c r="B331" s="9"/>
      <c r="C331" s="9" t="s">
        <v>4</v>
      </c>
      <c r="D331" s="9" t="s">
        <v>1637</v>
      </c>
      <c r="E331" s="9">
        <v>65</v>
      </c>
      <c r="F331" s="40">
        <v>16240</v>
      </c>
      <c r="G331" s="40">
        <f t="shared" si="88"/>
        <v>1055600</v>
      </c>
    </row>
    <row r="332" spans="1:7" ht="17" thickBot="1" x14ac:dyDescent="0.25">
      <c r="A332" s="9" t="s">
        <v>60</v>
      </c>
      <c r="B332" s="9"/>
      <c r="C332" s="9" t="s">
        <v>4</v>
      </c>
      <c r="D332" s="9" t="s">
        <v>2359</v>
      </c>
      <c r="E332" s="9">
        <v>18</v>
      </c>
      <c r="F332" s="40">
        <v>812</v>
      </c>
      <c r="G332" s="40">
        <f t="shared" si="88"/>
        <v>14616</v>
      </c>
    </row>
    <row r="333" spans="1:7" ht="17" thickBot="1" x14ac:dyDescent="0.25">
      <c r="A333" s="9" t="s">
        <v>60</v>
      </c>
      <c r="B333" s="9"/>
      <c r="C333" s="9" t="s">
        <v>4</v>
      </c>
      <c r="D333" s="9" t="s">
        <v>2360</v>
      </c>
      <c r="E333" s="9">
        <v>40</v>
      </c>
      <c r="F333" s="40">
        <v>7540</v>
      </c>
      <c r="G333" s="40">
        <f t="shared" si="88"/>
        <v>301600</v>
      </c>
    </row>
    <row r="334" spans="1:7" ht="17" thickBot="1" x14ac:dyDescent="0.25">
      <c r="A334" s="9" t="s">
        <v>60</v>
      </c>
      <c r="B334" s="9"/>
      <c r="C334" s="9" t="s">
        <v>4</v>
      </c>
      <c r="D334" s="9" t="s">
        <v>2361</v>
      </c>
      <c r="E334" s="9">
        <v>70</v>
      </c>
      <c r="F334" s="40">
        <v>6960</v>
      </c>
      <c r="G334" s="40">
        <f t="shared" si="88"/>
        <v>487200</v>
      </c>
    </row>
    <row r="335" spans="1:7" ht="17" thickBot="1" x14ac:dyDescent="0.25">
      <c r="A335" s="9" t="s">
        <v>60</v>
      </c>
      <c r="B335" s="9"/>
      <c r="C335" s="9" t="s">
        <v>4</v>
      </c>
      <c r="D335" s="9" t="s">
        <v>2362</v>
      </c>
      <c r="E335" s="9">
        <v>12</v>
      </c>
      <c r="F335" s="40">
        <v>8584</v>
      </c>
      <c r="G335" s="40">
        <f t="shared" si="88"/>
        <v>103008</v>
      </c>
    </row>
    <row r="336" spans="1:7" ht="17" thickBot="1" x14ac:dyDescent="0.25">
      <c r="A336" s="9" t="s">
        <v>60</v>
      </c>
      <c r="B336" s="9"/>
      <c r="C336" s="9" t="s">
        <v>4</v>
      </c>
      <c r="D336" s="9" t="s">
        <v>2363</v>
      </c>
      <c r="E336" s="9">
        <v>20</v>
      </c>
      <c r="F336" s="40">
        <v>5800</v>
      </c>
      <c r="G336" s="40">
        <f t="shared" si="88"/>
        <v>116000</v>
      </c>
    </row>
    <row r="337" spans="1:8" ht="17" thickBot="1" x14ac:dyDescent="0.25">
      <c r="A337" s="9" t="s">
        <v>60</v>
      </c>
      <c r="B337" s="9"/>
      <c r="C337" s="9" t="s">
        <v>4</v>
      </c>
      <c r="D337" s="9" t="s">
        <v>2364</v>
      </c>
      <c r="E337" s="9">
        <v>40</v>
      </c>
      <c r="F337" s="40">
        <v>5800</v>
      </c>
      <c r="G337" s="40">
        <f t="shared" si="88"/>
        <v>232000</v>
      </c>
    </row>
    <row r="338" spans="1:8" ht="17" thickBot="1" x14ac:dyDescent="0.25">
      <c r="A338" s="9" t="s">
        <v>60</v>
      </c>
      <c r="B338" s="9"/>
      <c r="C338" s="9" t="s">
        <v>4</v>
      </c>
      <c r="D338" s="9" t="s">
        <v>2365</v>
      </c>
      <c r="E338" s="9">
        <v>20</v>
      </c>
      <c r="F338" s="40">
        <v>27840</v>
      </c>
      <c r="G338" s="40">
        <f t="shared" ref="G338:G339" si="89">F338*E338</f>
        <v>556800</v>
      </c>
    </row>
    <row r="339" spans="1:8" ht="17" thickBot="1" x14ac:dyDescent="0.25">
      <c r="A339" s="9" t="s">
        <v>60</v>
      </c>
      <c r="B339" s="9"/>
      <c r="C339" s="9" t="s">
        <v>4</v>
      </c>
      <c r="D339" s="9" t="s">
        <v>1630</v>
      </c>
      <c r="E339" s="9">
        <v>10</v>
      </c>
      <c r="F339" s="40">
        <v>6264</v>
      </c>
      <c r="G339" s="40">
        <f t="shared" si="89"/>
        <v>62640</v>
      </c>
    </row>
    <row r="340" spans="1:8" ht="17" thickBot="1" x14ac:dyDescent="0.25">
      <c r="A340" s="255"/>
      <c r="C340" s="255"/>
      <c r="D340" s="255"/>
      <c r="E340" s="255"/>
      <c r="F340" s="255"/>
      <c r="G340" s="311">
        <f>SUM(G273:G339)</f>
        <v>63154460</v>
      </c>
      <c r="H340" s="30"/>
    </row>
  </sheetData>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B9DBD-4569-7D4D-8646-15E7ABF03381}">
  <dimension ref="A2:O20"/>
  <sheetViews>
    <sheetView topLeftCell="A3" workbookViewId="0">
      <selection activeCell="D6" sqref="D6"/>
    </sheetView>
  </sheetViews>
  <sheetFormatPr baseColWidth="10" defaultRowHeight="16" x14ac:dyDescent="0.2"/>
  <cols>
    <col min="1" max="1" width="91.6640625" style="211" customWidth="1"/>
    <col min="2" max="2" width="31.6640625" style="221" customWidth="1"/>
    <col min="3" max="3" width="32.5" style="214" customWidth="1"/>
    <col min="4" max="4" width="72.1640625" style="4" customWidth="1"/>
    <col min="5" max="5" width="17.6640625" style="3" customWidth="1"/>
    <col min="6" max="6" width="11" style="3" bestFit="1" customWidth="1"/>
    <col min="7" max="7" width="20.33203125" style="3" customWidth="1"/>
    <col min="8" max="8" width="26.5" style="1" customWidth="1"/>
    <col min="9" max="9" width="15.6640625" style="1" customWidth="1"/>
    <col min="10" max="10" width="10.83203125" style="222"/>
    <col min="11" max="11" width="16.6640625" style="225" customWidth="1"/>
    <col min="12" max="12" width="16" customWidth="1"/>
    <col min="13" max="13" width="20" style="1" customWidth="1"/>
  </cols>
  <sheetData>
    <row r="2" spans="1:15" ht="18" thickBot="1" x14ac:dyDescent="0.25">
      <c r="A2" s="211" t="s">
        <v>1983</v>
      </c>
      <c r="C2" s="214" t="s">
        <v>1981</v>
      </c>
      <c r="D2" s="4" t="s">
        <v>1982</v>
      </c>
      <c r="H2" s="1" t="s">
        <v>2022</v>
      </c>
      <c r="I2" s="1" t="s">
        <v>2025</v>
      </c>
      <c r="J2" s="222" t="s">
        <v>2024</v>
      </c>
      <c r="K2" s="224" t="s">
        <v>1354</v>
      </c>
      <c r="L2" s="223" t="s">
        <v>2021</v>
      </c>
      <c r="M2" s="226" t="s">
        <v>2026</v>
      </c>
    </row>
    <row r="3" spans="1:15" ht="154" thickBot="1" x14ac:dyDescent="0.25">
      <c r="A3" s="231" t="s">
        <v>1969</v>
      </c>
      <c r="B3" s="232" t="s">
        <v>4</v>
      </c>
      <c r="C3" s="233" t="s">
        <v>2004</v>
      </c>
      <c r="D3" s="234" t="s">
        <v>1985</v>
      </c>
      <c r="E3" s="128">
        <v>126.76</v>
      </c>
      <c r="F3" s="128">
        <v>16588</v>
      </c>
      <c r="G3" s="235">
        <f>F3*E3</f>
        <v>2102694.88</v>
      </c>
      <c r="H3" s="236">
        <f>F3/J3</f>
        <v>1658.8</v>
      </c>
      <c r="I3" s="236">
        <v>1890</v>
      </c>
      <c r="J3" s="237">
        <v>10</v>
      </c>
      <c r="K3" s="238">
        <f>E3*J3</f>
        <v>1267.6000000000001</v>
      </c>
      <c r="L3" s="239">
        <f>K3*I3</f>
        <v>2395764.0000000005</v>
      </c>
      <c r="M3" s="236">
        <v>2779086.24</v>
      </c>
      <c r="N3" t="s">
        <v>2027</v>
      </c>
      <c r="O3" s="120"/>
    </row>
    <row r="4" spans="1:15" ht="120" thickBot="1" x14ac:dyDescent="0.25">
      <c r="A4" s="212" t="s">
        <v>2000</v>
      </c>
      <c r="B4" s="216" t="s">
        <v>2020</v>
      </c>
      <c r="C4" s="215" t="s">
        <v>2003</v>
      </c>
      <c r="D4" s="8" t="s">
        <v>1999</v>
      </c>
      <c r="E4" s="10">
        <v>9204.15</v>
      </c>
      <c r="F4" s="10">
        <v>9512</v>
      </c>
      <c r="G4" s="227">
        <f t="shared" ref="G4:G18" si="0">F4*E4</f>
        <v>87549874.799999997</v>
      </c>
      <c r="H4" s="210">
        <f t="shared" ref="H4:H18" si="1">F4/J4</f>
        <v>9512</v>
      </c>
      <c r="I4" s="210">
        <v>4870</v>
      </c>
      <c r="J4" s="228">
        <v>1</v>
      </c>
      <c r="K4" s="229">
        <f t="shared" ref="K4:K18" si="2">E4*J4</f>
        <v>9204.15</v>
      </c>
      <c r="L4" s="230">
        <f t="shared" ref="L4:L18" si="3">K4*I4</f>
        <v>44824210.5</v>
      </c>
      <c r="M4" s="210">
        <v>51996084.18</v>
      </c>
      <c r="N4" t="s">
        <v>2028</v>
      </c>
    </row>
    <row r="5" spans="1:15" ht="137" thickBot="1" x14ac:dyDescent="0.25">
      <c r="A5" s="212" t="s">
        <v>2001</v>
      </c>
      <c r="B5" s="216" t="s">
        <v>4</v>
      </c>
      <c r="C5" s="216" t="s">
        <v>2005</v>
      </c>
      <c r="D5" s="8" t="s">
        <v>1986</v>
      </c>
      <c r="E5" s="10">
        <v>300.94</v>
      </c>
      <c r="F5" s="10">
        <v>37120</v>
      </c>
      <c r="G5" s="227">
        <f t="shared" si="0"/>
        <v>11170892.800000001</v>
      </c>
      <c r="H5" s="210">
        <f t="shared" si="1"/>
        <v>4640</v>
      </c>
      <c r="I5" s="210">
        <v>2680</v>
      </c>
      <c r="J5" s="228">
        <v>8</v>
      </c>
      <c r="K5" s="229">
        <f t="shared" si="2"/>
        <v>2407.52</v>
      </c>
      <c r="L5" s="230">
        <f t="shared" si="3"/>
        <v>6452153.5999999996</v>
      </c>
      <c r="M5" s="210">
        <v>7484498.175999999</v>
      </c>
    </row>
    <row r="6" spans="1:15" ht="120" thickBot="1" x14ac:dyDescent="0.25">
      <c r="A6" s="212" t="s">
        <v>2002</v>
      </c>
      <c r="B6" s="216" t="s">
        <v>4</v>
      </c>
      <c r="C6" s="215" t="s">
        <v>2006</v>
      </c>
      <c r="D6" s="8" t="s">
        <v>1987</v>
      </c>
      <c r="E6" s="10">
        <v>126.76</v>
      </c>
      <c r="F6" s="10">
        <v>40600</v>
      </c>
      <c r="G6" s="227">
        <f t="shared" si="0"/>
        <v>5146456</v>
      </c>
      <c r="H6" s="210">
        <f t="shared" si="1"/>
        <v>2435.5128974205159</v>
      </c>
      <c r="I6" s="210">
        <v>1460</v>
      </c>
      <c r="J6" s="228">
        <v>16.670000000000002</v>
      </c>
      <c r="K6" s="229">
        <f t="shared" si="2"/>
        <v>2113.0892000000003</v>
      </c>
      <c r="L6" s="230">
        <f t="shared" si="3"/>
        <v>3085110.2320000003</v>
      </c>
      <c r="M6" s="210">
        <v>3578727.8691199999</v>
      </c>
    </row>
    <row r="7" spans="1:15" ht="103" thickBot="1" x14ac:dyDescent="0.25">
      <c r="A7" s="212" t="s">
        <v>1970</v>
      </c>
      <c r="B7" s="216" t="s">
        <v>4</v>
      </c>
      <c r="C7" s="216" t="s">
        <v>2007</v>
      </c>
      <c r="D7" s="8" t="s">
        <v>1989</v>
      </c>
      <c r="E7" s="10">
        <v>553.19000000000005</v>
      </c>
      <c r="F7" s="10">
        <v>11252</v>
      </c>
      <c r="G7" s="227">
        <f t="shared" si="0"/>
        <v>6224493.8800000008</v>
      </c>
      <c r="H7" s="210">
        <f t="shared" si="1"/>
        <v>2813</v>
      </c>
      <c r="I7" s="210">
        <v>1680</v>
      </c>
      <c r="J7" s="228">
        <v>4</v>
      </c>
      <c r="K7" s="229">
        <f t="shared" si="2"/>
        <v>2212.7600000000002</v>
      </c>
      <c r="L7" s="230">
        <f t="shared" si="3"/>
        <v>3717436.8000000003</v>
      </c>
      <c r="M7" s="210">
        <v>4312226.6880000001</v>
      </c>
    </row>
    <row r="8" spans="1:15" ht="103" thickBot="1" x14ac:dyDescent="0.25">
      <c r="A8" s="231" t="s">
        <v>1971</v>
      </c>
      <c r="B8" s="232" t="s">
        <v>4</v>
      </c>
      <c r="C8" s="233" t="s">
        <v>2008</v>
      </c>
      <c r="D8" s="234" t="s">
        <v>1996</v>
      </c>
      <c r="E8" s="128">
        <v>553.19000000000005</v>
      </c>
      <c r="F8" s="128">
        <v>9048</v>
      </c>
      <c r="G8" s="235">
        <f t="shared" si="0"/>
        <v>5005263.12</v>
      </c>
      <c r="H8" s="236">
        <f t="shared" si="1"/>
        <v>2262</v>
      </c>
      <c r="I8" s="236">
        <v>1680</v>
      </c>
      <c r="J8" s="237">
        <v>4</v>
      </c>
      <c r="K8" s="238">
        <f t="shared" si="2"/>
        <v>2212.7600000000002</v>
      </c>
      <c r="L8" s="239">
        <f t="shared" si="3"/>
        <v>3717436.8000000003</v>
      </c>
      <c r="M8" s="236">
        <v>4312226.6880000001</v>
      </c>
      <c r="N8" t="s">
        <v>2027</v>
      </c>
    </row>
    <row r="9" spans="1:15" ht="103" thickBot="1" x14ac:dyDescent="0.25">
      <c r="A9" s="212" t="s">
        <v>1972</v>
      </c>
      <c r="B9" s="216" t="s">
        <v>4</v>
      </c>
      <c r="C9" s="215"/>
      <c r="D9" s="8" t="s">
        <v>1984</v>
      </c>
      <c r="E9" s="10">
        <v>553.19000000000005</v>
      </c>
      <c r="F9" s="10">
        <v>11368</v>
      </c>
      <c r="G9" s="227">
        <f t="shared" si="0"/>
        <v>6288663.9200000009</v>
      </c>
      <c r="H9" s="210">
        <f t="shared" si="1"/>
        <v>2842</v>
      </c>
      <c r="I9" s="210">
        <v>1680</v>
      </c>
      <c r="J9" s="228">
        <v>4</v>
      </c>
      <c r="K9" s="229">
        <f t="shared" si="2"/>
        <v>2212.7600000000002</v>
      </c>
      <c r="L9" s="230">
        <f t="shared" si="3"/>
        <v>3717436.8000000003</v>
      </c>
      <c r="M9" s="210">
        <v>4312226.6880000001</v>
      </c>
    </row>
    <row r="10" spans="1:15" ht="171" thickBot="1" x14ac:dyDescent="0.25">
      <c r="A10" s="212" t="s">
        <v>1973</v>
      </c>
      <c r="B10" s="216" t="s">
        <v>4</v>
      </c>
      <c r="C10" s="215" t="s">
        <v>2009</v>
      </c>
      <c r="D10" s="8" t="s">
        <v>1994</v>
      </c>
      <c r="E10" s="10">
        <v>126.76</v>
      </c>
      <c r="F10" s="10">
        <v>40600</v>
      </c>
      <c r="G10" s="227">
        <f t="shared" si="0"/>
        <v>5146456</v>
      </c>
      <c r="H10" s="210">
        <f t="shared" si="1"/>
        <v>6086.9565217391309</v>
      </c>
      <c r="I10" s="210">
        <v>3890</v>
      </c>
      <c r="J10" s="228">
        <v>6.67</v>
      </c>
      <c r="K10" s="229">
        <f t="shared" si="2"/>
        <v>845.48919999999998</v>
      </c>
      <c r="L10" s="230">
        <f t="shared" si="3"/>
        <v>3288952.9879999999</v>
      </c>
      <c r="M10" s="210">
        <v>3815185.4660799997</v>
      </c>
    </row>
    <row r="11" spans="1:15" ht="171" thickBot="1" x14ac:dyDescent="0.25">
      <c r="A11" s="231" t="s">
        <v>1974</v>
      </c>
      <c r="B11" s="232" t="s">
        <v>4</v>
      </c>
      <c r="C11" s="233" t="s">
        <v>2010</v>
      </c>
      <c r="D11" s="234" t="s">
        <v>1991</v>
      </c>
      <c r="E11" s="128">
        <v>126.76</v>
      </c>
      <c r="F11" s="128">
        <v>15312</v>
      </c>
      <c r="G11" s="235">
        <f t="shared" si="0"/>
        <v>1940949.12</v>
      </c>
      <c r="H11" s="236">
        <f t="shared" si="1"/>
        <v>2295.6521739130435</v>
      </c>
      <c r="I11" s="236">
        <v>3150</v>
      </c>
      <c r="J11" s="237">
        <v>6.67</v>
      </c>
      <c r="K11" s="238">
        <f t="shared" si="2"/>
        <v>845.48919999999998</v>
      </c>
      <c r="L11" s="239">
        <f t="shared" si="3"/>
        <v>2663290.98</v>
      </c>
      <c r="M11" s="236">
        <v>3089417.5367999999</v>
      </c>
      <c r="N11" t="s">
        <v>2027</v>
      </c>
    </row>
    <row r="12" spans="1:15" ht="154" thickBot="1" x14ac:dyDescent="0.25">
      <c r="A12" s="231" t="s">
        <v>2017</v>
      </c>
      <c r="B12" s="232" t="s">
        <v>4</v>
      </c>
      <c r="C12" s="233" t="s">
        <v>2011</v>
      </c>
      <c r="D12" s="234" t="s">
        <v>1997</v>
      </c>
      <c r="E12" s="240">
        <v>1108.0875000000001</v>
      </c>
      <c r="F12" s="128">
        <v>11368</v>
      </c>
      <c r="G12" s="235">
        <f t="shared" si="0"/>
        <v>12596738.700000001</v>
      </c>
      <c r="H12" s="236">
        <f t="shared" si="1"/>
        <v>2842</v>
      </c>
      <c r="I12" s="236">
        <v>2540</v>
      </c>
      <c r="J12" s="237">
        <v>4</v>
      </c>
      <c r="K12" s="238">
        <f t="shared" si="2"/>
        <v>4432.3500000000004</v>
      </c>
      <c r="L12" s="239">
        <f t="shared" si="3"/>
        <v>11258169</v>
      </c>
      <c r="M12" s="236">
        <v>13059476.039999999</v>
      </c>
      <c r="N12" t="s">
        <v>2027</v>
      </c>
    </row>
    <row r="13" spans="1:15" ht="188" thickBot="1" x14ac:dyDescent="0.25">
      <c r="A13" s="212" t="s">
        <v>1975</v>
      </c>
      <c r="B13" s="216" t="s">
        <v>4</v>
      </c>
      <c r="C13" s="215" t="s">
        <v>2012</v>
      </c>
      <c r="D13" s="8" t="s">
        <v>1993</v>
      </c>
      <c r="E13" s="10">
        <v>126.76</v>
      </c>
      <c r="F13" s="10">
        <v>29464</v>
      </c>
      <c r="G13" s="227">
        <f t="shared" si="0"/>
        <v>3734856.64</v>
      </c>
      <c r="H13" s="210">
        <f t="shared" si="1"/>
        <v>4910.666666666667</v>
      </c>
      <c r="I13" s="210">
        <v>2650</v>
      </c>
      <c r="J13" s="228">
        <v>6</v>
      </c>
      <c r="K13" s="229">
        <f t="shared" si="2"/>
        <v>760.56000000000006</v>
      </c>
      <c r="L13" s="230">
        <f t="shared" si="3"/>
        <v>2015484.0000000002</v>
      </c>
      <c r="M13" s="210">
        <v>2337961.44</v>
      </c>
    </row>
    <row r="14" spans="1:15" ht="188" thickBot="1" x14ac:dyDescent="0.25">
      <c r="A14" s="231" t="s">
        <v>1976</v>
      </c>
      <c r="B14" s="232" t="s">
        <v>4</v>
      </c>
      <c r="C14" s="232" t="s">
        <v>2016</v>
      </c>
      <c r="D14" s="234" t="s">
        <v>1988</v>
      </c>
      <c r="E14" s="128">
        <v>126.76</v>
      </c>
      <c r="F14" s="128">
        <v>15312</v>
      </c>
      <c r="G14" s="235">
        <f t="shared" si="0"/>
        <v>1940949.12</v>
      </c>
      <c r="H14" s="236">
        <f t="shared" si="1"/>
        <v>5353.8461538461543</v>
      </c>
      <c r="I14" s="236">
        <v>5950</v>
      </c>
      <c r="J14" s="237">
        <v>2.86</v>
      </c>
      <c r="K14" s="238">
        <f t="shared" si="2"/>
        <v>362.53359999999998</v>
      </c>
      <c r="L14" s="239">
        <f t="shared" si="3"/>
        <v>2157074.92</v>
      </c>
      <c r="M14" s="236">
        <v>2502206.9071999998</v>
      </c>
      <c r="N14" t="s">
        <v>2027</v>
      </c>
    </row>
    <row r="15" spans="1:15" ht="86" thickBot="1" x14ac:dyDescent="0.25">
      <c r="A15" s="231" t="s">
        <v>1977</v>
      </c>
      <c r="B15" s="232" t="s">
        <v>4</v>
      </c>
      <c r="C15" s="233" t="s">
        <v>2015</v>
      </c>
      <c r="D15" s="234" t="s">
        <v>1990</v>
      </c>
      <c r="E15" s="128">
        <v>1108.0875000000001</v>
      </c>
      <c r="F15" s="128">
        <v>24360</v>
      </c>
      <c r="G15" s="235">
        <f t="shared" si="0"/>
        <v>26993011.500000004</v>
      </c>
      <c r="H15" s="236">
        <f t="shared" si="1"/>
        <v>6090</v>
      </c>
      <c r="I15" s="236">
        <v>4460</v>
      </c>
      <c r="J15" s="237">
        <v>4</v>
      </c>
      <c r="K15" s="238">
        <f t="shared" si="2"/>
        <v>4432.3500000000004</v>
      </c>
      <c r="L15" s="239">
        <f t="shared" si="3"/>
        <v>19768281</v>
      </c>
      <c r="M15" s="236">
        <v>22931205.959999997</v>
      </c>
      <c r="N15" t="s">
        <v>2028</v>
      </c>
    </row>
    <row r="16" spans="1:15" ht="103" thickBot="1" x14ac:dyDescent="0.25">
      <c r="A16" s="231" t="s">
        <v>1978</v>
      </c>
      <c r="B16" s="232" t="s">
        <v>4</v>
      </c>
      <c r="C16" s="233"/>
      <c r="D16" s="234" t="s">
        <v>1995</v>
      </c>
      <c r="E16" s="128">
        <v>126.76</v>
      </c>
      <c r="F16" s="128">
        <v>26912</v>
      </c>
      <c r="G16" s="235">
        <f t="shared" si="0"/>
        <v>3411365.12</v>
      </c>
      <c r="H16" s="236">
        <f t="shared" si="1"/>
        <v>2691.2</v>
      </c>
      <c r="I16" s="236">
        <v>2450</v>
      </c>
      <c r="J16" s="237">
        <v>10</v>
      </c>
      <c r="K16" s="238">
        <f t="shared" si="2"/>
        <v>1267.6000000000001</v>
      </c>
      <c r="L16" s="239">
        <f t="shared" si="3"/>
        <v>3105620.0000000005</v>
      </c>
      <c r="M16" s="236">
        <v>3602519.2</v>
      </c>
      <c r="N16" t="s">
        <v>2027</v>
      </c>
    </row>
    <row r="17" spans="1:14" ht="103" thickBot="1" x14ac:dyDescent="0.25">
      <c r="A17" s="231" t="s">
        <v>1979</v>
      </c>
      <c r="B17" s="232" t="s">
        <v>4</v>
      </c>
      <c r="C17" s="233" t="s">
        <v>2014</v>
      </c>
      <c r="D17" s="234" t="s">
        <v>1998</v>
      </c>
      <c r="E17" s="128">
        <v>553.19000000000005</v>
      </c>
      <c r="F17" s="128">
        <v>11600</v>
      </c>
      <c r="G17" s="235">
        <f t="shared" si="0"/>
        <v>6417004.0000000009</v>
      </c>
      <c r="H17" s="236">
        <f t="shared" si="1"/>
        <v>2900</v>
      </c>
      <c r="I17" s="236">
        <v>2340</v>
      </c>
      <c r="J17" s="237">
        <v>4</v>
      </c>
      <c r="K17" s="238">
        <f t="shared" si="2"/>
        <v>2212.7600000000002</v>
      </c>
      <c r="L17" s="239">
        <f t="shared" si="3"/>
        <v>5177858.4000000004</v>
      </c>
      <c r="M17" s="236">
        <v>6006315.7439999999</v>
      </c>
      <c r="N17" t="s">
        <v>2027</v>
      </c>
    </row>
    <row r="18" spans="1:14" ht="137" thickBot="1" x14ac:dyDescent="0.25">
      <c r="A18" s="212" t="s">
        <v>1980</v>
      </c>
      <c r="B18" s="216" t="s">
        <v>4</v>
      </c>
      <c r="C18" s="215" t="s">
        <v>2013</v>
      </c>
      <c r="D18" s="8" t="s">
        <v>1992</v>
      </c>
      <c r="E18" s="10">
        <v>300.94</v>
      </c>
      <c r="F18" s="10">
        <v>37120</v>
      </c>
      <c r="G18" s="227">
        <f t="shared" si="0"/>
        <v>11170892.800000001</v>
      </c>
      <c r="H18" s="210">
        <f t="shared" si="1"/>
        <v>4640</v>
      </c>
      <c r="I18" s="210">
        <v>2680</v>
      </c>
      <c r="J18" s="228">
        <v>8</v>
      </c>
      <c r="K18" s="229">
        <f t="shared" si="2"/>
        <v>2407.52</v>
      </c>
      <c r="L18" s="230">
        <f t="shared" si="3"/>
        <v>6452153.5999999996</v>
      </c>
      <c r="M18" s="210">
        <v>7484498.175999999</v>
      </c>
      <c r="N18" t="s">
        <v>2028</v>
      </c>
    </row>
    <row r="19" spans="1:14" ht="17" thickBot="1" x14ac:dyDescent="0.25">
      <c r="G19" s="10">
        <f>SUM(G3:G18)</f>
        <v>196840562.40000001</v>
      </c>
      <c r="L19" s="230">
        <f>SUM(L3:L18)</f>
        <v>123796433.62</v>
      </c>
      <c r="M19" s="210">
        <f>SUM(M3:M18)</f>
        <v>143603862.99919996</v>
      </c>
    </row>
    <row r="20" spans="1:14" x14ac:dyDescent="0.2">
      <c r="G20" s="3">
        <v>31494489</v>
      </c>
      <c r="H20" s="1" t="s">
        <v>2023</v>
      </c>
    </row>
  </sheetData>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EE7F1-BD80-D04D-8933-E991C2321368}">
  <dimension ref="A2:M50"/>
  <sheetViews>
    <sheetView topLeftCell="A4" zoomScale="101" workbookViewId="0">
      <selection activeCell="I54" sqref="I54"/>
    </sheetView>
  </sheetViews>
  <sheetFormatPr baseColWidth="10" defaultRowHeight="16" x14ac:dyDescent="0.2"/>
  <cols>
    <col min="1" max="1" width="76.33203125" style="2" customWidth="1"/>
    <col min="2" max="2" width="24" style="77" customWidth="1"/>
    <col min="3" max="3" width="10.83203125" style="2"/>
    <col min="4" max="4" width="52.83203125" style="2" customWidth="1"/>
    <col min="5" max="5" width="10.83203125" style="2"/>
    <col min="6" max="6" width="11.5" style="3" bestFit="1" customWidth="1"/>
    <col min="7" max="7" width="14" style="3" bestFit="1" customWidth="1"/>
    <col min="8" max="9" width="10.83203125" style="2"/>
    <col min="10" max="10" width="14" style="2" customWidth="1"/>
    <col min="11" max="12" width="10.83203125" style="2"/>
    <col min="13" max="13" width="13.83203125" customWidth="1"/>
  </cols>
  <sheetData>
    <row r="2" spans="1:13" ht="17" thickBot="1" x14ac:dyDescent="0.25">
      <c r="A2" s="30" t="s">
        <v>360</v>
      </c>
      <c r="B2" s="74"/>
    </row>
    <row r="3" spans="1:13" ht="17" thickBot="1" x14ac:dyDescent="0.25">
      <c r="A3" s="9" t="s">
        <v>177</v>
      </c>
      <c r="B3" s="76" t="s">
        <v>874</v>
      </c>
      <c r="C3" s="9" t="s">
        <v>36</v>
      </c>
      <c r="D3" s="9" t="s">
        <v>356</v>
      </c>
      <c r="E3" s="9">
        <v>2500</v>
      </c>
      <c r="F3" s="10">
        <v>3400</v>
      </c>
      <c r="G3" s="10">
        <f t="shared" ref="G3:G8" si="0">F3*E3</f>
        <v>8500000</v>
      </c>
      <c r="H3" s="23">
        <v>2004</v>
      </c>
      <c r="I3" s="24">
        <v>3400</v>
      </c>
      <c r="J3" s="24">
        <f t="shared" ref="J3:J8" si="1">I3*H3</f>
        <v>6813600</v>
      </c>
      <c r="K3" s="9"/>
      <c r="L3" s="10">
        <v>3400</v>
      </c>
      <c r="M3" s="10">
        <f t="shared" ref="M3:M8" si="2">L3*K3</f>
        <v>0</v>
      </c>
    </row>
    <row r="4" spans="1:13" ht="17" thickBot="1" x14ac:dyDescent="0.25">
      <c r="A4" s="9" t="s">
        <v>283</v>
      </c>
      <c r="B4" s="76" t="s">
        <v>835</v>
      </c>
      <c r="C4" s="9" t="s">
        <v>36</v>
      </c>
      <c r="D4" s="9" t="s">
        <v>297</v>
      </c>
      <c r="E4" s="9">
        <v>6</v>
      </c>
      <c r="F4" s="10">
        <v>5100</v>
      </c>
      <c r="G4" s="10">
        <f t="shared" si="0"/>
        <v>30600</v>
      </c>
      <c r="H4" s="23"/>
      <c r="I4" s="24">
        <v>5100</v>
      </c>
      <c r="J4" s="24">
        <f t="shared" si="1"/>
        <v>0</v>
      </c>
      <c r="K4" s="9"/>
      <c r="L4" s="10">
        <v>5100</v>
      </c>
      <c r="M4" s="10">
        <f t="shared" si="2"/>
        <v>0</v>
      </c>
    </row>
    <row r="5" spans="1:13" ht="17" thickBot="1" x14ac:dyDescent="0.25">
      <c r="A5" s="9" t="s">
        <v>58</v>
      </c>
      <c r="B5" s="76" t="s">
        <v>960</v>
      </c>
      <c r="C5" s="9" t="s">
        <v>36</v>
      </c>
      <c r="D5" s="9" t="s">
        <v>357</v>
      </c>
      <c r="E5" s="9">
        <v>2</v>
      </c>
      <c r="F5" s="10">
        <v>5590</v>
      </c>
      <c r="G5" s="10">
        <f t="shared" si="0"/>
        <v>11180</v>
      </c>
      <c r="H5" s="23"/>
      <c r="I5" s="24">
        <v>5590</v>
      </c>
      <c r="J5" s="24">
        <f t="shared" si="1"/>
        <v>0</v>
      </c>
      <c r="K5" s="9"/>
      <c r="L5" s="10">
        <v>5590</v>
      </c>
      <c r="M5" s="10">
        <f t="shared" si="2"/>
        <v>0</v>
      </c>
    </row>
    <row r="6" spans="1:13" ht="17" thickBot="1" x14ac:dyDescent="0.25">
      <c r="A6" s="9" t="s">
        <v>176</v>
      </c>
      <c r="B6" s="76" t="s">
        <v>961</v>
      </c>
      <c r="C6" s="9" t="s">
        <v>36</v>
      </c>
      <c r="D6" s="9" t="s">
        <v>358</v>
      </c>
      <c r="E6" s="9">
        <v>100</v>
      </c>
      <c r="F6" s="10">
        <v>5460</v>
      </c>
      <c r="G6" s="10">
        <f t="shared" si="0"/>
        <v>546000</v>
      </c>
      <c r="H6" s="23">
        <v>100</v>
      </c>
      <c r="I6" s="24">
        <v>5460</v>
      </c>
      <c r="J6" s="24">
        <f t="shared" si="1"/>
        <v>546000</v>
      </c>
      <c r="K6" s="9"/>
      <c r="L6" s="10">
        <v>5460</v>
      </c>
      <c r="M6" s="10">
        <f t="shared" si="2"/>
        <v>0</v>
      </c>
    </row>
    <row r="7" spans="1:13" ht="17" thickBot="1" x14ac:dyDescent="0.25">
      <c r="A7" s="9" t="s">
        <v>220</v>
      </c>
      <c r="B7" s="76" t="s">
        <v>962</v>
      </c>
      <c r="C7" s="9" t="s">
        <v>36</v>
      </c>
      <c r="D7" s="9" t="s">
        <v>318</v>
      </c>
      <c r="E7" s="9">
        <v>150</v>
      </c>
      <c r="F7" s="10">
        <v>6300</v>
      </c>
      <c r="G7" s="10">
        <f t="shared" si="0"/>
        <v>945000</v>
      </c>
      <c r="H7" s="23"/>
      <c r="I7" s="24">
        <v>6300</v>
      </c>
      <c r="J7" s="24">
        <f t="shared" si="1"/>
        <v>0</v>
      </c>
      <c r="K7" s="9">
        <v>150</v>
      </c>
      <c r="L7" s="10">
        <v>6300</v>
      </c>
      <c r="M7" s="10">
        <f t="shared" si="2"/>
        <v>945000</v>
      </c>
    </row>
    <row r="8" spans="1:13" ht="17" thickBot="1" x14ac:dyDescent="0.25">
      <c r="A8" s="9" t="s">
        <v>177</v>
      </c>
      <c r="B8" s="76" t="s">
        <v>963</v>
      </c>
      <c r="C8" s="9" t="s">
        <v>36</v>
      </c>
      <c r="D8" s="9" t="s">
        <v>359</v>
      </c>
      <c r="E8" s="9">
        <v>100</v>
      </c>
      <c r="F8" s="10">
        <v>5460</v>
      </c>
      <c r="G8" s="10">
        <f t="shared" si="0"/>
        <v>546000</v>
      </c>
      <c r="H8" s="23">
        <v>100</v>
      </c>
      <c r="I8" s="24">
        <v>5460</v>
      </c>
      <c r="J8" s="24">
        <f t="shared" si="1"/>
        <v>546000</v>
      </c>
      <c r="K8" s="9"/>
      <c r="L8" s="10">
        <v>5460</v>
      </c>
      <c r="M8" s="10">
        <f t="shared" si="2"/>
        <v>0</v>
      </c>
    </row>
    <row r="9" spans="1:13" ht="17" thickBot="1" x14ac:dyDescent="0.25">
      <c r="G9" s="12">
        <f>SUM(G3:G8)</f>
        <v>10578780</v>
      </c>
      <c r="I9" s="3"/>
      <c r="J9" s="26">
        <f>SUM(J3:J8)</f>
        <v>7905600</v>
      </c>
      <c r="L9" s="3"/>
      <c r="M9" s="12">
        <f>SUM(M3:M8)</f>
        <v>945000</v>
      </c>
    </row>
    <row r="10" spans="1:13" ht="17" thickBot="1" x14ac:dyDescent="0.25">
      <c r="A10" s="30" t="s">
        <v>364</v>
      </c>
      <c r="C10" s="2" t="s">
        <v>281</v>
      </c>
      <c r="D10" s="2" t="s">
        <v>363</v>
      </c>
    </row>
    <row r="11" spans="1:13" ht="17" thickBot="1" x14ac:dyDescent="0.25">
      <c r="A11" s="9" t="s">
        <v>361</v>
      </c>
      <c r="B11" s="76" t="s">
        <v>907</v>
      </c>
      <c r="C11" s="9" t="s">
        <v>36</v>
      </c>
      <c r="D11" s="9" t="s">
        <v>362</v>
      </c>
      <c r="E11" s="9">
        <v>95</v>
      </c>
      <c r="F11" s="10">
        <v>118000</v>
      </c>
      <c r="G11" s="12">
        <f>F11*E11</f>
        <v>11210000</v>
      </c>
    </row>
    <row r="12" spans="1:13" x14ac:dyDescent="0.2">
      <c r="I12" s="2">
        <v>713</v>
      </c>
      <c r="J12" s="2">
        <v>2500</v>
      </c>
      <c r="K12" s="2">
        <f>J12*I12</f>
        <v>1782500</v>
      </c>
      <c r="L12" s="2" t="s">
        <v>998</v>
      </c>
    </row>
    <row r="13" spans="1:13" ht="17" thickBot="1" x14ac:dyDescent="0.25">
      <c r="A13" s="30" t="s">
        <v>365</v>
      </c>
      <c r="C13" s="2" t="s">
        <v>368</v>
      </c>
      <c r="D13" s="2" t="s">
        <v>369</v>
      </c>
      <c r="E13" s="2" t="s">
        <v>370</v>
      </c>
    </row>
    <row r="14" spans="1:13" ht="17" thickBot="1" x14ac:dyDescent="0.25">
      <c r="A14" s="9" t="s">
        <v>176</v>
      </c>
      <c r="B14" s="76" t="s">
        <v>964</v>
      </c>
      <c r="C14" s="9" t="s">
        <v>36</v>
      </c>
      <c r="D14" s="9" t="s">
        <v>366</v>
      </c>
      <c r="E14" s="9">
        <v>1900</v>
      </c>
      <c r="F14" s="10">
        <v>1240</v>
      </c>
      <c r="G14" s="10">
        <f>F14*E14</f>
        <v>2356000</v>
      </c>
    </row>
    <row r="15" spans="1:13" ht="17" thickBot="1" x14ac:dyDescent="0.25">
      <c r="A15" s="9" t="s">
        <v>177</v>
      </c>
      <c r="B15" s="76" t="s">
        <v>965</v>
      </c>
      <c r="C15" s="9" t="s">
        <v>36</v>
      </c>
      <c r="D15" s="9" t="s">
        <v>367</v>
      </c>
      <c r="E15" s="9">
        <v>2100</v>
      </c>
      <c r="F15" s="10">
        <v>1230</v>
      </c>
      <c r="G15" s="10">
        <f>F15*E15</f>
        <v>2583000</v>
      </c>
    </row>
    <row r="16" spans="1:13" ht="17" thickBot="1" x14ac:dyDescent="0.25">
      <c r="G16" s="12">
        <f>SUM(G14:G15)</f>
        <v>4939000</v>
      </c>
    </row>
    <row r="17" spans="1:10" ht="17" thickBot="1" x14ac:dyDescent="0.25">
      <c r="A17" s="30" t="s">
        <v>371</v>
      </c>
      <c r="C17" s="2" t="s">
        <v>82</v>
      </c>
      <c r="D17" s="2" t="s">
        <v>83</v>
      </c>
    </row>
    <row r="18" spans="1:10" ht="17" thickBot="1" x14ac:dyDescent="0.25">
      <c r="A18" s="9" t="s">
        <v>45</v>
      </c>
      <c r="B18" s="76" t="s">
        <v>909</v>
      </c>
      <c r="C18" s="9" t="s">
        <v>36</v>
      </c>
      <c r="D18" s="9" t="s">
        <v>304</v>
      </c>
      <c r="E18" s="9">
        <v>40</v>
      </c>
      <c r="F18" s="10">
        <v>18000</v>
      </c>
      <c r="G18" s="10">
        <f>F18*E18</f>
        <v>720000</v>
      </c>
    </row>
    <row r="19" spans="1:10" ht="17" thickBot="1" x14ac:dyDescent="0.25">
      <c r="A19" s="9" t="s">
        <v>45</v>
      </c>
      <c r="B19" s="76" t="s">
        <v>878</v>
      </c>
      <c r="C19" s="9" t="s">
        <v>36</v>
      </c>
      <c r="D19" s="9" t="s">
        <v>120</v>
      </c>
      <c r="E19" s="9">
        <v>40</v>
      </c>
      <c r="F19" s="10">
        <v>18000</v>
      </c>
      <c r="G19" s="10">
        <f>F19*E19</f>
        <v>720000</v>
      </c>
    </row>
    <row r="20" spans="1:10" ht="17" thickBot="1" x14ac:dyDescent="0.25">
      <c r="G20" s="12">
        <f>SUM(G18:G19)</f>
        <v>1440000</v>
      </c>
    </row>
    <row r="22" spans="1:10" ht="17" thickBot="1" x14ac:dyDescent="0.25">
      <c r="A22" s="30" t="s">
        <v>930</v>
      </c>
      <c r="B22" s="74"/>
    </row>
    <row r="23" spans="1:10" ht="17" thickBot="1" x14ac:dyDescent="0.25">
      <c r="A23" s="9" t="s">
        <v>177</v>
      </c>
      <c r="B23" s="76"/>
      <c r="C23" s="9" t="s">
        <v>4</v>
      </c>
      <c r="D23" s="9" t="s">
        <v>318</v>
      </c>
      <c r="E23" s="9">
        <v>40</v>
      </c>
      <c r="F23" s="10">
        <v>6300</v>
      </c>
      <c r="G23" s="12">
        <f>F23*E23</f>
        <v>252000</v>
      </c>
    </row>
    <row r="25" spans="1:10" ht="17" thickBot="1" x14ac:dyDescent="0.25">
      <c r="A25" s="30" t="s">
        <v>934</v>
      </c>
      <c r="B25" s="74"/>
      <c r="C25" s="2" t="s">
        <v>931</v>
      </c>
      <c r="D25" s="2" t="s">
        <v>932</v>
      </c>
    </row>
    <row r="26" spans="1:10" ht="17" thickBot="1" x14ac:dyDescent="0.25">
      <c r="A26" s="9" t="s">
        <v>663</v>
      </c>
      <c r="B26" s="76"/>
      <c r="C26" s="9" t="s">
        <v>4</v>
      </c>
      <c r="D26" s="9" t="s">
        <v>933</v>
      </c>
      <c r="E26" s="9">
        <v>90</v>
      </c>
      <c r="F26" s="10">
        <v>6801.11</v>
      </c>
      <c r="G26" s="10">
        <f>F26*E26</f>
        <v>612099.9</v>
      </c>
    </row>
    <row r="27" spans="1:10" ht="17" thickBot="1" x14ac:dyDescent="0.25">
      <c r="A27" s="9" t="s">
        <v>672</v>
      </c>
      <c r="B27" s="76"/>
      <c r="C27" s="9" t="s">
        <v>4</v>
      </c>
      <c r="D27" s="9" t="s">
        <v>673</v>
      </c>
      <c r="E27" s="9">
        <v>100</v>
      </c>
      <c r="F27" s="10">
        <v>3781</v>
      </c>
      <c r="G27" s="10">
        <f>F27*E27</f>
        <v>378100</v>
      </c>
    </row>
    <row r="28" spans="1:10" ht="17" thickBot="1" x14ac:dyDescent="0.25">
      <c r="G28" s="12">
        <f>SUM(G26:G27)</f>
        <v>990199.9</v>
      </c>
    </row>
    <row r="29" spans="1:10" ht="17" thickBot="1" x14ac:dyDescent="0.25">
      <c r="A29" s="30" t="s">
        <v>935</v>
      </c>
      <c r="B29" s="74"/>
      <c r="C29" s="2" t="s">
        <v>937</v>
      </c>
      <c r="D29" s="2" t="s">
        <v>936</v>
      </c>
    </row>
    <row r="30" spans="1:10" ht="17" thickBot="1" x14ac:dyDescent="0.25">
      <c r="A30" s="9" t="s">
        <v>285</v>
      </c>
      <c r="B30" s="76"/>
      <c r="C30" s="9" t="s">
        <v>36</v>
      </c>
      <c r="D30" s="9" t="s">
        <v>298</v>
      </c>
      <c r="E30" s="9">
        <v>6</v>
      </c>
      <c r="F30" s="10">
        <v>7200</v>
      </c>
      <c r="G30" s="12">
        <f>F30*E30</f>
        <v>43200</v>
      </c>
      <c r="H30" s="27">
        <v>6</v>
      </c>
      <c r="I30" s="28">
        <v>7200</v>
      </c>
      <c r="J30" s="148">
        <f>I30*H30</f>
        <v>43200</v>
      </c>
    </row>
    <row r="33" spans="1:13" ht="17" thickBot="1" x14ac:dyDescent="0.25">
      <c r="A33" s="30" t="s">
        <v>942</v>
      </c>
      <c r="B33" s="74"/>
    </row>
    <row r="34" spans="1:13" ht="17" thickBot="1" x14ac:dyDescent="0.25">
      <c r="A34" s="9" t="s">
        <v>239</v>
      </c>
      <c r="B34" s="76"/>
      <c r="C34" s="9" t="s">
        <v>4</v>
      </c>
      <c r="D34" s="9" t="s">
        <v>657</v>
      </c>
      <c r="E34" s="9">
        <v>24</v>
      </c>
      <c r="F34" s="10">
        <v>1000</v>
      </c>
      <c r="G34" s="10">
        <f>F34*E34</f>
        <v>24000</v>
      </c>
      <c r="H34" s="27"/>
      <c r="I34" s="28">
        <v>1000</v>
      </c>
      <c r="J34" s="28">
        <f>I34*H34</f>
        <v>0</v>
      </c>
      <c r="K34" s="196">
        <v>24</v>
      </c>
      <c r="L34" s="197">
        <v>1000</v>
      </c>
      <c r="M34" s="197">
        <f>L34*K34</f>
        <v>24000</v>
      </c>
    </row>
    <row r="35" spans="1:13" ht="17" thickBot="1" x14ac:dyDescent="0.25">
      <c r="A35" s="9" t="s">
        <v>240</v>
      </c>
      <c r="B35" s="76"/>
      <c r="C35" s="9" t="s">
        <v>4</v>
      </c>
      <c r="D35" s="9" t="s">
        <v>657</v>
      </c>
      <c r="E35" s="9">
        <v>12</v>
      </c>
      <c r="F35" s="10">
        <v>2300</v>
      </c>
      <c r="G35" s="10">
        <f t="shared" ref="G35:G44" si="3">F35*E35</f>
        <v>27600</v>
      </c>
      <c r="H35" s="27"/>
      <c r="I35" s="28">
        <v>2300</v>
      </c>
      <c r="J35" s="28">
        <f t="shared" ref="J35:J44" si="4">I35*H35</f>
        <v>0</v>
      </c>
      <c r="K35" s="196"/>
      <c r="L35" s="197">
        <v>2300</v>
      </c>
      <c r="M35" s="197">
        <f t="shared" ref="M35:M44" si="5">L35*K35</f>
        <v>0</v>
      </c>
    </row>
    <row r="36" spans="1:13" ht="17" thickBot="1" x14ac:dyDescent="0.25">
      <c r="A36" s="9" t="s">
        <v>242</v>
      </c>
      <c r="B36" s="76" t="s">
        <v>1361</v>
      </c>
      <c r="C36" s="9" t="s">
        <v>36</v>
      </c>
      <c r="D36" s="9" t="s">
        <v>657</v>
      </c>
      <c r="E36" s="9">
        <v>24</v>
      </c>
      <c r="F36" s="10">
        <v>1900</v>
      </c>
      <c r="G36" s="10">
        <f t="shared" si="3"/>
        <v>45600</v>
      </c>
      <c r="H36" s="27">
        <v>6</v>
      </c>
      <c r="I36" s="28">
        <v>1900</v>
      </c>
      <c r="J36" s="28">
        <f t="shared" si="4"/>
        <v>11400</v>
      </c>
      <c r="K36" s="196"/>
      <c r="L36" s="197">
        <v>1900</v>
      </c>
      <c r="M36" s="197">
        <f t="shared" si="5"/>
        <v>0</v>
      </c>
    </row>
    <row r="37" spans="1:13" ht="17" thickBot="1" x14ac:dyDescent="0.25">
      <c r="A37" s="9" t="s">
        <v>239</v>
      </c>
      <c r="B37" s="76" t="s">
        <v>952</v>
      </c>
      <c r="C37" s="9" t="s">
        <v>4</v>
      </c>
      <c r="D37" s="9" t="s">
        <v>939</v>
      </c>
      <c r="E37" s="9">
        <v>24</v>
      </c>
      <c r="F37" s="10">
        <v>5050</v>
      </c>
      <c r="G37" s="10">
        <f t="shared" si="3"/>
        <v>121200</v>
      </c>
      <c r="H37" s="27">
        <v>6</v>
      </c>
      <c r="I37" s="28">
        <v>5050</v>
      </c>
      <c r="J37" s="28">
        <f t="shared" si="4"/>
        <v>30300</v>
      </c>
      <c r="K37" s="196"/>
      <c r="L37" s="197">
        <v>5050</v>
      </c>
      <c r="M37" s="197">
        <f t="shared" si="5"/>
        <v>0</v>
      </c>
    </row>
    <row r="38" spans="1:13" ht="17" thickBot="1" x14ac:dyDescent="0.25">
      <c r="A38" s="9" t="s">
        <v>938</v>
      </c>
      <c r="B38" s="76"/>
      <c r="C38" s="9" t="s">
        <v>36</v>
      </c>
      <c r="D38" s="9" t="s">
        <v>297</v>
      </c>
      <c r="E38" s="9">
        <v>30</v>
      </c>
      <c r="F38" s="10">
        <v>2863</v>
      </c>
      <c r="G38" s="10">
        <f t="shared" si="3"/>
        <v>85890</v>
      </c>
      <c r="H38" s="27"/>
      <c r="I38" s="28">
        <v>2863</v>
      </c>
      <c r="J38" s="28">
        <f t="shared" si="4"/>
        <v>0</v>
      </c>
      <c r="K38" s="196"/>
      <c r="L38" s="197">
        <v>2863</v>
      </c>
      <c r="M38" s="197">
        <f t="shared" si="5"/>
        <v>0</v>
      </c>
    </row>
    <row r="39" spans="1:13" ht="17" thickBot="1" x14ac:dyDescent="0.25">
      <c r="A39" s="9" t="s">
        <v>240</v>
      </c>
      <c r="B39" s="76"/>
      <c r="C39" s="9" t="s">
        <v>4</v>
      </c>
      <c r="D39" s="9" t="s">
        <v>643</v>
      </c>
      <c r="E39" s="9">
        <v>48</v>
      </c>
      <c r="F39" s="10">
        <v>3200</v>
      </c>
      <c r="G39" s="10">
        <f t="shared" si="3"/>
        <v>153600</v>
      </c>
      <c r="H39" s="27"/>
      <c r="I39" s="28">
        <v>3200</v>
      </c>
      <c r="J39" s="28">
        <f t="shared" si="4"/>
        <v>0</v>
      </c>
      <c r="K39" s="196"/>
      <c r="L39" s="197">
        <v>3200</v>
      </c>
      <c r="M39" s="197">
        <f t="shared" si="5"/>
        <v>0</v>
      </c>
    </row>
    <row r="40" spans="1:13" ht="17" thickBot="1" x14ac:dyDescent="0.25">
      <c r="A40" s="9" t="s">
        <v>291</v>
      </c>
      <c r="B40" s="76" t="s">
        <v>848</v>
      </c>
      <c r="C40" s="9" t="s">
        <v>36</v>
      </c>
      <c r="D40" s="9" t="s">
        <v>308</v>
      </c>
      <c r="E40" s="9">
        <v>4</v>
      </c>
      <c r="F40" s="10">
        <v>7850</v>
      </c>
      <c r="G40" s="10">
        <f t="shared" si="3"/>
        <v>31400</v>
      </c>
      <c r="H40" s="27">
        <v>4</v>
      </c>
      <c r="I40" s="28">
        <v>7850</v>
      </c>
      <c r="J40" s="28">
        <f t="shared" si="4"/>
        <v>31400</v>
      </c>
      <c r="K40" s="196"/>
      <c r="L40" s="197">
        <v>7850</v>
      </c>
      <c r="M40" s="197">
        <f t="shared" si="5"/>
        <v>0</v>
      </c>
    </row>
    <row r="41" spans="1:13" ht="17" thickBot="1" x14ac:dyDescent="0.25">
      <c r="A41" s="9" t="s">
        <v>239</v>
      </c>
      <c r="B41" s="76" t="s">
        <v>860</v>
      </c>
      <c r="C41" s="9" t="s">
        <v>4</v>
      </c>
      <c r="D41" s="9" t="s">
        <v>940</v>
      </c>
      <c r="E41" s="9">
        <v>24</v>
      </c>
      <c r="F41" s="10">
        <v>4850</v>
      </c>
      <c r="G41" s="10">
        <f t="shared" si="3"/>
        <v>116400</v>
      </c>
      <c r="H41" s="27">
        <v>6</v>
      </c>
      <c r="I41" s="28">
        <v>4850</v>
      </c>
      <c r="J41" s="28">
        <f t="shared" si="4"/>
        <v>29100</v>
      </c>
      <c r="K41" s="196">
        <v>18</v>
      </c>
      <c r="L41" s="197">
        <v>4850</v>
      </c>
      <c r="M41" s="197">
        <f t="shared" si="5"/>
        <v>87300</v>
      </c>
    </row>
    <row r="42" spans="1:13" ht="17" thickBot="1" x14ac:dyDescent="0.25">
      <c r="A42" s="9" t="s">
        <v>240</v>
      </c>
      <c r="B42" s="76"/>
      <c r="C42" s="9" t="s">
        <v>36</v>
      </c>
      <c r="D42" s="9" t="s">
        <v>941</v>
      </c>
      <c r="E42" s="9">
        <v>24</v>
      </c>
      <c r="F42" s="10">
        <v>5300</v>
      </c>
      <c r="G42" s="10">
        <f t="shared" si="3"/>
        <v>127200</v>
      </c>
      <c r="H42" s="27"/>
      <c r="I42" s="28">
        <v>5300</v>
      </c>
      <c r="J42" s="28">
        <f t="shared" si="4"/>
        <v>0</v>
      </c>
      <c r="K42" s="196">
        <v>18</v>
      </c>
      <c r="L42" s="197">
        <v>5300</v>
      </c>
      <c r="M42" s="197">
        <f t="shared" si="5"/>
        <v>95400</v>
      </c>
    </row>
    <row r="43" spans="1:13" ht="17" thickBot="1" x14ac:dyDescent="0.25">
      <c r="A43" s="9" t="s">
        <v>45</v>
      </c>
      <c r="B43" s="76" t="s">
        <v>959</v>
      </c>
      <c r="C43" s="9" t="s">
        <v>4</v>
      </c>
      <c r="D43" s="9" t="s">
        <v>677</v>
      </c>
      <c r="E43" s="9">
        <v>12</v>
      </c>
      <c r="F43" s="10">
        <v>10700</v>
      </c>
      <c r="G43" s="10">
        <f t="shared" si="3"/>
        <v>128400</v>
      </c>
      <c r="H43" s="27">
        <v>3</v>
      </c>
      <c r="I43" s="28">
        <v>10700</v>
      </c>
      <c r="J43" s="28">
        <f t="shared" si="4"/>
        <v>32100</v>
      </c>
      <c r="K43" s="196"/>
      <c r="L43" s="197">
        <v>10700</v>
      </c>
      <c r="M43" s="197">
        <f t="shared" si="5"/>
        <v>0</v>
      </c>
    </row>
    <row r="44" spans="1:13" ht="17" thickBot="1" x14ac:dyDescent="0.25">
      <c r="A44" s="9" t="s">
        <v>240</v>
      </c>
      <c r="B44" s="76"/>
      <c r="C44" s="9" t="s">
        <v>36</v>
      </c>
      <c r="D44" s="9" t="s">
        <v>300</v>
      </c>
      <c r="E44" s="9">
        <v>24</v>
      </c>
      <c r="F44" s="10">
        <v>1475</v>
      </c>
      <c r="G44" s="10">
        <f t="shared" si="3"/>
        <v>35400</v>
      </c>
      <c r="H44" s="27"/>
      <c r="I44" s="28">
        <v>1475</v>
      </c>
      <c r="J44" s="28">
        <f t="shared" si="4"/>
        <v>0</v>
      </c>
      <c r="K44" s="196"/>
      <c r="L44" s="197">
        <v>1475</v>
      </c>
      <c r="M44" s="197">
        <f t="shared" si="5"/>
        <v>0</v>
      </c>
    </row>
    <row r="45" spans="1:13" ht="17" thickBot="1" x14ac:dyDescent="0.25">
      <c r="G45" s="12">
        <f>SUM(G34:G44)</f>
        <v>896690</v>
      </c>
      <c r="I45" s="3"/>
      <c r="J45" s="148">
        <f>SUM(J34:J44)</f>
        <v>134300</v>
      </c>
      <c r="L45" s="3"/>
      <c r="M45" s="195">
        <f>SUM(M34:M44)</f>
        <v>206700</v>
      </c>
    </row>
    <row r="46" spans="1:13" ht="17" thickBot="1" x14ac:dyDescent="0.25">
      <c r="A46" s="30" t="s">
        <v>1968</v>
      </c>
      <c r="B46" s="77" t="s">
        <v>1966</v>
      </c>
      <c r="C46" s="2" t="s">
        <v>1967</v>
      </c>
    </row>
    <row r="47" spans="1:13" ht="17" thickBot="1" x14ac:dyDescent="0.25">
      <c r="A47" s="9" t="s">
        <v>176</v>
      </c>
      <c r="B47" s="76"/>
      <c r="C47" s="9" t="s">
        <v>9</v>
      </c>
      <c r="D47" s="9" t="s">
        <v>172</v>
      </c>
      <c r="E47" s="9">
        <v>1200</v>
      </c>
      <c r="F47" s="10">
        <v>4223</v>
      </c>
      <c r="G47" s="10">
        <f>F47*E47</f>
        <v>5067600</v>
      </c>
      <c r="H47" s="23"/>
      <c r="I47" s="24">
        <v>4223</v>
      </c>
      <c r="J47" s="24">
        <f>I47*H47</f>
        <v>0</v>
      </c>
    </row>
    <row r="48" spans="1:13" ht="17" thickBot="1" x14ac:dyDescent="0.25">
      <c r="A48" s="9" t="s">
        <v>177</v>
      </c>
      <c r="B48" s="76"/>
      <c r="C48" s="9" t="s">
        <v>9</v>
      </c>
      <c r="D48" s="9" t="s">
        <v>214</v>
      </c>
      <c r="E48" s="9">
        <v>1500</v>
      </c>
      <c r="F48" s="10">
        <v>4223</v>
      </c>
      <c r="G48" s="10">
        <f>F48*E48</f>
        <v>6334500</v>
      </c>
      <c r="H48" s="23">
        <v>700</v>
      </c>
      <c r="I48" s="24">
        <v>4223</v>
      </c>
      <c r="J48" s="24">
        <f>I48*H48</f>
        <v>2956100</v>
      </c>
    </row>
    <row r="49" spans="1:10" ht="17" thickBot="1" x14ac:dyDescent="0.25">
      <c r="A49" s="9" t="s">
        <v>176</v>
      </c>
      <c r="B49" s="76"/>
      <c r="C49" s="9" t="s">
        <v>9</v>
      </c>
      <c r="D49" s="9" t="s">
        <v>383</v>
      </c>
      <c r="E49" s="9">
        <v>100</v>
      </c>
      <c r="F49" s="10">
        <v>7750</v>
      </c>
      <c r="G49" s="10">
        <f>F49*E49</f>
        <v>775000</v>
      </c>
      <c r="H49" s="23"/>
      <c r="I49" s="24">
        <v>7750</v>
      </c>
      <c r="J49" s="24">
        <f>I49*H49</f>
        <v>0</v>
      </c>
    </row>
    <row r="50" spans="1:10" ht="17" thickBot="1" x14ac:dyDescent="0.25">
      <c r="G50" s="12">
        <f>SUM(G47:G49)</f>
        <v>12177100</v>
      </c>
      <c r="I50" s="3"/>
      <c r="J50" s="26">
        <f>SUM(J47:J49)</f>
        <v>2956100</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15</vt:i4>
      </vt:variant>
    </vt:vector>
  </HeadingPairs>
  <TitlesOfParts>
    <vt:vector size="15" baseType="lpstr">
      <vt:lpstr>молочные смеси</vt:lpstr>
      <vt:lpstr>Алматы</vt:lpstr>
      <vt:lpstr>Алматинская область</vt:lpstr>
      <vt:lpstr>Астана, Караганда, Темиртау</vt:lpstr>
      <vt:lpstr>Семей, Оскемен, Риддер,</vt:lpstr>
      <vt:lpstr>Актобе и область</vt:lpstr>
      <vt:lpstr>Орал, Кызылорда</vt:lpstr>
      <vt:lpstr>Атырау, Актау, Жанаозен</vt:lpstr>
      <vt:lpstr>Костанай</vt:lpstr>
      <vt:lpstr>Павлодар, Актогай, Петропавл</vt:lpstr>
      <vt:lpstr>Шымкент</vt:lpstr>
      <vt:lpstr>Тараз, Кордай</vt:lpstr>
      <vt:lpstr>Онко</vt:lpstr>
      <vt:lpstr>шымкент узо - нуржан</vt:lpstr>
      <vt:lpstr>Балгабек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Alseit Kubashev</dc:creator>
  <cp:lastModifiedBy>Alseit Kubashev</cp:lastModifiedBy>
  <dcterms:created xsi:type="dcterms:W3CDTF">2026-01-09T10:58:31Z</dcterms:created>
  <dcterms:modified xsi:type="dcterms:W3CDTF">2026-07-07T18:13:18Z</dcterms:modified>
</cp:coreProperties>
</file>