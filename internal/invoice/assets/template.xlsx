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isul/Desktop/Накладные 2026/СМАК МН 2026/"/>
    </mc:Choice>
  </mc:AlternateContent>
  <xr:revisionPtr revIDLastSave="0" documentId="13_ncr:1_{5264DB93-5B19-FF4D-9B80-8DC2B0EE8F63}" xr6:coauthVersionLast="47" xr6:coauthVersionMax="47" xr10:uidLastSave="{00000000-0000-0000-0000-000000000000}"/>
  <bookViews>
    <workbookView xWindow="0" yWindow="640" windowWidth="25600" windowHeight="16000" tabRatio="0" xr2:uid="{00000000-000D-0000-FFFF-FFFF00000000}"/>
  </bookViews>
  <sheets>
    <sheet name="TD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27" i="1" l="1"/>
  <c r="AB27" i="1"/>
  <c r="W27" i="1"/>
  <c r="AL27" i="1"/>
  <c r="AL24" i="1"/>
  <c r="AR24" i="1" s="1"/>
  <c r="AL25" i="1" l="1"/>
  <c r="AR25" i="1" s="1"/>
  <c r="AL26" i="1"/>
  <c r="AR26" i="1" l="1"/>
  <c r="N28" i="1"/>
</calcChain>
</file>

<file path=xl/sharedStrings.xml><?xml version="1.0" encoding="utf-8"?>
<sst xmlns="http://schemas.openxmlformats.org/spreadsheetml/2006/main" count="74" uniqueCount="61">
  <si>
    <t>Приложение 26</t>
  </si>
  <si>
    <t>к приказу Министра финансов</t>
  </si>
  <si>
    <t>Республики Казахстан</t>
  </si>
  <si>
    <t>от 20 декабря 2012 года № 562</t>
  </si>
  <si>
    <t>Форма З-2</t>
  </si>
  <si>
    <t>Организация (индивидуальный предприниматель)</t>
  </si>
  <si>
    <t>ИИН/БИН</t>
  </si>
  <si>
    <t>Номер документа</t>
  </si>
  <si>
    <t>Дата составления</t>
  </si>
  <si>
    <t>НАКЛАДНАЯ НА ОТПУСК ЗАПАСОВ НА СТОРОНУ</t>
  </si>
  <si>
    <t>Организация (индивидуальный предприниматель) - отправитель</t>
  </si>
  <si>
    <t>Организация (индивидуальный предприниматель) - получатель</t>
  </si>
  <si>
    <t>Ответственный за поставку (Ф.И.О.)</t>
  </si>
  <si>
    <t>Транспортная организация</t>
  </si>
  <si>
    <t>Товарно-транспортная накладная (номер, дата)</t>
  </si>
  <si>
    <t>Номер по порядку</t>
  </si>
  <si>
    <t>Наименование, характеристика</t>
  </si>
  <si>
    <t>Номенкла-
турный номер</t>
  </si>
  <si>
    <t>Единица измерения</t>
  </si>
  <si>
    <t>Количество</t>
  </si>
  <si>
    <t>Цена за единицу, в KZT</t>
  </si>
  <si>
    <t>Сумма с НДС, в KZT</t>
  </si>
  <si>
    <t>в том числе Сумма НДС, в KZT</t>
  </si>
  <si>
    <t>подлежит отпуску</t>
  </si>
  <si>
    <t>отпущено</t>
  </si>
  <si>
    <t>1</t>
  </si>
  <si>
    <t>2</t>
  </si>
  <si>
    <t>3</t>
  </si>
  <si>
    <t>4</t>
  </si>
  <si>
    <t>5</t>
  </si>
  <si>
    <t>6</t>
  </si>
  <si>
    <t>7</t>
  </si>
  <si>
    <t>8</t>
  </si>
  <si>
    <t>9</t>
  </si>
  <si>
    <t>Итого</t>
  </si>
  <si>
    <t>х</t>
  </si>
  <si>
    <t>Всего отпущено количество запасов (прописью)</t>
  </si>
  <si>
    <t xml:space="preserve"> на сумму (прописью), в KZT</t>
  </si>
  <si>
    <t>Отпуск разрешил</t>
  </si>
  <si>
    <t>/</t>
  </si>
  <si>
    <t>По доверенности</t>
  </si>
  <si>
    <t>№_____________ от "____"_____________________ 20___ года</t>
  </si>
  <si>
    <t>должность</t>
  </si>
  <si>
    <t>подпись</t>
  </si>
  <si>
    <t>расшифровка подписи</t>
  </si>
  <si>
    <t>выданной</t>
  </si>
  <si>
    <t>Главный бухгалтер</t>
  </si>
  <si>
    <t>Не предусмотрен</t>
  </si>
  <si>
    <t>Отпустил</t>
  </si>
  <si>
    <t>Запасы получил</t>
  </si>
  <si>
    <t xml:space="preserve">ТОО «Смак-МН» </t>
  </si>
  <si>
    <t>Руководитель Турсынбекова Айгерим Аманжоловна</t>
  </si>
  <si>
    <t>Руководитель Турсынбекова Айгерим</t>
  </si>
  <si>
    <t>М.П.</t>
  </si>
  <si>
    <t>Государственное коммунальное предприятие на праве хозяйственного ведения "Городская поликлиника № 2" управления здравоохранения города Шымкент</t>
  </si>
  <si>
    <t>г.Шымкент, район Тұран, пр. Абая, 35</t>
  </si>
  <si>
    <t>штука</t>
  </si>
  <si>
    <t>Продукт специализированный, для энтерального питания(Чипсы с низким содержанием белка — с солью и паприка 140 гр, Срок годности: ноябрь 2026)</t>
  </si>
  <si>
    <t>Продукт специализированный, для энтерального питания(Мармелад " Червячки ","мишка" с кислинкой низкобелковый Фруктовый ,80г, Срок годности: ноябрь 2027)</t>
  </si>
  <si>
    <t>Продукт специализированный, для энтерального питания(Заменитель яиц 200 гр., Срок годности: 27.03.2027)</t>
  </si>
  <si>
    <t>триста тридцать восемь тысяч семьсот двадцать тенге ноль тиын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</si>
</sst>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.00"/>
    <numFmt numFmtId="165" formatCode="dd\.mm\.yyyy"/>
  </numFmts>
  <fonts count="9" x14ac:knownFonts="1">
    <font>
      <sz val="8"/>
      <name val="Arial"/>
      <charset val="134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i/>
      <sz val="8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sz val="9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5" xfId="0" applyBorder="1" applyAlignment="1">
      <alignment horizontal="center"/>
    </xf>
    <xf numFmtId="0" fontId="5" fillId="0" borderId="0" xfId="0" applyFont="1" applyAlignment="1">
      <alignment horizontal="left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2" xfId="0" applyBorder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164" fontId="0" fillId="0" borderId="0" xfId="0" applyNumberFormat="1"/>
    <xf numFmtId="164" fontId="1" fillId="0" borderId="0" xfId="0" applyNumberFormat="1" applyFont="1" applyAlignment="1">
      <alignment horizontal="left"/>
    </xf>
    <xf numFmtId="0" fontId="6" fillId="0" borderId="0" xfId="0" applyFont="1" applyAlignment="1">
      <alignment horizontal="right"/>
    </xf>
    <xf numFmtId="0" fontId="4" fillId="0" borderId="7" xfId="0" applyFont="1" applyBorder="1" applyAlignment="1">
      <alignment horizontal="center"/>
    </xf>
    <xf numFmtId="0" fontId="0" fillId="0" borderId="5" xfId="0" applyBorder="1" applyAlignment="1">
      <alignment horizontal="left" wrapText="1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5" xfId="0" applyBorder="1" applyAlignment="1">
      <alignment horizontal="left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left" wrapText="1"/>
    </xf>
    <xf numFmtId="1" fontId="4" fillId="0" borderId="5" xfId="0" applyNumberFormat="1" applyFont="1" applyBorder="1" applyAlignment="1">
      <alignment horizontal="left" wrapText="1"/>
    </xf>
    <xf numFmtId="0" fontId="0" fillId="0" borderId="7" xfId="0" applyBorder="1" applyAlignment="1">
      <alignment horizontal="center" wrapText="1"/>
    </xf>
    <xf numFmtId="0" fontId="4" fillId="0" borderId="5" xfId="0" applyFont="1" applyBorder="1" applyAlignment="1">
      <alignment horizontal="left" wrapText="1"/>
    </xf>
    <xf numFmtId="0" fontId="6" fillId="0" borderId="6" xfId="0" applyFont="1" applyBorder="1" applyAlignment="1">
      <alignment horizontal="right" wrapText="1"/>
    </xf>
    <xf numFmtId="164" fontId="6" fillId="0" borderId="6" xfId="0" applyNumberFormat="1" applyFont="1" applyBorder="1" applyAlignment="1">
      <alignment horizontal="right" wrapText="1"/>
    </xf>
    <xf numFmtId="164" fontId="6" fillId="0" borderId="16" xfId="0" applyNumberFormat="1" applyFont="1" applyBorder="1" applyAlignment="1">
      <alignment horizontal="center" wrapText="1"/>
    </xf>
    <xf numFmtId="164" fontId="6" fillId="0" borderId="6" xfId="0" applyNumberFormat="1" applyFont="1" applyBorder="1" applyAlignment="1">
      <alignment horizontal="center" wrapText="1"/>
    </xf>
    <xf numFmtId="1" fontId="6" fillId="0" borderId="9" xfId="0" applyNumberFormat="1" applyFont="1" applyBorder="1" applyAlignment="1">
      <alignment horizontal="right"/>
    </xf>
    <xf numFmtId="1" fontId="6" fillId="0" borderId="10" xfId="0" applyNumberFormat="1" applyFont="1" applyBorder="1" applyAlignment="1">
      <alignment horizontal="right"/>
    </xf>
    <xf numFmtId="1" fontId="6" fillId="0" borderId="11" xfId="0" applyNumberFormat="1" applyFont="1" applyBorder="1" applyAlignment="1">
      <alignment horizontal="right"/>
    </xf>
    <xf numFmtId="0" fontId="6" fillId="2" borderId="6" xfId="0" applyFont="1" applyFill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2" fillId="0" borderId="0" xfId="0" applyFont="1" applyAlignment="1">
      <alignment horizontal="left" wrapText="1"/>
    </xf>
    <xf numFmtId="0" fontId="8" fillId="0" borderId="5" xfId="0" applyFont="1" applyBorder="1" applyAlignment="1">
      <alignment horizontal="center" wrapText="1"/>
    </xf>
    <xf numFmtId="1" fontId="8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 wrapText="1"/>
    </xf>
    <xf numFmtId="165" fontId="5" fillId="0" borderId="1" xfId="0" applyNumberFormat="1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164" fontId="6" fillId="0" borderId="14" xfId="0" applyNumberFormat="1" applyFont="1" applyBorder="1" applyAlignment="1">
      <alignment horizontal="right" wrapText="1"/>
    </xf>
    <xf numFmtId="164" fontId="6" fillId="0" borderId="15" xfId="0" applyNumberFormat="1" applyFont="1" applyBorder="1" applyAlignment="1">
      <alignment horizontal="right" wrapText="1"/>
    </xf>
    <xf numFmtId="164" fontId="6" fillId="0" borderId="16" xfId="0" applyNumberFormat="1" applyFont="1" applyBorder="1" applyAlignment="1">
      <alignment horizontal="right" wrapText="1"/>
    </xf>
    <xf numFmtId="164" fontId="6" fillId="0" borderId="17" xfId="0" applyNumberFormat="1" applyFont="1" applyBorder="1" applyAlignment="1">
      <alignment horizontal="center" wrapText="1"/>
    </xf>
    <xf numFmtId="164" fontId="6" fillId="0" borderId="10" xfId="0" applyNumberFormat="1" applyFont="1" applyBorder="1" applyAlignment="1">
      <alignment horizontal="center" wrapText="1"/>
    </xf>
    <xf numFmtId="164" fontId="6" fillId="0" borderId="11" xfId="0" applyNumberFormat="1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BA39"/>
  <sheetViews>
    <sheetView tabSelected="1" topLeftCell="A10" zoomScale="141" zoomScaleNormal="141" workbookViewId="0">
      <selection activeCell="W26" sqref="W26:AA26"/>
    </sheetView>
  </sheetViews>
  <sheetFormatPr baseColWidth="10" defaultColWidth="10.5" defaultRowHeight="11.5" customHeight="1" x14ac:dyDescent="0.15"/>
  <cols>
    <col min="1" max="1" width="4.75" style="1" customWidth="1"/>
    <col min="2" max="10" width="3.5" style="1" customWidth="1"/>
    <col min="11" max="11" width="1.75" style="1" customWidth="1"/>
    <col min="12" max="13" width="3.5" style="1" customWidth="1"/>
    <col min="14" max="14" width="10.5" style="1" customWidth="1"/>
    <col min="15" max="16" width="3.5" style="1" customWidth="1"/>
    <col min="17" max="18" width="1.75" style="1" customWidth="1"/>
    <col min="19" max="21" width="3.5" style="1" customWidth="1"/>
    <col min="22" max="22" width="5.25" style="1" customWidth="1"/>
    <col min="23" max="28" width="3.5" style="1" customWidth="1"/>
    <col min="29" max="29" width="4.75" style="1" customWidth="1"/>
    <col min="30" max="34" width="3.5" style="1" customWidth="1"/>
    <col min="35" max="35" width="1.75" style="1" customWidth="1"/>
    <col min="36" max="36" width="7.75" style="1" customWidth="1"/>
    <col min="37" max="37" width="3.5" style="1" customWidth="1"/>
    <col min="38" max="38" width="1.75" style="1" customWidth="1"/>
    <col min="39" max="48" width="3.5" style="1" customWidth="1"/>
    <col min="49" max="49" width="7.5" style="1" customWidth="1"/>
  </cols>
  <sheetData>
    <row r="1" spans="1:49" ht="11" customHeight="1" x14ac:dyDescent="0.15">
      <c r="AN1" s="51" t="s">
        <v>0</v>
      </c>
      <c r="AO1" s="51"/>
      <c r="AP1" s="51"/>
      <c r="AQ1" s="51"/>
      <c r="AR1" s="51"/>
      <c r="AS1" s="51"/>
      <c r="AT1" s="51"/>
      <c r="AU1" s="51"/>
      <c r="AV1" s="51"/>
      <c r="AW1" s="51"/>
    </row>
    <row r="2" spans="1:49" ht="11" customHeight="1" x14ac:dyDescent="0.15">
      <c r="AN2" s="51" t="s">
        <v>1</v>
      </c>
      <c r="AO2" s="51"/>
      <c r="AP2" s="51"/>
      <c r="AQ2" s="51"/>
      <c r="AR2" s="51"/>
      <c r="AS2" s="51"/>
      <c r="AT2" s="51"/>
      <c r="AU2" s="51"/>
      <c r="AV2" s="51"/>
      <c r="AW2" s="51"/>
    </row>
    <row r="3" spans="1:49" ht="11" customHeight="1" x14ac:dyDescent="0.15">
      <c r="AN3" s="51" t="s">
        <v>2</v>
      </c>
      <c r="AO3" s="51"/>
      <c r="AP3" s="51"/>
      <c r="AQ3" s="51"/>
      <c r="AR3" s="51"/>
      <c r="AS3" s="51"/>
      <c r="AT3" s="51"/>
      <c r="AU3" s="51"/>
      <c r="AV3" s="51"/>
      <c r="AW3" s="51"/>
    </row>
    <row r="4" spans="1:49" ht="11" customHeight="1" x14ac:dyDescent="0.15">
      <c r="AN4" s="51" t="s">
        <v>3</v>
      </c>
      <c r="AO4" s="51"/>
      <c r="AP4" s="51"/>
      <c r="AQ4" s="51"/>
      <c r="AR4" s="51"/>
      <c r="AS4" s="51"/>
      <c r="AT4" s="51"/>
      <c r="AU4" s="51"/>
      <c r="AV4" s="51"/>
      <c r="AW4" s="51"/>
    </row>
    <row r="5" spans="1:49" s="1" customFormat="1" ht="11" customHeight="1" x14ac:dyDescent="0.15"/>
    <row r="6" spans="1:49" ht="12" customHeight="1" x14ac:dyDescent="0.15">
      <c r="AW6" s="10" t="s">
        <v>4</v>
      </c>
    </row>
    <row r="7" spans="1:49" s="1" customFormat="1" ht="11" customHeight="1" x14ac:dyDescent="0.1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</row>
    <row r="8" spans="1:49" ht="11" customHeight="1" x14ac:dyDescent="0.15"/>
    <row r="9" spans="1:49" ht="23" customHeight="1" x14ac:dyDescent="0.15">
      <c r="A9" s="46" t="s">
        <v>5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7" t="s">
        <v>50</v>
      </c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N9" s="12" t="s">
        <v>6</v>
      </c>
      <c r="AP9" s="13"/>
      <c r="AQ9" s="48">
        <v>201140002658</v>
      </c>
      <c r="AR9" s="48"/>
      <c r="AS9" s="48"/>
      <c r="AT9" s="48"/>
      <c r="AU9" s="48"/>
      <c r="AV9" s="48"/>
      <c r="AW9" s="48"/>
    </row>
    <row r="10" spans="1:49" ht="12" customHeight="1" x14ac:dyDescent="0.15"/>
    <row r="11" spans="1:49" s="1" customFormat="1" ht="11" customHeight="1" x14ac:dyDescent="0.15"/>
    <row r="12" spans="1:49" ht="22.25" customHeight="1" x14ac:dyDescent="0.15">
      <c r="AO12" s="8"/>
      <c r="AP12" s="49" t="s">
        <v>7</v>
      </c>
      <c r="AQ12" s="49"/>
      <c r="AR12" s="49"/>
      <c r="AS12" s="49"/>
      <c r="AT12" s="49" t="s">
        <v>8</v>
      </c>
      <c r="AU12" s="49"/>
      <c r="AV12" s="49"/>
      <c r="AW12" s="49"/>
    </row>
    <row r="13" spans="1:49" ht="11" customHeight="1" x14ac:dyDescent="0.15">
      <c r="AO13" s="14"/>
      <c r="AP13" s="52">
        <v>404</v>
      </c>
      <c r="AQ13" s="52"/>
      <c r="AR13" s="52"/>
      <c r="AS13" s="52"/>
      <c r="AT13" s="53">
        <v>46211</v>
      </c>
      <c r="AU13" s="52"/>
      <c r="AV13" s="52"/>
      <c r="AW13" s="52"/>
    </row>
    <row r="14" spans="1:49" ht="11" customHeight="1" x14ac:dyDescent="0.15"/>
    <row r="15" spans="1:49" ht="26" customHeight="1" x14ac:dyDescent="0.15">
      <c r="A15" s="50" t="s">
        <v>9</v>
      </c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</row>
    <row r="18" spans="1:53" ht="22.25" customHeight="1" x14ac:dyDescent="0.15">
      <c r="A18" s="37" t="s">
        <v>10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 t="s">
        <v>11</v>
      </c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 t="s">
        <v>12</v>
      </c>
      <c r="X18" s="37"/>
      <c r="Y18" s="37"/>
      <c r="Z18" s="37"/>
      <c r="AA18" s="37"/>
      <c r="AB18" s="37"/>
      <c r="AC18" s="37"/>
      <c r="AD18" s="37"/>
      <c r="AE18" s="37"/>
      <c r="AF18" s="37" t="s">
        <v>13</v>
      </c>
      <c r="AG18" s="37"/>
      <c r="AH18" s="37"/>
      <c r="AI18" s="37"/>
      <c r="AJ18" s="37"/>
      <c r="AK18" s="37"/>
      <c r="AL18" s="37"/>
      <c r="AM18" s="37"/>
      <c r="AN18" s="37"/>
      <c r="AO18" s="37" t="s">
        <v>14</v>
      </c>
      <c r="AP18" s="37"/>
      <c r="AQ18" s="37"/>
      <c r="AR18" s="37"/>
      <c r="AS18" s="37"/>
      <c r="AT18" s="37"/>
      <c r="AU18" s="37"/>
      <c r="AV18" s="37"/>
      <c r="AW18" s="37"/>
    </row>
    <row r="19" spans="1:53" s="2" customFormat="1" ht="68" customHeight="1" x14ac:dyDescent="0.15">
      <c r="A19" s="37" t="s">
        <v>50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 t="s">
        <v>54</v>
      </c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 t="s">
        <v>51</v>
      </c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 t="s">
        <v>55</v>
      </c>
      <c r="AP19" s="37"/>
      <c r="AQ19" s="37"/>
      <c r="AR19" s="37"/>
      <c r="AS19" s="37"/>
      <c r="AT19" s="37"/>
      <c r="AU19" s="37"/>
      <c r="AV19" s="37"/>
      <c r="AW19" s="37"/>
    </row>
    <row r="20" spans="1:53" s="3" customFormat="1" ht="11" customHeight="1" x14ac:dyDescent="0.15"/>
    <row r="21" spans="1:53" s="4" customFormat="1" ht="17" customHeight="1" x14ac:dyDescent="0.15">
      <c r="A21" s="38" t="s">
        <v>15</v>
      </c>
      <c r="B21" s="38"/>
      <c r="C21" s="38" t="s">
        <v>16</v>
      </c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 t="s">
        <v>17</v>
      </c>
      <c r="P21" s="38"/>
      <c r="Q21" s="38"/>
      <c r="R21" s="38"/>
      <c r="S21" s="38"/>
      <c r="T21" s="44" t="s">
        <v>18</v>
      </c>
      <c r="U21" s="44"/>
      <c r="V21" s="44"/>
      <c r="W21" s="37" t="s">
        <v>19</v>
      </c>
      <c r="X21" s="37"/>
      <c r="Y21" s="37"/>
      <c r="Z21" s="37"/>
      <c r="AA21" s="37"/>
      <c r="AB21" s="37"/>
      <c r="AC21" s="37"/>
      <c r="AD21" s="37"/>
      <c r="AE21" s="37"/>
      <c r="AF21" s="38" t="s">
        <v>20</v>
      </c>
      <c r="AG21" s="38"/>
      <c r="AH21" s="38"/>
      <c r="AI21" s="38"/>
      <c r="AJ21" s="38"/>
      <c r="AK21" s="38"/>
      <c r="AL21" s="38" t="s">
        <v>21</v>
      </c>
      <c r="AM21" s="38"/>
      <c r="AN21" s="38"/>
      <c r="AO21" s="38"/>
      <c r="AP21" s="38"/>
      <c r="AQ21" s="38"/>
      <c r="AR21" s="38" t="s">
        <v>22</v>
      </c>
      <c r="AS21" s="38"/>
      <c r="AT21" s="38"/>
      <c r="AU21" s="38"/>
      <c r="AV21" s="38"/>
      <c r="AW21" s="38"/>
      <c r="AY21" s="23"/>
      <c r="AZ21" s="23"/>
    </row>
    <row r="22" spans="1:53" s="4" customFormat="1" ht="16.25" customHeight="1" x14ac:dyDescent="0.15">
      <c r="A22" s="39"/>
      <c r="B22" s="41"/>
      <c r="C22" s="39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1"/>
      <c r="O22" s="39"/>
      <c r="P22" s="40"/>
      <c r="Q22" s="40"/>
      <c r="R22" s="40"/>
      <c r="S22" s="41"/>
      <c r="T22" s="40"/>
      <c r="U22" s="40"/>
      <c r="V22" s="41"/>
      <c r="W22" s="37" t="s">
        <v>23</v>
      </c>
      <c r="X22" s="37"/>
      <c r="Y22" s="37"/>
      <c r="Z22" s="37"/>
      <c r="AA22" s="37"/>
      <c r="AB22" s="37" t="s">
        <v>24</v>
      </c>
      <c r="AC22" s="37"/>
      <c r="AD22" s="37"/>
      <c r="AE22" s="37"/>
      <c r="AF22" s="39"/>
      <c r="AG22" s="40"/>
      <c r="AH22" s="40"/>
      <c r="AI22" s="40"/>
      <c r="AJ22" s="40"/>
      <c r="AK22" s="41"/>
      <c r="AL22" s="39"/>
      <c r="AM22" s="40"/>
      <c r="AN22" s="40"/>
      <c r="AO22" s="40"/>
      <c r="AP22" s="40"/>
      <c r="AQ22" s="41"/>
      <c r="AR22" s="39"/>
      <c r="AS22" s="40"/>
      <c r="AT22" s="40"/>
      <c r="AU22" s="40"/>
      <c r="AV22" s="40"/>
      <c r="AW22" s="41"/>
      <c r="AY22" s="23"/>
      <c r="AZ22" s="23"/>
    </row>
    <row r="23" spans="1:53" s="3" customFormat="1" ht="11" customHeight="1" x14ac:dyDescent="0.15">
      <c r="A23" s="42" t="s">
        <v>25</v>
      </c>
      <c r="B23" s="42"/>
      <c r="C23" s="42" t="s">
        <v>26</v>
      </c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 t="s">
        <v>27</v>
      </c>
      <c r="P23" s="42"/>
      <c r="Q23" s="42"/>
      <c r="R23" s="42"/>
      <c r="S23" s="42"/>
      <c r="T23" s="43" t="s">
        <v>28</v>
      </c>
      <c r="U23" s="43"/>
      <c r="V23" s="43"/>
      <c r="W23" s="42" t="s">
        <v>29</v>
      </c>
      <c r="X23" s="42"/>
      <c r="Y23" s="42"/>
      <c r="Z23" s="42"/>
      <c r="AA23" s="42"/>
      <c r="AB23" s="42" t="s">
        <v>30</v>
      </c>
      <c r="AC23" s="42"/>
      <c r="AD23" s="42"/>
      <c r="AE23" s="42"/>
      <c r="AF23" s="42" t="s">
        <v>31</v>
      </c>
      <c r="AG23" s="42"/>
      <c r="AH23" s="42"/>
      <c r="AI23" s="42"/>
      <c r="AJ23" s="42"/>
      <c r="AK23" s="42"/>
      <c r="AL23" s="42" t="s">
        <v>32</v>
      </c>
      <c r="AM23" s="42"/>
      <c r="AN23" s="42"/>
      <c r="AO23" s="42"/>
      <c r="AP23" s="42"/>
      <c r="AQ23" s="42"/>
      <c r="AR23" s="45" t="s">
        <v>33</v>
      </c>
      <c r="AS23" s="45"/>
      <c r="AT23" s="45"/>
      <c r="AU23" s="45"/>
      <c r="AV23" s="45"/>
      <c r="AW23" s="45"/>
    </row>
    <row r="24" spans="1:53" s="3" customFormat="1" ht="84" customHeight="1" x14ac:dyDescent="0.15">
      <c r="A24" s="63">
        <v>1</v>
      </c>
      <c r="B24" s="63"/>
      <c r="C24" s="35" t="s">
        <v>59</v>
      </c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6">
        <v>1</v>
      </c>
      <c r="P24" s="36"/>
      <c r="Q24" s="36"/>
      <c r="R24" s="36"/>
      <c r="S24" s="36"/>
      <c r="T24" s="36" t="s">
        <v>56</v>
      </c>
      <c r="U24" s="36"/>
      <c r="V24" s="36"/>
      <c r="W24" s="28">
        <v>5</v>
      </c>
      <c r="X24" s="28"/>
      <c r="Y24" s="28"/>
      <c r="Z24" s="28"/>
      <c r="AA24" s="28"/>
      <c r="AB24" s="28">
        <v>5</v>
      </c>
      <c r="AC24" s="28"/>
      <c r="AD24" s="28"/>
      <c r="AE24" s="28"/>
      <c r="AF24" s="29">
        <v>9280</v>
      </c>
      <c r="AG24" s="29"/>
      <c r="AH24" s="29"/>
      <c r="AI24" s="29"/>
      <c r="AJ24" s="29"/>
      <c r="AK24" s="29"/>
      <c r="AL24" s="29">
        <f>AF24*W24</f>
        <v>46400</v>
      </c>
      <c r="AM24" s="29"/>
      <c r="AN24" s="29"/>
      <c r="AO24" s="29"/>
      <c r="AP24" s="29"/>
      <c r="AQ24" s="29"/>
      <c r="AR24" s="30">
        <f>AL24/7.25</f>
        <v>6400</v>
      </c>
      <c r="AS24" s="31"/>
      <c r="AT24" s="31"/>
      <c r="AU24" s="31"/>
      <c r="AV24" s="31"/>
      <c r="AW24" s="31"/>
      <c r="AY24" s="16"/>
      <c r="AZ24" s="16"/>
    </row>
    <row r="25" spans="1:53" s="3" customFormat="1" ht="84" customHeight="1" x14ac:dyDescent="0.15">
      <c r="A25" s="63">
        <v>1</v>
      </c>
      <c r="B25" s="63"/>
      <c r="C25" s="35" t="s">
        <v>57</v>
      </c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6">
        <v>1</v>
      </c>
      <c r="P25" s="36"/>
      <c r="Q25" s="36"/>
      <c r="R25" s="36"/>
      <c r="S25" s="36"/>
      <c r="T25" s="36" t="s">
        <v>56</v>
      </c>
      <c r="U25" s="36"/>
      <c r="V25" s="36"/>
      <c r="W25" s="28">
        <v>50</v>
      </c>
      <c r="X25" s="28"/>
      <c r="Y25" s="28"/>
      <c r="Z25" s="28"/>
      <c r="AA25" s="28"/>
      <c r="AB25" s="28">
        <v>50</v>
      </c>
      <c r="AC25" s="28"/>
      <c r="AD25" s="28"/>
      <c r="AE25" s="28"/>
      <c r="AF25" s="29">
        <v>4408</v>
      </c>
      <c r="AG25" s="29"/>
      <c r="AH25" s="29"/>
      <c r="AI25" s="29"/>
      <c r="AJ25" s="29"/>
      <c r="AK25" s="29"/>
      <c r="AL25" s="29">
        <f>AF25*W25</f>
        <v>220400</v>
      </c>
      <c r="AM25" s="29"/>
      <c r="AN25" s="29"/>
      <c r="AO25" s="29"/>
      <c r="AP25" s="29"/>
      <c r="AQ25" s="29"/>
      <c r="AR25" s="30">
        <f>AL25/7.25</f>
        <v>30400</v>
      </c>
      <c r="AS25" s="31"/>
      <c r="AT25" s="31"/>
      <c r="AU25" s="31"/>
      <c r="AV25" s="31"/>
      <c r="AW25" s="31"/>
      <c r="AY25" s="16"/>
      <c r="AZ25" s="16"/>
    </row>
    <row r="26" spans="1:53" s="3" customFormat="1" ht="84" customHeight="1" x14ac:dyDescent="0.15">
      <c r="A26" s="63">
        <v>2</v>
      </c>
      <c r="B26" s="63"/>
      <c r="C26" s="35" t="s">
        <v>58</v>
      </c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6">
        <v>2</v>
      </c>
      <c r="P26" s="36"/>
      <c r="Q26" s="36"/>
      <c r="R26" s="36"/>
      <c r="S26" s="36"/>
      <c r="T26" s="36" t="s">
        <v>56</v>
      </c>
      <c r="U26" s="36"/>
      <c r="V26" s="36"/>
      <c r="W26" s="28">
        <v>20</v>
      </c>
      <c r="X26" s="28"/>
      <c r="Y26" s="28"/>
      <c r="Z26" s="28"/>
      <c r="AA26" s="28"/>
      <c r="AB26" s="28">
        <v>20</v>
      </c>
      <c r="AC26" s="28"/>
      <c r="AD26" s="28"/>
      <c r="AE26" s="28"/>
      <c r="AF26" s="29">
        <v>3596</v>
      </c>
      <c r="AG26" s="29"/>
      <c r="AH26" s="29"/>
      <c r="AI26" s="29"/>
      <c r="AJ26" s="29"/>
      <c r="AK26" s="29"/>
      <c r="AL26" s="29">
        <f>AF26*W26</f>
        <v>71920</v>
      </c>
      <c r="AM26" s="29"/>
      <c r="AN26" s="29"/>
      <c r="AO26" s="29"/>
      <c r="AP26" s="29"/>
      <c r="AQ26" s="29"/>
      <c r="AR26" s="30">
        <f>AL26/7.25</f>
        <v>9920</v>
      </c>
      <c r="AS26" s="31"/>
      <c r="AT26" s="31"/>
      <c r="AU26" s="31"/>
      <c r="AV26" s="31"/>
      <c r="AW26" s="31"/>
      <c r="AY26" s="16"/>
      <c r="AZ26" s="16"/>
    </row>
    <row r="27" spans="1:53" ht="11" customHeight="1" x14ac:dyDescent="0.15"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7" t="s">
        <v>34</v>
      </c>
      <c r="W27" s="32">
        <f>SUM(W24:AA26)</f>
        <v>75</v>
      </c>
      <c r="X27" s="33"/>
      <c r="Y27" s="33"/>
      <c r="Z27" s="33"/>
      <c r="AA27" s="34"/>
      <c r="AB27" s="32">
        <f>SUM(AB24:AE26)</f>
        <v>75</v>
      </c>
      <c r="AC27" s="33"/>
      <c r="AD27" s="33"/>
      <c r="AE27" s="34"/>
      <c r="AF27" s="54" t="s">
        <v>35</v>
      </c>
      <c r="AG27" s="55"/>
      <c r="AH27" s="55"/>
      <c r="AI27" s="55"/>
      <c r="AJ27" s="55"/>
      <c r="AK27" s="56"/>
      <c r="AL27" s="57">
        <f>SUM(AL24:AQ26)</f>
        <v>338720</v>
      </c>
      <c r="AM27" s="58"/>
      <c r="AN27" s="58"/>
      <c r="AO27" s="58"/>
      <c r="AP27" s="58"/>
      <c r="AQ27" s="59"/>
      <c r="AR27" s="60">
        <f>SUM(AR24:AW26)</f>
        <v>46720</v>
      </c>
      <c r="AS27" s="61"/>
      <c r="AT27" s="61"/>
      <c r="AU27" s="61"/>
      <c r="AV27" s="61"/>
      <c r="AW27" s="62"/>
      <c r="BA27" s="15"/>
    </row>
    <row r="28" spans="1:53" ht="27" customHeight="1" x14ac:dyDescent="0.15">
      <c r="A28" s="1" t="s">
        <v>36</v>
      </c>
      <c r="N28" s="25">
        <f>W27</f>
        <v>75</v>
      </c>
      <c r="O28" s="25"/>
      <c r="P28" s="25"/>
      <c r="Q28" s="25"/>
      <c r="R28" s="25"/>
      <c r="S28" s="25"/>
      <c r="T28" s="25"/>
      <c r="U28" s="25"/>
      <c r="V28" s="25"/>
      <c r="W28" s="26" t="s">
        <v>37</v>
      </c>
      <c r="X28" s="26"/>
      <c r="Y28" s="26"/>
      <c r="Z28" s="26"/>
      <c r="AA28" s="26"/>
      <c r="AB28" s="26"/>
      <c r="AC28" s="26"/>
      <c r="AD28" s="26"/>
      <c r="AE28" s="27" t="s">
        <v>60</v>
      </c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</row>
    <row r="29" spans="1:53" ht="11" customHeight="1" x14ac:dyDescent="0.15"/>
    <row r="30" spans="1:53" ht="25.5" customHeight="1" x14ac:dyDescent="0.15">
      <c r="A30" s="1" t="s">
        <v>38</v>
      </c>
      <c r="K30" s="8" t="s">
        <v>39</v>
      </c>
      <c r="Q30" s="8" t="s">
        <v>39</v>
      </c>
      <c r="R30" s="23" t="s">
        <v>52</v>
      </c>
      <c r="S30" s="21"/>
      <c r="T30" s="21"/>
      <c r="U30" s="21"/>
      <c r="V30" s="21"/>
      <c r="W30" s="21"/>
      <c r="X30" s="21"/>
      <c r="Y30" s="11"/>
      <c r="AA30" s="1" t="s">
        <v>40</v>
      </c>
      <c r="AF30" s="24" t="s">
        <v>41</v>
      </c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</row>
    <row r="31" spans="1:53" ht="11" customHeight="1" x14ac:dyDescent="0.15">
      <c r="F31" s="18" t="s">
        <v>42</v>
      </c>
      <c r="G31" s="18"/>
      <c r="H31" s="18"/>
      <c r="I31" s="18"/>
      <c r="J31" s="18"/>
      <c r="L31" s="18" t="s">
        <v>43</v>
      </c>
      <c r="M31" s="18"/>
      <c r="N31" s="18"/>
      <c r="O31" s="18"/>
      <c r="P31" s="18"/>
      <c r="R31" s="18" t="s">
        <v>44</v>
      </c>
      <c r="S31" s="18"/>
      <c r="T31" s="18"/>
      <c r="U31" s="18"/>
      <c r="V31" s="18"/>
      <c r="W31" s="18"/>
      <c r="X31" s="18"/>
      <c r="Y31" s="11"/>
    </row>
    <row r="32" spans="1:53" ht="11" customHeight="1" x14ac:dyDescent="0.15">
      <c r="Y32" s="11"/>
      <c r="AA32" s="1" t="s">
        <v>45</v>
      </c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</row>
    <row r="33" spans="1:48" s="1" customFormat="1" ht="8" customHeight="1" x14ac:dyDescent="0.15">
      <c r="Y33" s="11"/>
    </row>
    <row r="34" spans="1:48" s="1" customFormat="1" ht="11" customHeight="1" x14ac:dyDescent="0.15">
      <c r="A34" s="1" t="s">
        <v>46</v>
      </c>
      <c r="F34" s="20"/>
      <c r="G34" s="20"/>
      <c r="H34" s="20"/>
      <c r="I34" s="20"/>
      <c r="J34" s="20"/>
      <c r="K34" s="9" t="s">
        <v>39</v>
      </c>
      <c r="L34" s="21" t="s">
        <v>47</v>
      </c>
      <c r="M34" s="21"/>
      <c r="N34" s="21"/>
      <c r="O34" s="21"/>
      <c r="P34" s="21"/>
      <c r="Q34" s="21"/>
      <c r="R34" s="21"/>
      <c r="S34" s="21"/>
      <c r="T34" s="21"/>
      <c r="U34" s="21"/>
      <c r="V34" s="21"/>
      <c r="Y34" s="11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</row>
    <row r="35" spans="1:48" ht="11" customHeight="1" x14ac:dyDescent="0.15">
      <c r="F35" s="18" t="s">
        <v>43</v>
      </c>
      <c r="G35" s="18"/>
      <c r="H35" s="18"/>
      <c r="I35" s="18"/>
      <c r="J35" s="18"/>
      <c r="L35" s="18" t="s">
        <v>44</v>
      </c>
      <c r="M35" s="18"/>
      <c r="N35" s="18"/>
      <c r="O35" s="18"/>
      <c r="P35" s="18"/>
      <c r="Q35" s="18"/>
      <c r="R35" s="18"/>
      <c r="S35" s="18"/>
      <c r="T35" s="18"/>
      <c r="U35" s="18"/>
      <c r="V35" s="18"/>
      <c r="Y35" s="11"/>
    </row>
    <row r="36" spans="1:48" ht="11" customHeight="1" x14ac:dyDescent="0.15">
      <c r="A36" s="7" t="s">
        <v>53</v>
      </c>
      <c r="Y36" s="11"/>
    </row>
    <row r="37" spans="1:48" s="1" customFormat="1" ht="8" customHeight="1" x14ac:dyDescent="0.15">
      <c r="Y37" s="11"/>
    </row>
    <row r="38" spans="1:48" ht="11" customHeight="1" x14ac:dyDescent="0.15">
      <c r="A38" s="1" t="s">
        <v>48</v>
      </c>
      <c r="F38" s="20"/>
      <c r="G38" s="20"/>
      <c r="H38" s="20"/>
      <c r="I38" s="20"/>
      <c r="J38" s="20"/>
      <c r="K38" s="9" t="s">
        <v>39</v>
      </c>
      <c r="Y38" s="11"/>
      <c r="AA38" s="1" t="s">
        <v>49</v>
      </c>
      <c r="AF38" s="6"/>
      <c r="AG38" s="6"/>
      <c r="AH38" s="6"/>
      <c r="AI38" s="6"/>
      <c r="AJ38" s="6"/>
      <c r="AL38" s="9" t="s">
        <v>39</v>
      </c>
    </row>
    <row r="39" spans="1:48" ht="11" customHeight="1" x14ac:dyDescent="0.15">
      <c r="F39" s="18" t="s">
        <v>43</v>
      </c>
      <c r="G39" s="18"/>
      <c r="H39" s="18"/>
      <c r="I39" s="18"/>
      <c r="J39" s="18"/>
      <c r="L39" s="18" t="s">
        <v>44</v>
      </c>
      <c r="M39" s="18"/>
      <c r="N39" s="18"/>
      <c r="O39" s="18"/>
      <c r="P39" s="18"/>
      <c r="Q39" s="18"/>
      <c r="R39" s="18"/>
      <c r="S39" s="18"/>
      <c r="T39" s="18"/>
      <c r="U39" s="18"/>
      <c r="V39" s="18"/>
      <c r="Y39" s="11"/>
      <c r="AF39" s="18" t="s">
        <v>43</v>
      </c>
      <c r="AG39" s="18"/>
      <c r="AH39" s="18"/>
      <c r="AI39" s="18"/>
      <c r="AJ39" s="18"/>
      <c r="AK39" s="18"/>
      <c r="AM39" s="18" t="s">
        <v>44</v>
      </c>
      <c r="AN39" s="18"/>
      <c r="AO39" s="18"/>
      <c r="AP39" s="18"/>
      <c r="AQ39" s="18"/>
      <c r="AR39" s="18"/>
      <c r="AS39" s="18"/>
      <c r="AT39" s="18"/>
      <c r="AU39" s="18"/>
      <c r="AV39" s="18"/>
    </row>
  </sheetData>
  <mergeCells count="94">
    <mergeCell ref="AB24:AE24"/>
    <mergeCell ref="AF24:AK24"/>
    <mergeCell ref="AL24:AQ24"/>
    <mergeCell ref="AR24:AW24"/>
    <mergeCell ref="A24:B24"/>
    <mergeCell ref="C24:N24"/>
    <mergeCell ref="O24:S24"/>
    <mergeCell ref="T24:V24"/>
    <mergeCell ref="W24:AA24"/>
    <mergeCell ref="AB25:AE25"/>
    <mergeCell ref="AF25:AK25"/>
    <mergeCell ref="AL25:AQ25"/>
    <mergeCell ref="AR25:AW25"/>
    <mergeCell ref="A26:B26"/>
    <mergeCell ref="A25:B25"/>
    <mergeCell ref="C25:N25"/>
    <mergeCell ref="O25:S25"/>
    <mergeCell ref="T25:V25"/>
    <mergeCell ref="W25:AA25"/>
    <mergeCell ref="AN1:AW1"/>
    <mergeCell ref="AN2:AW2"/>
    <mergeCell ref="AN3:AW3"/>
    <mergeCell ref="AN4:AW4"/>
    <mergeCell ref="AP13:AS13"/>
    <mergeCell ref="AT13:AW13"/>
    <mergeCell ref="AZ21:AZ22"/>
    <mergeCell ref="AF21:AK22"/>
    <mergeCell ref="AL21:AQ22"/>
    <mergeCell ref="AR21:AW22"/>
    <mergeCell ref="A9:M9"/>
    <mergeCell ref="N9:AJ9"/>
    <mergeCell ref="AQ9:AW9"/>
    <mergeCell ref="AP12:AS12"/>
    <mergeCell ref="AT12:AW12"/>
    <mergeCell ref="A15:AW15"/>
    <mergeCell ref="A18:K18"/>
    <mergeCell ref="L18:V18"/>
    <mergeCell ref="W18:AE18"/>
    <mergeCell ref="AF18:AN18"/>
    <mergeCell ref="AO18:AW18"/>
    <mergeCell ref="A21:B22"/>
    <mergeCell ref="C21:N22"/>
    <mergeCell ref="W21:AE21"/>
    <mergeCell ref="W22:AA22"/>
    <mergeCell ref="AY21:AY22"/>
    <mergeCell ref="A23:B23"/>
    <mergeCell ref="C23:N23"/>
    <mergeCell ref="O23:S23"/>
    <mergeCell ref="T23:V23"/>
    <mergeCell ref="W23:AA23"/>
    <mergeCell ref="O21:S22"/>
    <mergeCell ref="T21:V22"/>
    <mergeCell ref="AB22:AE22"/>
    <mergeCell ref="AF23:AK23"/>
    <mergeCell ref="AL23:AQ23"/>
    <mergeCell ref="AR23:AW23"/>
    <mergeCell ref="AB23:AE23"/>
    <mergeCell ref="A19:K19"/>
    <mergeCell ref="L19:V19"/>
    <mergeCell ref="W19:AE19"/>
    <mergeCell ref="AF19:AN19"/>
    <mergeCell ref="AO19:AW19"/>
    <mergeCell ref="N28:V28"/>
    <mergeCell ref="W28:AD28"/>
    <mergeCell ref="AE28:AW28"/>
    <mergeCell ref="AB26:AE26"/>
    <mergeCell ref="AF26:AK26"/>
    <mergeCell ref="AL26:AQ26"/>
    <mergeCell ref="AR26:AW26"/>
    <mergeCell ref="W27:AA27"/>
    <mergeCell ref="AB27:AE27"/>
    <mergeCell ref="C26:N26"/>
    <mergeCell ref="O26:S26"/>
    <mergeCell ref="T26:V26"/>
    <mergeCell ref="W26:AA26"/>
    <mergeCell ref="AF27:AK27"/>
    <mergeCell ref="AL27:AQ27"/>
    <mergeCell ref="AR27:AW27"/>
    <mergeCell ref="R30:X30"/>
    <mergeCell ref="AF30:AV30"/>
    <mergeCell ref="F35:J35"/>
    <mergeCell ref="L35:V35"/>
    <mergeCell ref="F38:J38"/>
    <mergeCell ref="F39:J39"/>
    <mergeCell ref="L39:V39"/>
    <mergeCell ref="R31:X31"/>
    <mergeCell ref="AD32:AV32"/>
    <mergeCell ref="F34:J34"/>
    <mergeCell ref="L34:V34"/>
    <mergeCell ref="AA34:AV34"/>
    <mergeCell ref="F31:J31"/>
    <mergeCell ref="L31:P31"/>
    <mergeCell ref="AF39:AK39"/>
    <mergeCell ref="AM39:AV39"/>
  </mergeCells>
  <pageMargins left="0.39370078740157499" right="0.39370078740157499" top="0.39370078740157499" bottom="0.39370078740157499" header="0" footer="0"/>
  <pageSetup paperSize="9" scale="76" pageOrder="overThenDown" orientation="landscape" copies="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Маконтай</dc:creator>
  <cp:lastModifiedBy>Aisultan Kubashev</cp:lastModifiedBy>
  <cp:lastPrinted>2026-07-07T13:15:39Z</cp:lastPrinted>
  <dcterms:created xsi:type="dcterms:W3CDTF">2021-09-28T01:33:00Z</dcterms:created>
  <dcterms:modified xsi:type="dcterms:W3CDTF">2026-07-15T13:21:38Z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46EED2F4B95F429698D038135C64AEC5_12</vt:lpwstr>
  </property>
  <property fmtid="{D5CDD505-2E9C-101B-9397-08002B2CF9AE}" pid="3" name="KSOProductBuildVer">
    <vt:lpwstr>1049-12.2.0.17562</vt:lpwstr>
  </property>
</Properties>
</file>